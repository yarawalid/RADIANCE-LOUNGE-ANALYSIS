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
    </mc:Choice>
  </mc:AlternateContent>
  <xr:revisionPtr revIDLastSave="0" documentId="8_{9FAE9B73-D4DF-4992-944B-817BE01886B9}" xr6:coauthVersionLast="47" xr6:coauthVersionMax="47" xr10:uidLastSave="{00000000-0000-0000-0000-000000000000}"/>
  <bookViews>
    <workbookView xWindow="-108" yWindow="-108" windowWidth="23256" windowHeight="12576" activeTab="2" xr2:uid="{00000000-000D-0000-FFFF-FFFF00000000}"/>
  </bookViews>
  <sheets>
    <sheet name="Sheet1" sheetId="1" r:id="rId1"/>
    <sheet name="pivots" sheetId="2" r:id="rId2"/>
    <sheet name="dash board" sheetId="4" r:id="rId3"/>
  </sheets>
  <definedNames>
    <definedName name="_xlnm._FilterDatabase" localSheetId="0" hidden="1">Sheet1!$A$1:$M$1</definedName>
    <definedName name="_xlchart.v1.0" hidden="1">pivots!$N$20:$N$29</definedName>
    <definedName name="_xlchart.v1.1" hidden="1">pivots!$O$20:$O$29</definedName>
    <definedName name="_xlchart.v1.2" hidden="1">pivots!$P$20:$P$29</definedName>
    <definedName name="_xlchart.v1.3" hidden="1">pivots!$Q$20:$Q$29</definedName>
    <definedName name="_xlchart.v1.4" hidden="1">pivots!$R$20:$R$29</definedName>
    <definedName name="_xlchart.v1.5" hidden="1">pivots!$S$20:$S$29</definedName>
    <definedName name="_xlchart.v1.6" hidden="1">pivots!$T$20:$T$29</definedName>
    <definedName name="_xlchart.v1.7" hidden="1">pivots!$U$20:$U$29</definedName>
    <definedName name="Slicer_Booking_Status">#N/A</definedName>
    <definedName name="Slicer_Client_Type">#N/A</definedName>
    <definedName name="Slicer_Marketing_Channel">#N/A</definedName>
    <definedName name="Slicer_MONHT">#N/A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 i="2" l="1"/>
  <c r="O20" i="2"/>
  <c r="P20" i="2"/>
  <c r="Q20" i="2"/>
  <c r="R20" i="2"/>
  <c r="S20" i="2"/>
  <c r="T20" i="2"/>
  <c r="U20" i="2"/>
  <c r="N21" i="2"/>
  <c r="O21" i="2"/>
  <c r="P21" i="2"/>
  <c r="Q21" i="2"/>
  <c r="R21" i="2"/>
  <c r="S21" i="2"/>
  <c r="T21" i="2"/>
  <c r="U21" i="2"/>
  <c r="N22" i="2"/>
  <c r="O22" i="2"/>
  <c r="P22" i="2"/>
  <c r="Q22" i="2"/>
  <c r="R22" i="2"/>
  <c r="S22" i="2"/>
  <c r="T22" i="2"/>
  <c r="U22" i="2"/>
  <c r="N23" i="2"/>
  <c r="O23" i="2"/>
  <c r="P23" i="2"/>
  <c r="Q23" i="2"/>
  <c r="R23" i="2"/>
  <c r="S23" i="2"/>
  <c r="T23" i="2"/>
  <c r="U23" i="2"/>
  <c r="N24" i="2"/>
  <c r="O24" i="2"/>
  <c r="P24" i="2"/>
  <c r="Q24" i="2"/>
  <c r="R24" i="2"/>
  <c r="S24" i="2"/>
  <c r="T24" i="2"/>
  <c r="U24" i="2"/>
  <c r="N25" i="2"/>
  <c r="O25" i="2"/>
  <c r="P25" i="2"/>
  <c r="Q25" i="2"/>
  <c r="R25" i="2"/>
  <c r="S25" i="2"/>
  <c r="T25" i="2"/>
  <c r="U25" i="2"/>
  <c r="N26" i="2"/>
  <c r="O26" i="2"/>
  <c r="P26" i="2"/>
  <c r="Q26" i="2"/>
  <c r="R26" i="2"/>
  <c r="S26" i="2"/>
  <c r="T26" i="2"/>
  <c r="U26" i="2"/>
  <c r="N27" i="2"/>
  <c r="O27" i="2"/>
  <c r="P27" i="2"/>
  <c r="Q27" i="2"/>
  <c r="R27" i="2"/>
  <c r="S27" i="2"/>
  <c r="T27" i="2"/>
  <c r="U27" i="2"/>
  <c r="N28" i="2"/>
  <c r="O28" i="2"/>
  <c r="P28" i="2"/>
  <c r="Q28" i="2"/>
  <c r="R28" i="2"/>
  <c r="S28" i="2"/>
  <c r="T28" i="2"/>
  <c r="U28" i="2"/>
  <c r="N29" i="2"/>
  <c r="O29" i="2"/>
  <c r="P29" i="2"/>
  <c r="Q29" i="2"/>
  <c r="R29" i="2"/>
  <c r="S29" i="2"/>
  <c r="T29" i="2"/>
  <c r="U29" i="2"/>
  <c r="G70" i="2"/>
  <c r="F70" i="2"/>
  <c r="D70" i="2"/>
  <c r="E70" i="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3" i="1"/>
  <c r="B4" i="1"/>
  <c r="B5" i="1"/>
  <c r="B6" i="1"/>
  <c r="B7" i="1"/>
  <c r="B8" i="1"/>
  <c r="B9" i="1"/>
  <c r="B10" i="1"/>
  <c r="B11" i="1"/>
  <c r="B12" i="1"/>
  <c r="B13" i="1"/>
  <c r="B14" i="1"/>
  <c r="B15" i="1"/>
  <c r="B16" i="1"/>
  <c r="B17" i="1"/>
  <c r="B18" i="1"/>
  <c r="B19" i="1"/>
  <c r="B20" i="1"/>
  <c r="B21" i="1"/>
  <c r="B2" i="1"/>
</calcChain>
</file>

<file path=xl/sharedStrings.xml><?xml version="1.0" encoding="utf-8"?>
<sst xmlns="http://schemas.openxmlformats.org/spreadsheetml/2006/main" count="14107" uniqueCount="1511">
  <si>
    <t>Date</t>
  </si>
  <si>
    <t>Time</t>
  </si>
  <si>
    <t>Service Type</t>
  </si>
  <si>
    <t>Ad Spend</t>
  </si>
  <si>
    <t>Conversions</t>
  </si>
  <si>
    <t>Revenue</t>
  </si>
  <si>
    <t>Employee</t>
  </si>
  <si>
    <t>Client Type</t>
  </si>
  <si>
    <t>Marketing Channel</t>
  </si>
  <si>
    <t>Booking Status</t>
  </si>
  <si>
    <t>Stylist Score</t>
  </si>
  <si>
    <t>2025-01-20</t>
  </si>
  <si>
    <t>Morning</t>
  </si>
  <si>
    <t>Just</t>
  </si>
  <si>
    <t>Jessica</t>
  </si>
  <si>
    <t>New</t>
  </si>
  <si>
    <t>Email Campaign</t>
  </si>
  <si>
    <t>Confirmed</t>
  </si>
  <si>
    <t>2025-03-24</t>
  </si>
  <si>
    <t>Afternoon</t>
  </si>
  <si>
    <t>Future</t>
  </si>
  <si>
    <t>Samuel</t>
  </si>
  <si>
    <t>2025-04-15</t>
  </si>
  <si>
    <t>Consumer</t>
  </si>
  <si>
    <t>Christopher</t>
  </si>
  <si>
    <t>Facebook Ads</t>
  </si>
  <si>
    <t>2024-12-23</t>
  </si>
  <si>
    <t>Each</t>
  </si>
  <si>
    <t>Michael</t>
  </si>
  <si>
    <t>Returning</t>
  </si>
  <si>
    <t>Google Ads</t>
  </si>
  <si>
    <t>2025-01-28</t>
  </si>
  <si>
    <t>Night</t>
  </si>
  <si>
    <t>Tax</t>
  </si>
  <si>
    <t>Eric</t>
  </si>
  <si>
    <t>Loyal</t>
  </si>
  <si>
    <t>Organic Search</t>
  </si>
  <si>
    <t>2024-12-17</t>
  </si>
  <si>
    <t>Ahead</t>
  </si>
  <si>
    <t>Leah</t>
  </si>
  <si>
    <t>2025-03-30</t>
  </si>
  <si>
    <t>Bar</t>
  </si>
  <si>
    <t>Joshua</t>
  </si>
  <si>
    <t>2024-11-30</t>
  </si>
  <si>
    <t>Ask</t>
  </si>
  <si>
    <t>Karen</t>
  </si>
  <si>
    <t>Cancelled</t>
  </si>
  <si>
    <t>2024-12-28</t>
  </si>
  <si>
    <t>Less</t>
  </si>
  <si>
    <t>Joseph</t>
  </si>
  <si>
    <t>2024-12-11</t>
  </si>
  <si>
    <t>Toward</t>
  </si>
  <si>
    <t>James</t>
  </si>
  <si>
    <t>Referral</t>
  </si>
  <si>
    <t>2025-02-09</t>
  </si>
  <si>
    <t>Tell</t>
  </si>
  <si>
    <t>2024-12-30</t>
  </si>
  <si>
    <t>Effort</t>
  </si>
  <si>
    <t>Ryan</t>
  </si>
  <si>
    <t>2025-03-04</t>
  </si>
  <si>
    <t>Possible</t>
  </si>
  <si>
    <t>Sarah</t>
  </si>
  <si>
    <t>2025-02-02</t>
  </si>
  <si>
    <t>Evening</t>
  </si>
  <si>
    <t>Real</t>
  </si>
  <si>
    <t>Melissa</t>
  </si>
  <si>
    <t>Factor</t>
  </si>
  <si>
    <t>Kristen</t>
  </si>
  <si>
    <t>2025-04-28</t>
  </si>
  <si>
    <t>Information</t>
  </si>
  <si>
    <t>Olivia</t>
  </si>
  <si>
    <t>2024-12-26</t>
  </si>
  <si>
    <t>Program</t>
  </si>
  <si>
    <t>Breanna</t>
  </si>
  <si>
    <t>2024-11-19</t>
  </si>
  <si>
    <t>Letter</t>
  </si>
  <si>
    <t>2025-01-25</t>
  </si>
  <si>
    <t>Kind</t>
  </si>
  <si>
    <t>Lori</t>
  </si>
  <si>
    <t>2024-11-06</t>
  </si>
  <si>
    <t>Usually</t>
  </si>
  <si>
    <t>Kenneth</t>
  </si>
  <si>
    <t>2025-04-24</t>
  </si>
  <si>
    <t>Line</t>
  </si>
  <si>
    <t>2024-10-30</t>
  </si>
  <si>
    <t>Benefit</t>
  </si>
  <si>
    <t>Jeffery</t>
  </si>
  <si>
    <t>Instagram</t>
  </si>
  <si>
    <t>2024-11-13</t>
  </si>
  <si>
    <t>Rest</t>
  </si>
  <si>
    <t>Jaclyn</t>
  </si>
  <si>
    <t>2025-03-25</t>
  </si>
  <si>
    <t>Natural</t>
  </si>
  <si>
    <t>Kathleen</t>
  </si>
  <si>
    <t>2025-01-24</t>
  </si>
  <si>
    <t>Late</t>
  </si>
  <si>
    <t>Stephanie</t>
  </si>
  <si>
    <t>2024-12-18</t>
  </si>
  <si>
    <t>Phone</t>
  </si>
  <si>
    <t>Patricia</t>
  </si>
  <si>
    <t>Care</t>
  </si>
  <si>
    <t>Megan</t>
  </si>
  <si>
    <t>2025-03-05</t>
  </si>
  <si>
    <t>Bank</t>
  </si>
  <si>
    <t>Matthew</t>
  </si>
  <si>
    <t>2025-01-22</t>
  </si>
  <si>
    <t>Trial</t>
  </si>
  <si>
    <t>Gabrielle</t>
  </si>
  <si>
    <t>2025-03-27</t>
  </si>
  <si>
    <t>Action</t>
  </si>
  <si>
    <t>2025-04-21</t>
  </si>
  <si>
    <t>Environmental</t>
  </si>
  <si>
    <t>Laura</t>
  </si>
  <si>
    <t>2025-03-21</t>
  </si>
  <si>
    <t>Read</t>
  </si>
  <si>
    <t>2025-02-03</t>
  </si>
  <si>
    <t>Reduce</t>
  </si>
  <si>
    <t>2025-03-29</t>
  </si>
  <si>
    <t>Might</t>
  </si>
  <si>
    <t>Julie</t>
  </si>
  <si>
    <t>2025-03-28</t>
  </si>
  <si>
    <t>Film</t>
  </si>
  <si>
    <t>Donald</t>
  </si>
  <si>
    <t>2025-04-17</t>
  </si>
  <si>
    <t>Realize</t>
  </si>
  <si>
    <t>Dana</t>
  </si>
  <si>
    <t>2024-11-14</t>
  </si>
  <si>
    <t>Sing</t>
  </si>
  <si>
    <t>Caleb</t>
  </si>
  <si>
    <t>2025-01-06</t>
  </si>
  <si>
    <t>Suffer</t>
  </si>
  <si>
    <t>2024-11-05</t>
  </si>
  <si>
    <t>Darlene</t>
  </si>
  <si>
    <t>2025-03-23</t>
  </si>
  <si>
    <t>Sort</t>
  </si>
  <si>
    <t>Hayley</t>
  </si>
  <si>
    <t>2025-02-17</t>
  </si>
  <si>
    <t>Message</t>
  </si>
  <si>
    <t>Elizabeth</t>
  </si>
  <si>
    <t>2024-12-03</t>
  </si>
  <si>
    <t>Partner</t>
  </si>
  <si>
    <t>Alexis</t>
  </si>
  <si>
    <t>2024-12-10</t>
  </si>
  <si>
    <t>Until</t>
  </si>
  <si>
    <t>Deal</t>
  </si>
  <si>
    <t>Austin</t>
  </si>
  <si>
    <t>Live</t>
  </si>
  <si>
    <t>John</t>
  </si>
  <si>
    <t>2025-04-06</t>
  </si>
  <si>
    <t>Response</t>
  </si>
  <si>
    <t>Seth</t>
  </si>
  <si>
    <t>National</t>
  </si>
  <si>
    <t>Shelby</t>
  </si>
  <si>
    <t>2025-01-02</t>
  </si>
  <si>
    <t>Meet</t>
  </si>
  <si>
    <t>Phillip</t>
  </si>
  <si>
    <t>2024-12-09</t>
  </si>
  <si>
    <t>Consider</t>
  </si>
  <si>
    <t>Andrew</t>
  </si>
  <si>
    <t>2025-02-05</t>
  </si>
  <si>
    <t>Condition</t>
  </si>
  <si>
    <t>David</t>
  </si>
  <si>
    <t>2025-04-18</t>
  </si>
  <si>
    <t>Republican</t>
  </si>
  <si>
    <t>2025-02-20</t>
  </si>
  <si>
    <t>His</t>
  </si>
  <si>
    <t>Christina</t>
  </si>
  <si>
    <t>Discussion</t>
  </si>
  <si>
    <t>Heidi</t>
  </si>
  <si>
    <t>2025-02-14</t>
  </si>
  <si>
    <t>Company</t>
  </si>
  <si>
    <t>Tonya</t>
  </si>
  <si>
    <t>2025-02-26</t>
  </si>
  <si>
    <t>Animal</t>
  </si>
  <si>
    <t>Daniel</t>
  </si>
  <si>
    <t>2025-03-16</t>
  </si>
  <si>
    <t>Top</t>
  </si>
  <si>
    <t>Curtis</t>
  </si>
  <si>
    <t>2024-12-15</t>
  </si>
  <si>
    <t>Her</t>
  </si>
  <si>
    <t>Justin</t>
  </si>
  <si>
    <t>2024-11-24</t>
  </si>
  <si>
    <t>Manage</t>
  </si>
  <si>
    <t>Henry</t>
  </si>
  <si>
    <t>2025-03-11</t>
  </si>
  <si>
    <t>Soldier</t>
  </si>
  <si>
    <t>Donna</t>
  </si>
  <si>
    <t>2025-01-27</t>
  </si>
  <si>
    <t>Too</t>
  </si>
  <si>
    <t>2025-02-15</t>
  </si>
  <si>
    <t>Left</t>
  </si>
  <si>
    <t>2024-11-09</t>
  </si>
  <si>
    <t>Fast</t>
  </si>
  <si>
    <t>Kerri</t>
  </si>
  <si>
    <t>2024-11-16</t>
  </si>
  <si>
    <t>Either</t>
  </si>
  <si>
    <t>Raymond</t>
  </si>
  <si>
    <t>Power</t>
  </si>
  <si>
    <t>Richard</t>
  </si>
  <si>
    <t>2025-04-04</t>
  </si>
  <si>
    <t>Argue</t>
  </si>
  <si>
    <t>Erica</t>
  </si>
  <si>
    <t>2025-03-15</t>
  </si>
  <si>
    <t>Expect</t>
  </si>
  <si>
    <t>Brianna</t>
  </si>
  <si>
    <t>2025-02-11</t>
  </si>
  <si>
    <t>Own</t>
  </si>
  <si>
    <t>Christian</t>
  </si>
  <si>
    <t>2024-11-26</t>
  </si>
  <si>
    <t>Word</t>
  </si>
  <si>
    <t>Carlos</t>
  </si>
  <si>
    <t>2025-02-19</t>
  </si>
  <si>
    <t>Tonight</t>
  </si>
  <si>
    <t>Jeffrey</t>
  </si>
  <si>
    <t>2025-03-10</t>
  </si>
  <si>
    <t>Skin</t>
  </si>
  <si>
    <t>2025-02-06</t>
  </si>
  <si>
    <t>Manager</t>
  </si>
  <si>
    <t>Technology</t>
  </si>
  <si>
    <t>Dustin</t>
  </si>
  <si>
    <t>2024-12-04</t>
  </si>
  <si>
    <t>Picture</t>
  </si>
  <si>
    <t>Melinda</t>
  </si>
  <si>
    <t>Tree</t>
  </si>
  <si>
    <t>Try</t>
  </si>
  <si>
    <t>Robert</t>
  </si>
  <si>
    <t>2025-02-27</t>
  </si>
  <si>
    <t>Democrat</t>
  </si>
  <si>
    <t>Candidate</t>
  </si>
  <si>
    <t>Angela</t>
  </si>
  <si>
    <t>2025-01-16</t>
  </si>
  <si>
    <t>Position</t>
  </si>
  <si>
    <t>Nicholas</t>
  </si>
  <si>
    <t>2025-03-31</t>
  </si>
  <si>
    <t>Know</t>
  </si>
  <si>
    <t>Steven</t>
  </si>
  <si>
    <t>2025-04-12</t>
  </si>
  <si>
    <t>George</t>
  </si>
  <si>
    <t>2025-03-20</t>
  </si>
  <si>
    <t>Blue</t>
  </si>
  <si>
    <t>Travis</t>
  </si>
  <si>
    <t>2024-12-01</t>
  </si>
  <si>
    <t>Local</t>
  </si>
  <si>
    <t>Alexander</t>
  </si>
  <si>
    <t>2025-02-18</t>
  </si>
  <si>
    <t>Number</t>
  </si>
  <si>
    <t>Alex</t>
  </si>
  <si>
    <t>2025-03-22</t>
  </si>
  <si>
    <t>Fire</t>
  </si>
  <si>
    <t>Aaron</t>
  </si>
  <si>
    <t>2024-12-08</t>
  </si>
  <si>
    <t>Down</t>
  </si>
  <si>
    <t>2024-11-25</t>
  </si>
  <si>
    <t>Both</t>
  </si>
  <si>
    <t>2024-11-21</t>
  </si>
  <si>
    <t>Coach</t>
  </si>
  <si>
    <t>Story</t>
  </si>
  <si>
    <t>Antonio</t>
  </si>
  <si>
    <t>2025-02-13</t>
  </si>
  <si>
    <t>Its</t>
  </si>
  <si>
    <t>Allison</t>
  </si>
  <si>
    <t>2024-10-31</t>
  </si>
  <si>
    <t>Movement</t>
  </si>
  <si>
    <t>See</t>
  </si>
  <si>
    <t>Carrie</t>
  </si>
  <si>
    <t>Go</t>
  </si>
  <si>
    <t>Take</t>
  </si>
  <si>
    <t>Mark</t>
  </si>
  <si>
    <t>Personal</t>
  </si>
  <si>
    <t>2024-12-24</t>
  </si>
  <si>
    <t>Play</t>
  </si>
  <si>
    <t>2025-01-18</t>
  </si>
  <si>
    <t>Will</t>
  </si>
  <si>
    <t>2024-11-17</t>
  </si>
  <si>
    <t>2024-12-07</t>
  </si>
  <si>
    <t>Give</t>
  </si>
  <si>
    <t>Carla</t>
  </si>
  <si>
    <t>2025-02-28</t>
  </si>
  <si>
    <t>Buy</t>
  </si>
  <si>
    <t>William</t>
  </si>
  <si>
    <t>2025-02-12</t>
  </si>
  <si>
    <t>Use</t>
  </si>
  <si>
    <t>Alec</t>
  </si>
  <si>
    <t>2024-11-28</t>
  </si>
  <si>
    <t>Gregory</t>
  </si>
  <si>
    <t>Rich</t>
  </si>
  <si>
    <t>Kevin</t>
  </si>
  <si>
    <t>2025-02-16</t>
  </si>
  <si>
    <t>Beautiful</t>
  </si>
  <si>
    <t>Tracy</t>
  </si>
  <si>
    <t>2025-01-30</t>
  </si>
  <si>
    <t>Bit</t>
  </si>
  <si>
    <t>Federal</t>
  </si>
  <si>
    <t>2024-11-12</t>
  </si>
  <si>
    <t>Claim</t>
  </si>
  <si>
    <t>2024-12-13</t>
  </si>
  <si>
    <t>Report</t>
  </si>
  <si>
    <t>Douglas</t>
  </si>
  <si>
    <t>2025-01-10</t>
  </si>
  <si>
    <t>Degree</t>
  </si>
  <si>
    <t>Economy</t>
  </si>
  <si>
    <t>Jennifer</t>
  </si>
  <si>
    <t>Security</t>
  </si>
  <si>
    <t>Jade</t>
  </si>
  <si>
    <t>2024-12-25</t>
  </si>
  <si>
    <t>Treat</t>
  </si>
  <si>
    <t>Miguel</t>
  </si>
  <si>
    <t>Whether</t>
  </si>
  <si>
    <t>Alexa</t>
  </si>
  <si>
    <t>2025-04-09</t>
  </si>
  <si>
    <t>Jonathan</t>
  </si>
  <si>
    <t>Professor</t>
  </si>
  <si>
    <t>2025-03-07</t>
  </si>
  <si>
    <t>Kelly</t>
  </si>
  <si>
    <t>Wish</t>
  </si>
  <si>
    <t>Sherry</t>
  </si>
  <si>
    <t>Finally</t>
  </si>
  <si>
    <t>Tanya</t>
  </si>
  <si>
    <t>Put</t>
  </si>
  <si>
    <t>Kaylee</t>
  </si>
  <si>
    <t>2025-04-05</t>
  </si>
  <si>
    <t>Anna</t>
  </si>
  <si>
    <t>2024-11-10</t>
  </si>
  <si>
    <t>Million</t>
  </si>
  <si>
    <t>2025-03-12</t>
  </si>
  <si>
    <t>Amount</t>
  </si>
  <si>
    <t>Bradley</t>
  </si>
  <si>
    <t>Market</t>
  </si>
  <si>
    <t>Edward</t>
  </si>
  <si>
    <t>And</t>
  </si>
  <si>
    <t>Shawn</t>
  </si>
  <si>
    <t>Government</t>
  </si>
  <si>
    <t>Vanessa</t>
  </si>
  <si>
    <t>Claudia</t>
  </si>
  <si>
    <t>Station</t>
  </si>
  <si>
    <t>2024-11-29</t>
  </si>
  <si>
    <t>Expert</t>
  </si>
  <si>
    <t>Alicia</t>
  </si>
  <si>
    <t>2025-04-26</t>
  </si>
  <si>
    <t>Camera</t>
  </si>
  <si>
    <t>2024-11-08</t>
  </si>
  <si>
    <t>Add</t>
  </si>
  <si>
    <t>2025-03-08</t>
  </si>
  <si>
    <t>Near</t>
  </si>
  <si>
    <t>Worker</t>
  </si>
  <si>
    <t>Cynthia</t>
  </si>
  <si>
    <t>Star</t>
  </si>
  <si>
    <t>Jacqueline</t>
  </si>
  <si>
    <t>Far</t>
  </si>
  <si>
    <t>Lauren</t>
  </si>
  <si>
    <t>Say</t>
  </si>
  <si>
    <t>2025-04-01</t>
  </si>
  <si>
    <t>Act</t>
  </si>
  <si>
    <t>2025-01-07</t>
  </si>
  <si>
    <t>Wrong</t>
  </si>
  <si>
    <t>Kaitlyn</t>
  </si>
  <si>
    <t>2025-03-09</t>
  </si>
  <si>
    <t>Recognize</t>
  </si>
  <si>
    <t>Television</t>
  </si>
  <si>
    <t>Calvin</t>
  </si>
  <si>
    <t>2025-01-14</t>
  </si>
  <si>
    <t>Few</t>
  </si>
  <si>
    <t>Don</t>
  </si>
  <si>
    <t>Join</t>
  </si>
  <si>
    <t>Charles</t>
  </si>
  <si>
    <t>2024-11-20</t>
  </si>
  <si>
    <t>Many</t>
  </si>
  <si>
    <t>Dennis</t>
  </si>
  <si>
    <t>2025-03-02</t>
  </si>
  <si>
    <t>Service</t>
  </si>
  <si>
    <t>Kayla</t>
  </si>
  <si>
    <t>Myself</t>
  </si>
  <si>
    <t>Amanda</t>
  </si>
  <si>
    <t>Institution</t>
  </si>
  <si>
    <t>Thomas</t>
  </si>
  <si>
    <t>Language</t>
  </si>
  <si>
    <t>2025-04-23</t>
  </si>
  <si>
    <t>Away</t>
  </si>
  <si>
    <t>Simple</t>
  </si>
  <si>
    <t>Lindsay</t>
  </si>
  <si>
    <t>2025-02-23</t>
  </si>
  <si>
    <t>Pass</t>
  </si>
  <si>
    <t>Pressure</t>
  </si>
  <si>
    <t>2024-12-31</t>
  </si>
  <si>
    <t>Inside</t>
  </si>
  <si>
    <t>Guess</t>
  </si>
  <si>
    <t>Joann</t>
  </si>
  <si>
    <t>2025-02-25</t>
  </si>
  <si>
    <t>Example</t>
  </si>
  <si>
    <t>Amy</t>
  </si>
  <si>
    <t>Relationship</t>
  </si>
  <si>
    <t>Julia</t>
  </si>
  <si>
    <t>2025-01-21</t>
  </si>
  <si>
    <t>Against</t>
  </si>
  <si>
    <t>Stephen</t>
  </si>
  <si>
    <t>Brian</t>
  </si>
  <si>
    <t>Arm</t>
  </si>
  <si>
    <t>Mitchell</t>
  </si>
  <si>
    <t>Outside</t>
  </si>
  <si>
    <t>Cup</t>
  </si>
  <si>
    <t>2025-02-07</t>
  </si>
  <si>
    <t>Cheryl</t>
  </si>
  <si>
    <t>2025-03-06</t>
  </si>
  <si>
    <t>Financial</t>
  </si>
  <si>
    <t>2025-03-13</t>
  </si>
  <si>
    <t>For</t>
  </si>
  <si>
    <t>2025-01-13</t>
  </si>
  <si>
    <t>Part</t>
  </si>
  <si>
    <t>Alan</t>
  </si>
  <si>
    <t>2024-11-23</t>
  </si>
  <si>
    <t>Indicate</t>
  </si>
  <si>
    <t>Judith</t>
  </si>
  <si>
    <t>Meeting</t>
  </si>
  <si>
    <t>Veronica</t>
  </si>
  <si>
    <t>Section</t>
  </si>
  <si>
    <t>2025-04-08</t>
  </si>
  <si>
    <t>Turn</t>
  </si>
  <si>
    <t>Ever</t>
  </si>
  <si>
    <t>Janice</t>
  </si>
  <si>
    <t>Drop</t>
  </si>
  <si>
    <t>Produce</t>
  </si>
  <si>
    <t>2024-11-15</t>
  </si>
  <si>
    <t>Timothy</t>
  </si>
  <si>
    <t>By</t>
  </si>
  <si>
    <t>Sydney</t>
  </si>
  <si>
    <t>Laugh</t>
  </si>
  <si>
    <t>Necessary</t>
  </si>
  <si>
    <t>Rebecca</t>
  </si>
  <si>
    <t>2025-03-18</t>
  </si>
  <si>
    <t>Alyssa</t>
  </si>
  <si>
    <t>Already</t>
  </si>
  <si>
    <t>Office</t>
  </si>
  <si>
    <t>Dylan</t>
  </si>
  <si>
    <t>2025-01-01</t>
  </si>
  <si>
    <t>Magazine</t>
  </si>
  <si>
    <t>Exactly</t>
  </si>
  <si>
    <t>Protect</t>
  </si>
  <si>
    <t>Rhonda</t>
  </si>
  <si>
    <t>2025-04-27</t>
  </si>
  <si>
    <t>Alone</t>
  </si>
  <si>
    <t>Direction</t>
  </si>
  <si>
    <t>April</t>
  </si>
  <si>
    <t>Reality</t>
  </si>
  <si>
    <t>Scene</t>
  </si>
  <si>
    <t>Plant</t>
  </si>
  <si>
    <t>Keep</t>
  </si>
  <si>
    <t>Understand</t>
  </si>
  <si>
    <t>Roger</t>
  </si>
  <si>
    <t>2024-12-22</t>
  </si>
  <si>
    <t>Betty</t>
  </si>
  <si>
    <t>The</t>
  </si>
  <si>
    <t>Tammy</t>
  </si>
  <si>
    <t>Firm</t>
  </si>
  <si>
    <t>Start</t>
  </si>
  <si>
    <t>Somebody</t>
  </si>
  <si>
    <t>Him</t>
  </si>
  <si>
    <t>Stop</t>
  </si>
  <si>
    <t>Traci</t>
  </si>
  <si>
    <t>Several</t>
  </si>
  <si>
    <t>2025-04-13</t>
  </si>
  <si>
    <t>Piece</t>
  </si>
  <si>
    <t>Pamela</t>
  </si>
  <si>
    <t>Day</t>
  </si>
  <si>
    <t>2025-03-19</t>
  </si>
  <si>
    <t>Provide</t>
  </si>
  <si>
    <t>Hannah</t>
  </si>
  <si>
    <t>A</t>
  </si>
  <si>
    <t>Deborah</t>
  </si>
  <si>
    <t>Center</t>
  </si>
  <si>
    <t>Anne</t>
  </si>
  <si>
    <t>Catch</t>
  </si>
  <si>
    <t>Mary</t>
  </si>
  <si>
    <t>2025-04-14</t>
  </si>
  <si>
    <t>Fly</t>
  </si>
  <si>
    <t>Derek</t>
  </si>
  <si>
    <t>2025-03-03</t>
  </si>
  <si>
    <t>Apply</t>
  </si>
  <si>
    <t>Wanda</t>
  </si>
  <si>
    <t>2025-03-14</t>
  </si>
  <si>
    <t>Side</t>
  </si>
  <si>
    <t>Summer</t>
  </si>
  <si>
    <t>Sharon</t>
  </si>
  <si>
    <t>Agree</t>
  </si>
  <si>
    <t>2025-04-29</t>
  </si>
  <si>
    <t>Thank</t>
  </si>
  <si>
    <t>2024-12-20</t>
  </si>
  <si>
    <t>Clearly</t>
  </si>
  <si>
    <t>Specific</t>
  </si>
  <si>
    <t>Joel</t>
  </si>
  <si>
    <t>Anthony</t>
  </si>
  <si>
    <t>Imagine</t>
  </si>
  <si>
    <t>Holly</t>
  </si>
  <si>
    <t>We</t>
  </si>
  <si>
    <t>Margaret</t>
  </si>
  <si>
    <t>Situation</t>
  </si>
  <si>
    <t>Grow</t>
  </si>
  <si>
    <t>2025-01-19</t>
  </si>
  <si>
    <t>Fish</t>
  </si>
  <si>
    <t>Patrick</t>
  </si>
  <si>
    <t>2025-04-19</t>
  </si>
  <si>
    <t>I</t>
  </si>
  <si>
    <t>Christine</t>
  </si>
  <si>
    <t>2024-12-29</t>
  </si>
  <si>
    <t>Rock</t>
  </si>
  <si>
    <t>2024-12-14</t>
  </si>
  <si>
    <t>Pay</t>
  </si>
  <si>
    <t>Melanie</t>
  </si>
  <si>
    <t>Success</t>
  </si>
  <si>
    <t>Casey</t>
  </si>
  <si>
    <t>Accept</t>
  </si>
  <si>
    <t>Sean</t>
  </si>
  <si>
    <t>2024-12-16</t>
  </si>
  <si>
    <t>Everybody</t>
  </si>
  <si>
    <t>Key</t>
  </si>
  <si>
    <t>Allen</t>
  </si>
  <si>
    <t>2025-03-26</t>
  </si>
  <si>
    <t>Law</t>
  </si>
  <si>
    <t>On</t>
  </si>
  <si>
    <t>What</t>
  </si>
  <si>
    <t>2025-04-22</t>
  </si>
  <si>
    <t>Howard</t>
  </si>
  <si>
    <t>Business</t>
  </si>
  <si>
    <t>2025-01-29</t>
  </si>
  <si>
    <t>Administration</t>
  </si>
  <si>
    <t>Connie</t>
  </si>
  <si>
    <t>Us</t>
  </si>
  <si>
    <t>Eye</t>
  </si>
  <si>
    <t>2025-01-04</t>
  </si>
  <si>
    <t>Week</t>
  </si>
  <si>
    <t>Kimberly</t>
  </si>
  <si>
    <t>Fight</t>
  </si>
  <si>
    <t>List</t>
  </si>
  <si>
    <t>2025-02-24</t>
  </si>
  <si>
    <t>Should</t>
  </si>
  <si>
    <t>Baby</t>
  </si>
  <si>
    <t>Erin</t>
  </si>
  <si>
    <t>Practice</t>
  </si>
  <si>
    <t>Sea</t>
  </si>
  <si>
    <t>Human</t>
  </si>
  <si>
    <t>Wide</t>
  </si>
  <si>
    <t>Gail</t>
  </si>
  <si>
    <t>Nearly</t>
  </si>
  <si>
    <t>Bad</t>
  </si>
  <si>
    <t>2025-04-07</t>
  </si>
  <si>
    <t>Staff</t>
  </si>
  <si>
    <t>Out</t>
  </si>
  <si>
    <t>Role</t>
  </si>
  <si>
    <t>Around</t>
  </si>
  <si>
    <t>Subject</t>
  </si>
  <si>
    <t>Alejandro</t>
  </si>
  <si>
    <t>Well</t>
  </si>
  <si>
    <t>Sally</t>
  </si>
  <si>
    <t>2024-11-18</t>
  </si>
  <si>
    <t>Others</t>
  </si>
  <si>
    <t>Authority</t>
  </si>
  <si>
    <t>Black</t>
  </si>
  <si>
    <t>Neil</t>
  </si>
  <si>
    <t>Lay</t>
  </si>
  <si>
    <t>Gary</t>
  </si>
  <si>
    <t>Trip</t>
  </si>
  <si>
    <t>Mouth</t>
  </si>
  <si>
    <t>Tristan</t>
  </si>
  <si>
    <t>2025-02-04</t>
  </si>
  <si>
    <t>Water</t>
  </si>
  <si>
    <t>Else</t>
  </si>
  <si>
    <t>Of</t>
  </si>
  <si>
    <t>Process</t>
  </si>
  <si>
    <t>Samantha</t>
  </si>
  <si>
    <t>Stacey</t>
  </si>
  <si>
    <t>Level</t>
  </si>
  <si>
    <t>Susan</t>
  </si>
  <si>
    <t>Oscar</t>
  </si>
  <si>
    <t>One</t>
  </si>
  <si>
    <t>End</t>
  </si>
  <si>
    <t>2025-01-17</t>
  </si>
  <si>
    <t>Church</t>
  </si>
  <si>
    <t>Our</t>
  </si>
  <si>
    <t>Arthur</t>
  </si>
  <si>
    <t>Good</t>
  </si>
  <si>
    <t>2025-01-05</t>
  </si>
  <si>
    <t>Terri</t>
  </si>
  <si>
    <t>Wind</t>
  </si>
  <si>
    <t>Ball</t>
  </si>
  <si>
    <t>Heavy</t>
  </si>
  <si>
    <t>Where</t>
  </si>
  <si>
    <t>Husband</t>
  </si>
  <si>
    <t>Paul</t>
  </si>
  <si>
    <t>Education</t>
  </si>
  <si>
    <t>Before</t>
  </si>
  <si>
    <t>2024-12-02</t>
  </si>
  <si>
    <t>Century</t>
  </si>
  <si>
    <t>Angie</t>
  </si>
  <si>
    <t>2025-01-12</t>
  </si>
  <si>
    <t>Daughter</t>
  </si>
  <si>
    <t>Itself</t>
  </si>
  <si>
    <t>2025-03-01</t>
  </si>
  <si>
    <t>Modern</t>
  </si>
  <si>
    <t>Ethan</t>
  </si>
  <si>
    <t>Back</t>
  </si>
  <si>
    <t>Kim</t>
  </si>
  <si>
    <t>Virginia</t>
  </si>
  <si>
    <t>Event</t>
  </si>
  <si>
    <t>Available</t>
  </si>
  <si>
    <t>Louis</t>
  </si>
  <si>
    <t>Western</t>
  </si>
  <si>
    <t>Monica</t>
  </si>
  <si>
    <t>Who</t>
  </si>
  <si>
    <t>Terry</t>
  </si>
  <si>
    <t>Cassandra</t>
  </si>
  <si>
    <t>However</t>
  </si>
  <si>
    <t>2024-11-27</t>
  </si>
  <si>
    <t>You</t>
  </si>
  <si>
    <t>Jon</t>
  </si>
  <si>
    <t>Hour</t>
  </si>
  <si>
    <t>Maurice</t>
  </si>
  <si>
    <t>Tami</t>
  </si>
  <si>
    <t>Under</t>
  </si>
  <si>
    <t>Purpose</t>
  </si>
  <si>
    <t>Jay</t>
  </si>
  <si>
    <t>2025-01-11</t>
  </si>
  <si>
    <t>Material</t>
  </si>
  <si>
    <t>Grant</t>
  </si>
  <si>
    <t>Price</t>
  </si>
  <si>
    <t>2025-01-15</t>
  </si>
  <si>
    <t>Thousand</t>
  </si>
  <si>
    <t>Crystal</t>
  </si>
  <si>
    <t>Cold</t>
  </si>
  <si>
    <t>Hard</t>
  </si>
  <si>
    <t>Low</t>
  </si>
  <si>
    <t>Two</t>
  </si>
  <si>
    <t>Memory</t>
  </si>
  <si>
    <t>Room</t>
  </si>
  <si>
    <t>Yourself</t>
  </si>
  <si>
    <t>Much</t>
  </si>
  <si>
    <t>Gilbert</t>
  </si>
  <si>
    <t>Once</t>
  </si>
  <si>
    <t>North</t>
  </si>
  <si>
    <t>Happen</t>
  </si>
  <si>
    <t>2025-01-08</t>
  </si>
  <si>
    <t>Point</t>
  </si>
  <si>
    <t>Shane</t>
  </si>
  <si>
    <t>Movie</t>
  </si>
  <si>
    <t>Chelsea</t>
  </si>
  <si>
    <t>2025-02-22</t>
  </si>
  <si>
    <t>Concern</t>
  </si>
  <si>
    <t>Nature</t>
  </si>
  <si>
    <t>Chloe</t>
  </si>
  <si>
    <t>2024-11-04</t>
  </si>
  <si>
    <t>Help</t>
  </si>
  <si>
    <t>2025-01-26</t>
  </si>
  <si>
    <t>Jack</t>
  </si>
  <si>
    <t>Budget</t>
  </si>
  <si>
    <t>Shirley</t>
  </si>
  <si>
    <t>Poor</t>
  </si>
  <si>
    <t>Daryl</t>
  </si>
  <si>
    <t>Hand</t>
  </si>
  <si>
    <t>2025-04-10</t>
  </si>
  <si>
    <t>Improve</t>
  </si>
  <si>
    <t>No</t>
  </si>
  <si>
    <t>2025-04-20</t>
  </si>
  <si>
    <t>Professional</t>
  </si>
  <si>
    <t>South</t>
  </si>
  <si>
    <t>Caitlin</t>
  </si>
  <si>
    <t>Or</t>
  </si>
  <si>
    <t>Jason</t>
  </si>
  <si>
    <t>Avoid</t>
  </si>
  <si>
    <t>Agent</t>
  </si>
  <si>
    <t>Rachel</t>
  </si>
  <si>
    <t>But</t>
  </si>
  <si>
    <t>Later</t>
  </si>
  <si>
    <t>Mathew</t>
  </si>
  <si>
    <t>Friend</t>
  </si>
  <si>
    <t>Sandra</t>
  </si>
  <si>
    <t>2024-12-19</t>
  </si>
  <si>
    <t>Hear</t>
  </si>
  <si>
    <t>Nice</t>
  </si>
  <si>
    <t>2025-04-02</t>
  </si>
  <si>
    <t>Attorney</t>
  </si>
  <si>
    <t>Nation</t>
  </si>
  <si>
    <t>Whose</t>
  </si>
  <si>
    <t>Receive</t>
  </si>
  <si>
    <t>Scott</t>
  </si>
  <si>
    <t>Three</t>
  </si>
  <si>
    <t>2024-11-22</t>
  </si>
  <si>
    <t>Talk</t>
  </si>
  <si>
    <t>Ebony</t>
  </si>
  <si>
    <t>Cover</t>
  </si>
  <si>
    <t>White</t>
  </si>
  <si>
    <t>2025-03-17</t>
  </si>
  <si>
    <t>During</t>
  </si>
  <si>
    <t>Kristy</t>
  </si>
  <si>
    <t>2025-02-10</t>
  </si>
  <si>
    <t>Include</t>
  </si>
  <si>
    <t>Hospital</t>
  </si>
  <si>
    <t>Write</t>
  </si>
  <si>
    <t>Lisa</t>
  </si>
  <si>
    <t>2025-01-09</t>
  </si>
  <si>
    <t>Ok</t>
  </si>
  <si>
    <t>Alexandra</t>
  </si>
  <si>
    <t>Reason</t>
  </si>
  <si>
    <t>Decade</t>
  </si>
  <si>
    <t>Miss</t>
  </si>
  <si>
    <t>Former</t>
  </si>
  <si>
    <t>Kendra</t>
  </si>
  <si>
    <t>Month</t>
  </si>
  <si>
    <t>Maria</t>
  </si>
  <si>
    <t>Learn</t>
  </si>
  <si>
    <t>Randy</t>
  </si>
  <si>
    <t>Visit</t>
  </si>
  <si>
    <t>Marisa</t>
  </si>
  <si>
    <t>Stock</t>
  </si>
  <si>
    <t>Nathan</t>
  </si>
  <si>
    <t>Run</t>
  </si>
  <si>
    <t>Remember</t>
  </si>
  <si>
    <t>Discover</t>
  </si>
  <si>
    <t>Town</t>
  </si>
  <si>
    <t>Suzanne</t>
  </si>
  <si>
    <t>Minute</t>
  </si>
  <si>
    <t>Kristine</t>
  </si>
  <si>
    <t>Debate</t>
  </si>
  <si>
    <t>Sit</t>
  </si>
  <si>
    <t>Krista</t>
  </si>
  <si>
    <t>Stefanie</t>
  </si>
  <si>
    <t>2024-12-27</t>
  </si>
  <si>
    <t>Successful</t>
  </si>
  <si>
    <t>Sara</t>
  </si>
  <si>
    <t>Only</t>
  </si>
  <si>
    <t>Conference</t>
  </si>
  <si>
    <t>2025-04-11</t>
  </si>
  <si>
    <t>Central</t>
  </si>
  <si>
    <t>Industry</t>
  </si>
  <si>
    <t>Bruce</t>
  </si>
  <si>
    <t>Common</t>
  </si>
  <si>
    <t>Eddie</t>
  </si>
  <si>
    <t>Affect</t>
  </si>
  <si>
    <t>Officer</t>
  </si>
  <si>
    <t>Base</t>
  </si>
  <si>
    <t>Save</t>
  </si>
  <si>
    <t>Tanner</t>
  </si>
  <si>
    <t>Director</t>
  </si>
  <si>
    <t>Six</t>
  </si>
  <si>
    <t>Why</t>
  </si>
  <si>
    <t>Ann</t>
  </si>
  <si>
    <t>Cell</t>
  </si>
  <si>
    <t>Heather</t>
  </si>
  <si>
    <t>Share</t>
  </si>
  <si>
    <t>Assume</t>
  </si>
  <si>
    <t>Year</t>
  </si>
  <si>
    <t>Those</t>
  </si>
  <si>
    <t>Nicole</t>
  </si>
  <si>
    <t>Organization</t>
  </si>
  <si>
    <t>Keith</t>
  </si>
  <si>
    <t>Answer</t>
  </si>
  <si>
    <t>2024-11-02</t>
  </si>
  <si>
    <t>Angel</t>
  </si>
  <si>
    <t>2025-02-08</t>
  </si>
  <si>
    <t>Born</t>
  </si>
  <si>
    <t>Laurie</t>
  </si>
  <si>
    <t>Suddenly</t>
  </si>
  <si>
    <t>Krystal</t>
  </si>
  <si>
    <t>Choose</t>
  </si>
  <si>
    <t>Paula</t>
  </si>
  <si>
    <t>Whole</t>
  </si>
  <si>
    <t>Michele</t>
  </si>
  <si>
    <t>Ago</t>
  </si>
  <si>
    <t>Willie</t>
  </si>
  <si>
    <t>2025-04-16</t>
  </si>
  <si>
    <t>Young</t>
  </si>
  <si>
    <t>Barbara</t>
  </si>
  <si>
    <t>Listen</t>
  </si>
  <si>
    <t>Order</t>
  </si>
  <si>
    <t>Majority</t>
  </si>
  <si>
    <t>Contain</t>
  </si>
  <si>
    <t>Wonder</t>
  </si>
  <si>
    <t>Kitchen</t>
  </si>
  <si>
    <t>Half</t>
  </si>
  <si>
    <t>Image</t>
  </si>
  <si>
    <t>Shari</t>
  </si>
  <si>
    <t>It</t>
  </si>
  <si>
    <t>Rebekah</t>
  </si>
  <si>
    <t>Some</t>
  </si>
  <si>
    <t>Michelle</t>
  </si>
  <si>
    <t>Red</t>
  </si>
  <si>
    <t>2025-01-23</t>
  </si>
  <si>
    <t>Support</t>
  </si>
  <si>
    <t>2025-01-31</t>
  </si>
  <si>
    <t>Race</t>
  </si>
  <si>
    <t>Cut</t>
  </si>
  <si>
    <t>Total</t>
  </si>
  <si>
    <t>Guy</t>
  </si>
  <si>
    <t>Clear</t>
  </si>
  <si>
    <t>Chase</t>
  </si>
  <si>
    <t>2025-02-21</t>
  </si>
  <si>
    <t>When</t>
  </si>
  <si>
    <t>Ricardo</t>
  </si>
  <si>
    <t>Eat</t>
  </si>
  <si>
    <t>Group</t>
  </si>
  <si>
    <t>Mean</t>
  </si>
  <si>
    <t>Religious</t>
  </si>
  <si>
    <t>2025-01-03</t>
  </si>
  <si>
    <t>Measure</t>
  </si>
  <si>
    <t>Fact</t>
  </si>
  <si>
    <t>Better</t>
  </si>
  <si>
    <t>Kristin</t>
  </si>
  <si>
    <t>Your</t>
  </si>
  <si>
    <t>Speech</t>
  </si>
  <si>
    <t>Lance</t>
  </si>
  <si>
    <t>Mission</t>
  </si>
  <si>
    <t>Property</t>
  </si>
  <si>
    <t>Steve</t>
  </si>
  <si>
    <t>Serve</t>
  </si>
  <si>
    <t>Jasmine</t>
  </si>
  <si>
    <t>2024-12-21</t>
  </si>
  <si>
    <t>General</t>
  </si>
  <si>
    <t>Julian</t>
  </si>
  <si>
    <t>If</t>
  </si>
  <si>
    <t>Morgan</t>
  </si>
  <si>
    <t>Production</t>
  </si>
  <si>
    <t>Jeremy</t>
  </si>
  <si>
    <t>Idea</t>
  </si>
  <si>
    <t>Andrea</t>
  </si>
  <si>
    <t>Interview</t>
  </si>
  <si>
    <t>Teresa</t>
  </si>
  <si>
    <t>Knowledge</t>
  </si>
  <si>
    <t>Any</t>
  </si>
  <si>
    <t>Activity</t>
  </si>
  <si>
    <t>Close</t>
  </si>
  <si>
    <t>Jesse</t>
  </si>
  <si>
    <t>Impact</t>
  </si>
  <si>
    <t>Diana</t>
  </si>
  <si>
    <t>Reveal</t>
  </si>
  <si>
    <t>Valerie</t>
  </si>
  <si>
    <t>Ability</t>
  </si>
  <si>
    <t>Corey</t>
  </si>
  <si>
    <t>2024-11-01</t>
  </si>
  <si>
    <t>Establish</t>
  </si>
  <si>
    <t>2024-11-11</t>
  </si>
  <si>
    <t>Wear</t>
  </si>
  <si>
    <t>Melvin</t>
  </si>
  <si>
    <t>Johnny</t>
  </si>
  <si>
    <t>Civil</t>
  </si>
  <si>
    <t>Set</t>
  </si>
  <si>
    <t>Strong</t>
  </si>
  <si>
    <t>2025-04-03</t>
  </si>
  <si>
    <t>Term</t>
  </si>
  <si>
    <t>Sometimes</t>
  </si>
  <si>
    <t>Artist</t>
  </si>
  <si>
    <t>Sheila</t>
  </si>
  <si>
    <t>Article</t>
  </si>
  <si>
    <t>Adrian</t>
  </si>
  <si>
    <t>2024-11-03</t>
  </si>
  <si>
    <t>Again</t>
  </si>
  <si>
    <t>Case</t>
  </si>
  <si>
    <t>Card</t>
  </si>
  <si>
    <t>Christy</t>
  </si>
  <si>
    <t>Senior</t>
  </si>
  <si>
    <t>Marcus</t>
  </si>
  <si>
    <t>Enter</t>
  </si>
  <si>
    <t>Brad</t>
  </si>
  <si>
    <t>Charge</t>
  </si>
  <si>
    <t>Notice</t>
  </si>
  <si>
    <t>Benjamin</t>
  </si>
  <si>
    <t>Surface</t>
  </si>
  <si>
    <t>Onto</t>
  </si>
  <si>
    <t>Chad</t>
  </si>
  <si>
    <t>Commercial</t>
  </si>
  <si>
    <t>Peter</t>
  </si>
  <si>
    <t>Truth</t>
  </si>
  <si>
    <t>So</t>
  </si>
  <si>
    <t>Other</t>
  </si>
  <si>
    <t>Site</t>
  </si>
  <si>
    <t>Lynn</t>
  </si>
  <si>
    <t>Difficult</t>
  </si>
  <si>
    <t>Space</t>
  </si>
  <si>
    <t>Main</t>
  </si>
  <si>
    <t>2024-12-12</t>
  </si>
  <si>
    <t>Dawn</t>
  </si>
  <si>
    <t>Account</t>
  </si>
  <si>
    <t>Instead</t>
  </si>
  <si>
    <t>Luis</t>
  </si>
  <si>
    <t>Road</t>
  </si>
  <si>
    <t>Mike</t>
  </si>
  <si>
    <t>Finish</t>
  </si>
  <si>
    <t>Career</t>
  </si>
  <si>
    <t>Theresa</t>
  </si>
  <si>
    <t>Enjoy</t>
  </si>
  <si>
    <t>Huge</t>
  </si>
  <si>
    <t>Jerry</t>
  </si>
  <si>
    <t>Emma</t>
  </si>
  <si>
    <t>Goal</t>
  </si>
  <si>
    <t>Yard</t>
  </si>
  <si>
    <t>Pattern</t>
  </si>
  <si>
    <t>Want</t>
  </si>
  <si>
    <t>Need</t>
  </si>
  <si>
    <t>Appear</t>
  </si>
  <si>
    <t>Discuss</t>
  </si>
  <si>
    <t>Floor</t>
  </si>
  <si>
    <t>Katelyn</t>
  </si>
  <si>
    <t>Not</t>
  </si>
  <si>
    <t>About</t>
  </si>
  <si>
    <t>Shelly</t>
  </si>
  <si>
    <t>Sherri</t>
  </si>
  <si>
    <t>East</t>
  </si>
  <si>
    <t>Catherine</t>
  </si>
  <si>
    <t>Congress</t>
  </si>
  <si>
    <t>Suggest</t>
  </si>
  <si>
    <t>Mrs</t>
  </si>
  <si>
    <t>Cindy</t>
  </si>
  <si>
    <t>Must</t>
  </si>
  <si>
    <t>Table</t>
  </si>
  <si>
    <t>Denise</t>
  </si>
  <si>
    <t>Jose</t>
  </si>
  <si>
    <t>Political</t>
  </si>
  <si>
    <t>Tyler</t>
  </si>
  <si>
    <t>2024-11-07</t>
  </si>
  <si>
    <t>After</t>
  </si>
  <si>
    <t>Pull</t>
  </si>
  <si>
    <t>Jared</t>
  </si>
  <si>
    <t>2025-02-01</t>
  </si>
  <si>
    <t>System</t>
  </si>
  <si>
    <t>While</t>
  </si>
  <si>
    <t>Russell</t>
  </si>
  <si>
    <t>Environment</t>
  </si>
  <si>
    <t>Jill</t>
  </si>
  <si>
    <t>Lead</t>
  </si>
  <si>
    <t>Figure</t>
  </si>
  <si>
    <t>Natasha</t>
  </si>
  <si>
    <t>News</t>
  </si>
  <si>
    <t>Kari</t>
  </si>
  <si>
    <t>Whatever</t>
  </si>
  <si>
    <t>Feeling</t>
  </si>
  <si>
    <t>Season</t>
  </si>
  <si>
    <t>Foot</t>
  </si>
  <si>
    <t>Victoria</t>
  </si>
  <si>
    <t>Them</t>
  </si>
  <si>
    <t>Class</t>
  </si>
  <si>
    <t>Diane</t>
  </si>
  <si>
    <t>Face</t>
  </si>
  <si>
    <t>Ready</t>
  </si>
  <si>
    <t>Shannon</t>
  </si>
  <si>
    <t>Hundred</t>
  </si>
  <si>
    <t>Harold</t>
  </si>
  <si>
    <t>Quite</t>
  </si>
  <si>
    <t>Place</t>
  </si>
  <si>
    <t>Javier</t>
  </si>
  <si>
    <t>Air</t>
  </si>
  <si>
    <t>2024-12-05</t>
  </si>
  <si>
    <t>Often</t>
  </si>
  <si>
    <t>From</t>
  </si>
  <si>
    <t>Tony</t>
  </si>
  <si>
    <t>Gun</t>
  </si>
  <si>
    <t>2024-12-06</t>
  </si>
  <si>
    <t>Customer</t>
  </si>
  <si>
    <t>Able</t>
  </si>
  <si>
    <t>Challenge</t>
  </si>
  <si>
    <t>Though</t>
  </si>
  <si>
    <t>Ashley</t>
  </si>
  <si>
    <t>Seek</t>
  </si>
  <si>
    <t>Wall</t>
  </si>
  <si>
    <t>Various</t>
  </si>
  <si>
    <t>Nancy</t>
  </si>
  <si>
    <t>Tommy</t>
  </si>
  <si>
    <t>Cost</t>
  </si>
  <si>
    <t>Computer</t>
  </si>
  <si>
    <t>Election</t>
  </si>
  <si>
    <t>Difference</t>
  </si>
  <si>
    <t>Hit</t>
  </si>
  <si>
    <t>Brett</t>
  </si>
  <si>
    <t>Parent</t>
  </si>
  <si>
    <t>Traditional</t>
  </si>
  <si>
    <t>Jeanette</t>
  </si>
  <si>
    <t>Luke</t>
  </si>
  <si>
    <t>Call</t>
  </si>
  <si>
    <t>Emily</t>
  </si>
  <si>
    <t>Debra</t>
  </si>
  <si>
    <t>Age</t>
  </si>
  <si>
    <t>Author</t>
  </si>
  <si>
    <t>Recently</t>
  </si>
  <si>
    <t>Character</t>
  </si>
  <si>
    <t>Pm</t>
  </si>
  <si>
    <t>Require</t>
  </si>
  <si>
    <t>Peggy</t>
  </si>
  <si>
    <t>Danielle</t>
  </si>
  <si>
    <t>Focus</t>
  </si>
  <si>
    <t>As</t>
  </si>
  <si>
    <t>Bag</t>
  </si>
  <si>
    <t>Test</t>
  </si>
  <si>
    <t>Brandon</t>
  </si>
  <si>
    <t>Nor</t>
  </si>
  <si>
    <t>Off</t>
  </si>
  <si>
    <t>Jacob</t>
  </si>
  <si>
    <t>Everyone</t>
  </si>
  <si>
    <t>They</t>
  </si>
  <si>
    <t>Break</t>
  </si>
  <si>
    <t>Occur</t>
  </si>
  <si>
    <t>Craig</t>
  </si>
  <si>
    <t>Significant</t>
  </si>
  <si>
    <t>Spring</t>
  </si>
  <si>
    <t>Control</t>
  </si>
  <si>
    <t>Still</t>
  </si>
  <si>
    <t>Final</t>
  </si>
  <si>
    <t>Bryce</t>
  </si>
  <si>
    <t>Entire</t>
  </si>
  <si>
    <t>Stage</t>
  </si>
  <si>
    <t>Cody</t>
  </si>
  <si>
    <t>Player</t>
  </si>
  <si>
    <t>Debbie</t>
  </si>
  <si>
    <t>Serious</t>
  </si>
  <si>
    <t>Tracey</t>
  </si>
  <si>
    <t>Increase</t>
  </si>
  <si>
    <t>Capital</t>
  </si>
  <si>
    <t>Me</t>
  </si>
  <si>
    <t>Important</t>
  </si>
  <si>
    <t>Rickey</t>
  </si>
  <si>
    <t>Wendy</t>
  </si>
  <si>
    <t>Look</t>
  </si>
  <si>
    <t>Tamara</t>
  </si>
  <si>
    <t>Defense</t>
  </si>
  <si>
    <t>Game</t>
  </si>
  <si>
    <t>In</t>
  </si>
  <si>
    <t>Jodi</t>
  </si>
  <si>
    <t>Between</t>
  </si>
  <si>
    <t>Rick</t>
  </si>
  <si>
    <t>Physical</t>
  </si>
  <si>
    <t>Seven</t>
  </si>
  <si>
    <t>Into</t>
  </si>
  <si>
    <t>Official</t>
  </si>
  <si>
    <t>Savannah</t>
  </si>
  <si>
    <t>Frank</t>
  </si>
  <si>
    <t>Chris</t>
  </si>
  <si>
    <t>Rise</t>
  </si>
  <si>
    <t>Carl</t>
  </si>
  <si>
    <t>Recent</t>
  </si>
  <si>
    <t>Without</t>
  </si>
  <si>
    <t>Rodney</t>
  </si>
  <si>
    <t>Arrive</t>
  </si>
  <si>
    <t>Sierra</t>
  </si>
  <si>
    <t>Probably</t>
  </si>
  <si>
    <t>Analysis</t>
  </si>
  <si>
    <t>Almost</t>
  </si>
  <si>
    <t>Stand</t>
  </si>
  <si>
    <t>Sabrina</t>
  </si>
  <si>
    <t>Beyond</t>
  </si>
  <si>
    <t>Haley</t>
  </si>
  <si>
    <t>Lawyer</t>
  </si>
  <si>
    <t>Court</t>
  </si>
  <si>
    <t>Involve</t>
  </si>
  <si>
    <t>Become</t>
  </si>
  <si>
    <t>Leave</t>
  </si>
  <si>
    <t>Randall</t>
  </si>
  <si>
    <t>Peace</t>
  </si>
  <si>
    <t>Upon</t>
  </si>
  <si>
    <t>Strategy</t>
  </si>
  <si>
    <t>Science</t>
  </si>
  <si>
    <t>Kid</t>
  </si>
  <si>
    <t>Population</t>
  </si>
  <si>
    <t>Dorothy</t>
  </si>
  <si>
    <t>Field</t>
  </si>
  <si>
    <t>Beverly</t>
  </si>
  <si>
    <t>Lot</t>
  </si>
  <si>
    <t>Danny</t>
  </si>
  <si>
    <t>2025-04-25</t>
  </si>
  <si>
    <t>Resource</t>
  </si>
  <si>
    <t>Particularly</t>
  </si>
  <si>
    <t>Full</t>
  </si>
  <si>
    <t>Jeanne</t>
  </si>
  <si>
    <t>Heart</t>
  </si>
  <si>
    <t>Be</t>
  </si>
  <si>
    <t>Mind</t>
  </si>
  <si>
    <t>Identify</t>
  </si>
  <si>
    <t>Another</t>
  </si>
  <si>
    <t>Unit</t>
  </si>
  <si>
    <t>Joy</t>
  </si>
  <si>
    <t>Tom</t>
  </si>
  <si>
    <t>None</t>
  </si>
  <si>
    <t>Isaac</t>
  </si>
  <si>
    <t>Thus</t>
  </si>
  <si>
    <t>Next</t>
  </si>
  <si>
    <t>Above</t>
  </si>
  <si>
    <t>Sister</t>
  </si>
  <si>
    <t>Phyllis</t>
  </si>
  <si>
    <t>View</t>
  </si>
  <si>
    <t>Brent</t>
  </si>
  <si>
    <t>Tough</t>
  </si>
  <si>
    <t>Omar</t>
  </si>
  <si>
    <t>Network</t>
  </si>
  <si>
    <t>Really</t>
  </si>
  <si>
    <t>International</t>
  </si>
  <si>
    <t>Adult</t>
  </si>
  <si>
    <t>Sell</t>
  </si>
  <si>
    <t>Amber</t>
  </si>
  <si>
    <t>Campaign</t>
  </si>
  <si>
    <t>That</t>
  </si>
  <si>
    <t>Erika</t>
  </si>
  <si>
    <t>Course</t>
  </si>
  <si>
    <t>Plan</t>
  </si>
  <si>
    <t>Kylie</t>
  </si>
  <si>
    <t>Anyone</t>
  </si>
  <si>
    <t>Garrett</t>
  </si>
  <si>
    <t>Building</t>
  </si>
  <si>
    <t>Ground</t>
  </si>
  <si>
    <t>Because</t>
  </si>
  <si>
    <t>Brittany</t>
  </si>
  <si>
    <t>Like</t>
  </si>
  <si>
    <t>Francisco</t>
  </si>
  <si>
    <t>Study</t>
  </si>
  <si>
    <t>Ruben</t>
  </si>
  <si>
    <t>Father</t>
  </si>
  <si>
    <t>Misty</t>
  </si>
  <si>
    <t>Courtney</t>
  </si>
  <si>
    <t>Model</t>
  </si>
  <si>
    <t>Deanna</t>
  </si>
  <si>
    <t>Check</t>
  </si>
  <si>
    <t>Gina</t>
  </si>
  <si>
    <t>Joe</t>
  </si>
  <si>
    <t>My</t>
  </si>
  <si>
    <t>Evan</t>
  </si>
  <si>
    <t>Carol</t>
  </si>
  <si>
    <t>Wife</t>
  </si>
  <si>
    <t>Despite</t>
  </si>
  <si>
    <t>Thing</t>
  </si>
  <si>
    <t>Doctor</t>
  </si>
  <si>
    <t>Garden</t>
  </si>
  <si>
    <t>Dark</t>
  </si>
  <si>
    <t>Fill</t>
  </si>
  <si>
    <t>Zachary</t>
  </si>
  <si>
    <t>Noah</t>
  </si>
  <si>
    <t>Yet</t>
  </si>
  <si>
    <t>Research</t>
  </si>
  <si>
    <t>Levi</t>
  </si>
  <si>
    <t>Adam</t>
  </si>
  <si>
    <t>Worry</t>
  </si>
  <si>
    <t>Score</t>
  </si>
  <si>
    <t>Enough</t>
  </si>
  <si>
    <t>Moment</t>
  </si>
  <si>
    <t>Police</t>
  </si>
  <si>
    <t>How</t>
  </si>
  <si>
    <t>Major</t>
  </si>
  <si>
    <t>Art</t>
  </si>
  <si>
    <t>Evelyn</t>
  </si>
  <si>
    <t>Soon</t>
  </si>
  <si>
    <t>Task</t>
  </si>
  <si>
    <t>Ralph</t>
  </si>
  <si>
    <t>Himself</t>
  </si>
  <si>
    <t>Third</t>
  </si>
  <si>
    <t>Step</t>
  </si>
  <si>
    <t>Loretta</t>
  </si>
  <si>
    <t>Oil</t>
  </si>
  <si>
    <t>Design</t>
  </si>
  <si>
    <t>This</t>
  </si>
  <si>
    <t>Robin</t>
  </si>
  <si>
    <t>Training</t>
  </si>
  <si>
    <t>Within</t>
  </si>
  <si>
    <t>Last</t>
  </si>
  <si>
    <t>Ten</t>
  </si>
  <si>
    <t>Choice</t>
  </si>
  <si>
    <t>Per</t>
  </si>
  <si>
    <t>Caroline</t>
  </si>
  <si>
    <t>Through</t>
  </si>
  <si>
    <t>Together</t>
  </si>
  <si>
    <t>Jamie</t>
  </si>
  <si>
    <t>Couple</t>
  </si>
  <si>
    <t>Roy</t>
  </si>
  <si>
    <t>Spencer</t>
  </si>
  <si>
    <t>Show</t>
  </si>
  <si>
    <t>Renee</t>
  </si>
  <si>
    <t>Tv</t>
  </si>
  <si>
    <t>Change</t>
  </si>
  <si>
    <t>Operation</t>
  </si>
  <si>
    <t>Stacy</t>
  </si>
  <si>
    <t>Ariel</t>
  </si>
  <si>
    <t>State</t>
  </si>
  <si>
    <t>Marie</t>
  </si>
  <si>
    <t>Perform</t>
  </si>
  <si>
    <t>Open</t>
  </si>
  <si>
    <t>Right</t>
  </si>
  <si>
    <t>Method</t>
  </si>
  <si>
    <t>Short</t>
  </si>
  <si>
    <t>Kyle</t>
  </si>
  <si>
    <t>Issue</t>
  </si>
  <si>
    <t>Work</t>
  </si>
  <si>
    <t>Free</t>
  </si>
  <si>
    <t>Media</t>
  </si>
  <si>
    <t>Victor</t>
  </si>
  <si>
    <t>Reach</t>
  </si>
  <si>
    <t>Then</t>
  </si>
  <si>
    <t>Lindsey</t>
  </si>
  <si>
    <t>Health</t>
  </si>
  <si>
    <t>Range</t>
  </si>
  <si>
    <t>Although</t>
  </si>
  <si>
    <t>Speak</t>
  </si>
  <si>
    <t>Marissa</t>
  </si>
  <si>
    <t>Source</t>
  </si>
  <si>
    <t>Box</t>
  </si>
  <si>
    <t>2025-04-30</t>
  </si>
  <si>
    <t>Up</t>
  </si>
  <si>
    <t>Agency</t>
  </si>
  <si>
    <t>Bed</t>
  </si>
  <si>
    <t>Win</t>
  </si>
  <si>
    <t>Crime</t>
  </si>
  <si>
    <t>Tend</t>
  </si>
  <si>
    <t>Sandy</t>
  </si>
  <si>
    <t>Never</t>
  </si>
  <si>
    <t>Member</t>
  </si>
  <si>
    <t>Explain</t>
  </si>
  <si>
    <t>Paper</t>
  </si>
  <si>
    <t>Cassie</t>
  </si>
  <si>
    <t>Billion</t>
  </si>
  <si>
    <t>Katherine</t>
  </si>
  <si>
    <t>Teacher</t>
  </si>
  <si>
    <t>Push</t>
  </si>
  <si>
    <t>Generation</t>
  </si>
  <si>
    <t>Erik</t>
  </si>
  <si>
    <t>Responsibility</t>
  </si>
  <si>
    <t>Name</t>
  </si>
  <si>
    <t>Son</t>
  </si>
  <si>
    <t>Leg</t>
  </si>
  <si>
    <t>Money</t>
  </si>
  <si>
    <t>Weight</t>
  </si>
  <si>
    <t>Exist</t>
  </si>
  <si>
    <t>Newspaper</t>
  </si>
  <si>
    <t>Raven</t>
  </si>
  <si>
    <t>Same</t>
  </si>
  <si>
    <t>Stay</t>
  </si>
  <si>
    <t>Wait</t>
  </si>
  <si>
    <t>Drive</t>
  </si>
  <si>
    <t>Let</t>
  </si>
  <si>
    <t>Mention</t>
  </si>
  <si>
    <t>Perhaps</t>
  </si>
  <si>
    <t>Executive</t>
  </si>
  <si>
    <t>Draw</t>
  </si>
  <si>
    <t>Watch</t>
  </si>
  <si>
    <t>Bonnie</t>
  </si>
  <si>
    <t>Taylor</t>
  </si>
  <si>
    <t>Book</t>
  </si>
  <si>
    <t>Society</t>
  </si>
  <si>
    <t>Jenna</t>
  </si>
  <si>
    <t>Best</t>
  </si>
  <si>
    <t>Andres</t>
  </si>
  <si>
    <t>Walk</t>
  </si>
  <si>
    <t>Easy</t>
  </si>
  <si>
    <t>Determine</t>
  </si>
  <si>
    <t>Door</t>
  </si>
  <si>
    <t>Martin</t>
  </si>
  <si>
    <t>Feel</t>
  </si>
  <si>
    <t>Loss</t>
  </si>
  <si>
    <t>Spend</t>
  </si>
  <si>
    <t>Troy</t>
  </si>
  <si>
    <t>Jim</t>
  </si>
  <si>
    <t>Middle</t>
  </si>
  <si>
    <t>Management</t>
  </si>
  <si>
    <t>Gerald</t>
  </si>
  <si>
    <t>Hector</t>
  </si>
  <si>
    <t>He</t>
  </si>
  <si>
    <t>Man</t>
  </si>
  <si>
    <t>Abigail</t>
  </si>
  <si>
    <t>Linda</t>
  </si>
  <si>
    <t>World</t>
  </si>
  <si>
    <t>Forward</t>
  </si>
  <si>
    <t>Military</t>
  </si>
  <si>
    <t>Behind</t>
  </si>
  <si>
    <t>Audience</t>
  </si>
  <si>
    <t>Larry</t>
  </si>
  <si>
    <t>Fear</t>
  </si>
  <si>
    <t>Present</t>
  </si>
  <si>
    <t>Attack</t>
  </si>
  <si>
    <t>Sure</t>
  </si>
  <si>
    <t>Manuel</t>
  </si>
  <si>
    <t>Child</t>
  </si>
  <si>
    <t>Over</t>
  </si>
  <si>
    <t>Job</t>
  </si>
  <si>
    <t>Eight</t>
  </si>
  <si>
    <t>Devin</t>
  </si>
  <si>
    <t>Writer</t>
  </si>
  <si>
    <t>Vincent</t>
  </si>
  <si>
    <t>Different</t>
  </si>
  <si>
    <t>Tara</t>
  </si>
  <si>
    <t>Chance</t>
  </si>
  <si>
    <t>Bridget</t>
  </si>
  <si>
    <t>Detail</t>
  </si>
  <si>
    <t>Kristi</t>
  </si>
  <si>
    <t>Molly</t>
  </si>
  <si>
    <t>Page</t>
  </si>
  <si>
    <t>Mariah</t>
  </si>
  <si>
    <t>Jane</t>
  </si>
  <si>
    <t>Item</t>
  </si>
  <si>
    <t>Kristina</t>
  </si>
  <si>
    <t>Song</t>
  </si>
  <si>
    <t>Bethany</t>
  </si>
  <si>
    <t>Dale</t>
  </si>
  <si>
    <t>Reginald</t>
  </si>
  <si>
    <t>Anita</t>
  </si>
  <si>
    <t>Investment</t>
  </si>
  <si>
    <t>Four</t>
  </si>
  <si>
    <t>Body</t>
  </si>
  <si>
    <t>Behavior</t>
  </si>
  <si>
    <t>Large</t>
  </si>
  <si>
    <t>Kathryn</t>
  </si>
  <si>
    <t>Which</t>
  </si>
  <si>
    <t>Thought</t>
  </si>
  <si>
    <t>Politics</t>
  </si>
  <si>
    <t>Would</t>
  </si>
  <si>
    <t>Nothing</t>
  </si>
  <si>
    <t>Person</t>
  </si>
  <si>
    <t>Tiffany</t>
  </si>
  <si>
    <t>Every</t>
  </si>
  <si>
    <t>Family</t>
  </si>
  <si>
    <t>Especially</t>
  </si>
  <si>
    <t>Long</t>
  </si>
  <si>
    <t>Ashlee</t>
  </si>
  <si>
    <t>Interesting</t>
  </si>
  <si>
    <t>Store</t>
  </si>
  <si>
    <t>Bryan</t>
  </si>
  <si>
    <t>Build</t>
  </si>
  <si>
    <t>Brandy</t>
  </si>
  <si>
    <t>Quality</t>
  </si>
  <si>
    <t>Katrina</t>
  </si>
  <si>
    <t>Fund</t>
  </si>
  <si>
    <t>Option</t>
  </si>
  <si>
    <t>Kurt</t>
  </si>
  <si>
    <t>Edwin</t>
  </si>
  <si>
    <t>Dominique</t>
  </si>
  <si>
    <t>Felicia</t>
  </si>
  <si>
    <t>Skill</t>
  </si>
  <si>
    <t>Doris</t>
  </si>
  <si>
    <t>Carry</t>
  </si>
  <si>
    <t>Whom</t>
  </si>
  <si>
    <t>Quickly</t>
  </si>
  <si>
    <t>Wayne</t>
  </si>
  <si>
    <t>Sign</t>
  </si>
  <si>
    <t>Way</t>
  </si>
  <si>
    <t>Leslie</t>
  </si>
  <si>
    <t>Their</t>
  </si>
  <si>
    <t>Cathy</t>
  </si>
  <si>
    <t>True</t>
  </si>
  <si>
    <t>Madison</t>
  </si>
  <si>
    <t>Briana</t>
  </si>
  <si>
    <t>Tina</t>
  </si>
  <si>
    <t>Believe</t>
  </si>
  <si>
    <t>Claire</t>
  </si>
  <si>
    <t>Travel</t>
  </si>
  <si>
    <t>Safe</t>
  </si>
  <si>
    <t>Juan</t>
  </si>
  <si>
    <t>Trade</t>
  </si>
  <si>
    <t>American</t>
  </si>
  <si>
    <t>Candace</t>
  </si>
  <si>
    <t>Gabriel</t>
  </si>
  <si>
    <t>College</t>
  </si>
  <si>
    <t>Bobby</t>
  </si>
  <si>
    <t>Standard</t>
  </si>
  <si>
    <t>Radio</t>
  </si>
  <si>
    <t>Ronald</t>
  </si>
  <si>
    <t>Country</t>
  </si>
  <si>
    <t>Meghan</t>
  </si>
  <si>
    <t>Social</t>
  </si>
  <si>
    <t>Fine</t>
  </si>
  <si>
    <t>Street</t>
  </si>
  <si>
    <t>Brandi</t>
  </si>
  <si>
    <t>Makayla</t>
  </si>
  <si>
    <t>Stuff</t>
  </si>
  <si>
    <t>Brittney</t>
  </si>
  <si>
    <t>Than</t>
  </si>
  <si>
    <t>Monique</t>
  </si>
  <si>
    <t>School</t>
  </si>
  <si>
    <t>Think</t>
  </si>
  <si>
    <t>Public</t>
  </si>
  <si>
    <t>Colleen</t>
  </si>
  <si>
    <t>Eileen</t>
  </si>
  <si>
    <t>According</t>
  </si>
  <si>
    <t>May</t>
  </si>
  <si>
    <t>Alisha</t>
  </si>
  <si>
    <t>Lydia</t>
  </si>
  <si>
    <t>Brenda</t>
  </si>
  <si>
    <t>Nathaniel</t>
  </si>
  <si>
    <t>Such</t>
  </si>
  <si>
    <t>Terrance</t>
  </si>
  <si>
    <t>She</t>
  </si>
  <si>
    <t>President</t>
  </si>
  <si>
    <t>Machine</t>
  </si>
  <si>
    <t>Land</t>
  </si>
  <si>
    <t>Compare</t>
  </si>
  <si>
    <t>Early</t>
  </si>
  <si>
    <t>Drug</t>
  </si>
  <si>
    <t>Performance</t>
  </si>
  <si>
    <t>Certain</t>
  </si>
  <si>
    <t>Roberta</t>
  </si>
  <si>
    <t>Owner</t>
  </si>
  <si>
    <t>Policy</t>
  </si>
  <si>
    <t>Hair</t>
  </si>
  <si>
    <t>Hunter</t>
  </si>
  <si>
    <t>Among</t>
  </si>
  <si>
    <t>Joanna</t>
  </si>
  <si>
    <t>Seem</t>
  </si>
  <si>
    <t>Hope</t>
  </si>
  <si>
    <t>Eugene</t>
  </si>
  <si>
    <t>Latoya</t>
  </si>
  <si>
    <t>Yes</t>
  </si>
  <si>
    <t>Sophia</t>
  </si>
  <si>
    <t>Student</t>
  </si>
  <si>
    <t>Southern</t>
  </si>
  <si>
    <t>Themselves</t>
  </si>
  <si>
    <t>Fernando</t>
  </si>
  <si>
    <t>Green</t>
  </si>
  <si>
    <t>Audrey</t>
  </si>
  <si>
    <t>Jorge</t>
  </si>
  <si>
    <t>Energy</t>
  </si>
  <si>
    <t>Current</t>
  </si>
  <si>
    <t>Also</t>
  </si>
  <si>
    <t>Kelsey</t>
  </si>
  <si>
    <t>Structure</t>
  </si>
  <si>
    <t>Pick</t>
  </si>
  <si>
    <t>These</t>
  </si>
  <si>
    <t>Describe</t>
  </si>
  <si>
    <t>Music</t>
  </si>
  <si>
    <t>Series</t>
  </si>
  <si>
    <t>Begin</t>
  </si>
  <si>
    <t>Marco</t>
  </si>
  <si>
    <t>Certainly</t>
  </si>
  <si>
    <t>Mr</t>
  </si>
  <si>
    <t>Value</t>
  </si>
  <si>
    <t>Glass</t>
  </si>
  <si>
    <t>Joyce</t>
  </si>
  <si>
    <t>Most</t>
  </si>
  <si>
    <t>First</t>
  </si>
  <si>
    <t>Blood</t>
  </si>
  <si>
    <t>Relate</t>
  </si>
  <si>
    <t>Statement</t>
  </si>
  <si>
    <t>Wesley</t>
  </si>
  <si>
    <t>Actually</t>
  </si>
  <si>
    <t>Autumn</t>
  </si>
  <si>
    <t>Latasha</t>
  </si>
  <si>
    <t>Rate</t>
  </si>
  <si>
    <t>Send</t>
  </si>
  <si>
    <t>Todd</t>
  </si>
  <si>
    <t>Katie</t>
  </si>
  <si>
    <t>Marc</t>
  </si>
  <si>
    <t>Particular</t>
  </si>
  <si>
    <t>Chair</t>
  </si>
  <si>
    <t>Today</t>
  </si>
  <si>
    <t>Have</t>
  </si>
  <si>
    <t>Can</t>
  </si>
  <si>
    <t>Type</t>
  </si>
  <si>
    <t>Kara</t>
  </si>
  <si>
    <t>Parker</t>
  </si>
  <si>
    <t>Continue</t>
  </si>
  <si>
    <t>Dean</t>
  </si>
  <si>
    <t>Andre</t>
  </si>
  <si>
    <t>Could</t>
  </si>
  <si>
    <t>Ricky</t>
  </si>
  <si>
    <t>Address</t>
  </si>
  <si>
    <t>Product</t>
  </si>
  <si>
    <t>Vickie</t>
  </si>
  <si>
    <t>Citizen</t>
  </si>
  <si>
    <t>Lacey</t>
  </si>
  <si>
    <t>Offer</t>
  </si>
  <si>
    <t>Jody</t>
  </si>
  <si>
    <t>Car</t>
  </si>
  <si>
    <t>Shoulder</t>
  </si>
  <si>
    <t>Carolyn</t>
  </si>
  <si>
    <t>Collection</t>
  </si>
  <si>
    <t>Sport</t>
  </si>
  <si>
    <t>Natalie</t>
  </si>
  <si>
    <t>Respond</t>
  </si>
  <si>
    <t>Micheal</t>
  </si>
  <si>
    <t>Make</t>
  </si>
  <si>
    <t>Beat</t>
  </si>
  <si>
    <t>Elaine</t>
  </si>
  <si>
    <t>Form</t>
  </si>
  <si>
    <t>Similar</t>
  </si>
  <si>
    <t>Johnathan</t>
  </si>
  <si>
    <t>Lose</t>
  </si>
  <si>
    <t>Sense</t>
  </si>
  <si>
    <t>Vernon</t>
  </si>
  <si>
    <t>Aimee</t>
  </si>
  <si>
    <t>Joan</t>
  </si>
  <si>
    <t>To</t>
  </si>
  <si>
    <t>Kristie</t>
  </si>
  <si>
    <t>Growth</t>
  </si>
  <si>
    <t>Darren</t>
  </si>
  <si>
    <t>Cultural</t>
  </si>
  <si>
    <t>Michaela</t>
  </si>
  <si>
    <t>People</t>
  </si>
  <si>
    <t>Region</t>
  </si>
  <si>
    <t>Hold</t>
  </si>
  <si>
    <t>Clifford</t>
  </si>
  <si>
    <t>Even</t>
  </si>
  <si>
    <t>Paige</t>
  </si>
  <si>
    <t>There</t>
  </si>
  <si>
    <t>Ronnie</t>
  </si>
  <si>
    <t>Single</t>
  </si>
  <si>
    <t>Lee</t>
  </si>
  <si>
    <t>Development</t>
  </si>
  <si>
    <t>Window</t>
  </si>
  <si>
    <t>Simply</t>
  </si>
  <si>
    <t>Grace</t>
  </si>
  <si>
    <t>City</t>
  </si>
  <si>
    <t>Home</t>
  </si>
  <si>
    <t>Ray</t>
  </si>
  <si>
    <t>Column Labels</t>
  </si>
  <si>
    <t>Grand Total</t>
  </si>
  <si>
    <t>Row Labels</t>
  </si>
  <si>
    <t>Sum of Revenue</t>
  </si>
  <si>
    <t>Sum of Ad Spend</t>
  </si>
  <si>
    <t>MONHT</t>
  </si>
  <si>
    <t>Sum of Conversions</t>
  </si>
  <si>
    <t>ROI</t>
  </si>
  <si>
    <t>Sum of ROI</t>
  </si>
  <si>
    <t>Average of Revenue2</t>
  </si>
  <si>
    <t>Total Sum of Ad Spend</t>
  </si>
  <si>
    <t>Total Sum of Revenue</t>
  </si>
  <si>
    <t>Count of Conversions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</si>
</sst>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 &quot;ج.م.‏&quot;_-;\-* #,##0.00\ &quot;ج.م.‏&quot;_-;_-* &quot;-&quot;??\ &quot;ج.م.‏&quot;_-;_-@_-"/>
    <numFmt numFmtId="165" formatCode="_-[$$-409]* #,##0.00_ ;_-[$$-409]* \-#,##0.00\ ;_-[$$-409]* &quot;-&quot;??_ ;_-@_ "/>
    <numFmt numFmtId="166" formatCode="_-[$$-409]* #,##0_ ;_-[$$-409]* \-#,##0\ ;_-[$$-409]* &quot;-&quot;??_ ;_-@_ "/>
  </numFmts>
  <fonts count="4" x14ac:knownFonts="1">
    <font>
      <sz val="11"/>
      <color theme="1"/>
      <name val="Calibri"/>
      <scheme val="minor"/>
    </font>
    <font>
      <b/>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
      <left/>
      <right/>
      <top style="thin">
        <color theme="4" tint="0.39997558519241921"/>
      </top>
      <bottom/>
      <diagonal/>
    </border>
    <border>
      <left style="thin">
        <color rgb="FF000000"/>
      </left>
      <right style="thin">
        <color rgb="FF000000"/>
      </right>
      <top/>
      <bottom style="thin">
        <color indexed="64"/>
      </bottom>
      <diagonal/>
    </border>
  </borders>
  <cellStyleXfs count="2">
    <xf numFmtId="0" fontId="0" fillId="0" borderId="0"/>
    <xf numFmtId="164"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0" fontId="2" fillId="0" borderId="0" xfId="0" applyFont="1"/>
    <xf numFmtId="14" fontId="1" fillId="0" borderId="1" xfId="0" applyNumberFormat="1" applyFont="1" applyBorder="1" applyAlignment="1">
      <alignment horizontal="center" vertical="top"/>
    </xf>
    <xf numFmtId="14" fontId="2" fillId="0" borderId="0" xfId="0" applyNumberFormat="1" applyFont="1"/>
    <xf numFmtId="14" fontId="0" fillId="0" borderId="0" xfId="0" applyNumberFormat="1"/>
    <xf numFmtId="165" fontId="1" fillId="0" borderId="1" xfId="0" applyNumberFormat="1" applyFont="1" applyBorder="1" applyAlignment="1">
      <alignment horizontal="center" vertical="top"/>
    </xf>
    <xf numFmtId="165" fontId="2" fillId="0" borderId="0" xfId="0" applyNumberFormat="1" applyFont="1"/>
    <xf numFmtId="165" fontId="0" fillId="0" borderId="0" xfId="0" applyNumberFormat="1"/>
    <xf numFmtId="166" fontId="0" fillId="0" borderId="0" xfId="0" applyNumberFormat="1"/>
    <xf numFmtId="165" fontId="1" fillId="0" borderId="1" xfId="1" applyNumberFormat="1" applyFont="1" applyBorder="1" applyAlignment="1">
      <alignment horizontal="center" vertical="top"/>
    </xf>
    <xf numFmtId="165" fontId="2" fillId="0" borderId="0" xfId="1" applyNumberFormat="1" applyFont="1"/>
    <xf numFmtId="165" fontId="0" fillId="0" borderId="0" xfId="1" applyNumberFormat="1" applyFont="1"/>
    <xf numFmtId="0" fontId="0" fillId="0" borderId="0" xfId="0" pivotButton="1"/>
    <xf numFmtId="0" fontId="0" fillId="0" borderId="0" xfId="0" applyAlignment="1">
      <alignment horizontal="left"/>
    </xf>
    <xf numFmtId="0" fontId="3" fillId="0" borderId="4" xfId="0" applyFont="1" applyBorder="1" applyAlignment="1">
      <alignment horizontal="center"/>
    </xf>
    <xf numFmtId="0" fontId="3" fillId="2" borderId="2" xfId="0" applyFont="1" applyFill="1" applyBorder="1"/>
    <xf numFmtId="0" fontId="3" fillId="0" borderId="1" xfId="0" applyFont="1" applyBorder="1" applyAlignment="1">
      <alignment horizontal="center" vertical="top"/>
    </xf>
    <xf numFmtId="0" fontId="3" fillId="2" borderId="3" xfId="0" applyFont="1" applyFill="1" applyBorder="1" applyAlignment="1">
      <alignment horizontal="left"/>
    </xf>
    <xf numFmtId="165" fontId="3" fillId="2" borderId="3" xfId="0" applyNumberFormat="1" applyFont="1" applyFill="1" applyBorder="1"/>
    <xf numFmtId="0" fontId="0" fillId="0" borderId="0" xfId="0" applyAlignment="1">
      <alignment horizontal="center"/>
    </xf>
  </cellXfs>
  <cellStyles count="2">
    <cellStyle name="Currency" xfId="1" builtinId="4"/>
    <cellStyle name="Normal" xfId="0" builtinId="0"/>
  </cellStyles>
  <dxfs count="16">
    <dxf>
      <font>
        <b val="0"/>
        <i val="0"/>
        <strike val="0"/>
        <condense val="0"/>
        <extend val="0"/>
        <outline val="0"/>
        <shadow val="0"/>
        <u val="none"/>
        <vertAlign val="baseline"/>
        <sz val="11"/>
        <color theme="1"/>
        <name val="Calibri"/>
        <scheme val="minor"/>
      </font>
      <numFmt numFmtId="165" formatCode="_-[$$-409]* #,##0.00_ ;_-[$$-409]* \-#,##0.00\ ;_-[$$-409]* &quot;-&quot;??_ ;_-@_ "/>
    </dxf>
    <dxf>
      <font>
        <b val="0"/>
        <i val="0"/>
        <strike val="0"/>
        <condense val="0"/>
        <extend val="0"/>
        <outline val="0"/>
        <shadow val="0"/>
        <u val="none"/>
        <vertAlign val="baseline"/>
        <sz val="11"/>
        <color theme="1"/>
        <name val="Calibri"/>
        <scheme val="minor"/>
      </font>
      <numFmt numFmtId="165" formatCode="_-[$$-409]* #,##0.00_ ;_-[$$-409]* \-#,##0.00\ ;_-[$$-409]* &quot;-&quot;??_ ;_-@_ "/>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_-[$$-409]* #,##0.00_ ;_-[$$-409]* \-#,##0.00\ ;_-[$$-409]* &quot;-&quot;??_ ;_-@_ "/>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_-[$$-409]* #,##0.00_ ;_-[$$-409]* \-#,##0.00\ ;_-[$$-409]* &quot;-&quot;??_ ;_-@_ "/>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7" formatCode="dd/mm/yyyy"/>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ont>
        <b/>
        <color theme="1"/>
      </font>
      <fill>
        <patternFill patternType="none">
          <bgColor auto="1"/>
        </patternFill>
      </fill>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SlicerStyleLight2 2" pivot="0" table="0" count="10" xr9:uid="{861BF2F6-3846-4421-A7BB-3228B04E5714}">
      <tableStyleElement type="wholeTable" dxfId="15"/>
      <tableStyleElement type="headerRow" dxfId="14"/>
    </tableStyle>
  </tableStyles>
  <colors>
    <mruColors>
      <color rgb="FFEBB1CB"/>
      <color rgb="FFE193AD"/>
      <color rgb="FFE8B4B8"/>
      <color rgb="FFFFCCFF"/>
      <color rgb="FFB36D7E"/>
      <color rgb="FFFFF5F5"/>
      <color rgb="FFF6C0BA"/>
      <color rgb="FF9B6B6F"/>
      <color rgb="FFB69496"/>
      <color rgb="FF1D355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[Radiance Lounge (version 1).xlsb.xlsx]pivots!PivotTable6</c:name>
    <c:fmtId val="8"/>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193AD">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pivots!$B$17</c:f>
              <c:strCache>
                <c:ptCount val="1"/>
                <c:pt idx="0">
                  <c:v>Total</c:v>
                </c:pt>
              </c:strCache>
            </c:strRef>
          </c:tx>
          <c:spPr>
            <a:solidFill>
              <a:srgbClr val="E193AD">
                <a:alpha val="70000"/>
              </a:srgbClr>
            </a:solidFill>
            <a:ln>
              <a:noFill/>
            </a:ln>
            <a:effectLst/>
          </c:spPr>
          <c:invertIfNegative val="0"/>
          <c:cat>
            <c:strRef>
              <c:f>pivots!$A$18:$A$21</c:f>
              <c:strCache>
                <c:ptCount val="3"/>
                <c:pt idx="0">
                  <c:v>Loyal</c:v>
                </c:pt>
                <c:pt idx="1">
                  <c:v>New</c:v>
                </c:pt>
                <c:pt idx="2">
                  <c:v>Returning</c:v>
                </c:pt>
              </c:strCache>
            </c:strRef>
          </c:cat>
          <c:val>
            <c:numRef>
              <c:f>pivots!$B$18:$B$21</c:f>
              <c:numCache>
                <c:formatCode>_-[$$-409]* #,##0.00_ ;_-[$$-409]* \-#,##0.00\ ;_-[$$-409]* "-"??_ ;_-@_ </c:formatCode>
                <c:ptCount val="3"/>
                <c:pt idx="0">
                  <c:v>167170.07000000009</c:v>
                </c:pt>
                <c:pt idx="1">
                  <c:v>172273.33000000007</c:v>
                </c:pt>
                <c:pt idx="2">
                  <c:v>183976.60999999993</c:v>
                </c:pt>
              </c:numCache>
            </c:numRef>
          </c:val>
          <c:extLst>
            <c:ext xmlns:c16="http://schemas.microsoft.com/office/drawing/2014/chart" uri="{C3380CC4-5D6E-409C-BE32-E72D297353CC}">
              <c16:uniqueId val="{00000000-B67F-4C05-A407-C4D07BC2AD15}"/>
            </c:ext>
          </c:extLst>
        </c:ser>
        <c:dLbls>
          <c:showLegendKey val="0"/>
          <c:showVal val="0"/>
          <c:showCatName val="0"/>
          <c:showSerName val="0"/>
          <c:showPercent val="0"/>
          <c:showBubbleSize val="0"/>
        </c:dLbls>
        <c:gapWidth val="80"/>
        <c:overlap val="25"/>
        <c:axId val="398888496"/>
        <c:axId val="398887776"/>
      </c:barChart>
      <c:catAx>
        <c:axId val="3988884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98887776"/>
        <c:crosses val="autoZero"/>
        <c:auto val="1"/>
        <c:lblAlgn val="ctr"/>
        <c:lblOffset val="100"/>
        <c:noMultiLvlLbl val="0"/>
      </c:catAx>
      <c:valAx>
        <c:axId val="398887776"/>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9888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[Radiance Lounge (version 1).xlsb.xlsx]pivots!PivotTable3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193AD"/>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E193AD"/>
            </a:solidFill>
            <a:round/>
          </a:ln>
          <a:effectLst/>
        </c:spPr>
        <c:marker>
          <c:symbol val="circle"/>
          <c:size val="5"/>
          <c:spPr>
            <a:solidFill>
              <a:schemeClr val="accent4"/>
            </a:solidFill>
            <a:ln w="9525">
              <a:solidFill>
                <a:schemeClr val="accent4"/>
              </a:solidFill>
            </a:ln>
            <a:effectLst/>
          </c:spPr>
        </c:marker>
      </c:pivotFmt>
      <c:pivotFmt>
        <c:idx val="4"/>
        <c:spPr>
          <a:ln w="28575" cap="rnd">
            <a:solidFill>
              <a:srgbClr val="E193AD"/>
            </a:solidFill>
            <a:round/>
          </a:ln>
          <a:effectLst/>
        </c:spPr>
        <c:marker>
          <c:symbol val="circle"/>
          <c:size val="5"/>
          <c:spPr>
            <a:solidFill>
              <a:schemeClr val="accent4"/>
            </a:solidFill>
            <a:ln w="9525">
              <a:solidFill>
                <a:schemeClr val="accent4"/>
              </a:solidFill>
            </a:ln>
            <a:effectLst/>
          </c:spPr>
        </c:marker>
      </c:pivotFmt>
    </c:pivotFmts>
    <c:plotArea>
      <c:layout/>
      <c:lineChart>
        <c:grouping val="standard"/>
        <c:varyColors val="0"/>
        <c:ser>
          <c:idx val="0"/>
          <c:order val="0"/>
          <c:tx>
            <c:strRef>
              <c:f>pivots!$B$2</c:f>
              <c:strCache>
                <c:ptCount val="1"/>
                <c:pt idx="0">
                  <c:v>Total</c:v>
                </c:pt>
              </c:strCache>
            </c:strRef>
          </c:tx>
          <c:spPr>
            <a:ln w="28575" cap="rnd">
              <a:solidFill>
                <a:srgbClr val="E193AD"/>
              </a:solidFill>
              <a:round/>
            </a:ln>
            <a:effectLst/>
          </c:spPr>
          <c:marker>
            <c:symbol val="circle"/>
            <c:size val="5"/>
            <c:spPr>
              <a:solidFill>
                <a:schemeClr val="accent4"/>
              </a:solidFill>
              <a:ln w="9525">
                <a:solidFill>
                  <a:schemeClr val="accent4"/>
                </a:solidFill>
              </a:ln>
              <a:effectLst/>
            </c:spPr>
          </c:marker>
          <c:cat>
            <c:strRef>
              <c:f>pivots!$A$3:$A$10</c:f>
              <c:strCache>
                <c:ptCount val="7"/>
                <c:pt idx="0">
                  <c:v>1</c:v>
                </c:pt>
                <c:pt idx="1">
                  <c:v>2</c:v>
                </c:pt>
                <c:pt idx="2">
                  <c:v>3</c:v>
                </c:pt>
                <c:pt idx="3">
                  <c:v>4</c:v>
                </c:pt>
                <c:pt idx="4">
                  <c:v>10</c:v>
                </c:pt>
                <c:pt idx="5">
                  <c:v>11</c:v>
                </c:pt>
                <c:pt idx="6">
                  <c:v>12</c:v>
                </c:pt>
              </c:strCache>
            </c:strRef>
          </c:cat>
          <c:val>
            <c:numRef>
              <c:f>pivots!$B$3:$B$10</c:f>
              <c:numCache>
                <c:formatCode>_-[$$-409]* #,##0.00_ ;_-[$$-409]* \-#,##0.00\ ;_-[$$-409]* "-"??_ ;_-@_ </c:formatCode>
                <c:ptCount val="7"/>
                <c:pt idx="0">
                  <c:v>83968.009999999966</c:v>
                </c:pt>
                <c:pt idx="1">
                  <c:v>82724.439999999988</c:v>
                </c:pt>
                <c:pt idx="2">
                  <c:v>82774.929999999993</c:v>
                </c:pt>
                <c:pt idx="3">
                  <c:v>84160.859999999971</c:v>
                </c:pt>
                <c:pt idx="4">
                  <c:v>7894.4699999999993</c:v>
                </c:pt>
                <c:pt idx="5">
                  <c:v>100522.98999999998</c:v>
                </c:pt>
                <c:pt idx="6">
                  <c:v>81374.310000000027</c:v>
                </c:pt>
              </c:numCache>
            </c:numRef>
          </c:val>
          <c:smooth val="0"/>
          <c:extLst>
            <c:ext xmlns:c16="http://schemas.microsoft.com/office/drawing/2014/chart" uri="{C3380CC4-5D6E-409C-BE32-E72D297353CC}">
              <c16:uniqueId val="{00000000-4AE8-4C49-A7A1-04703E946257}"/>
            </c:ext>
          </c:extLst>
        </c:ser>
        <c:dLbls>
          <c:showLegendKey val="0"/>
          <c:showVal val="0"/>
          <c:showCatName val="0"/>
          <c:showSerName val="0"/>
          <c:showPercent val="0"/>
          <c:showBubbleSize val="0"/>
        </c:dLbls>
        <c:marker val="1"/>
        <c:smooth val="0"/>
        <c:axId val="463891008"/>
        <c:axId val="463889928"/>
      </c:lineChart>
      <c:catAx>
        <c:axId val="46389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89928"/>
        <c:crosses val="autoZero"/>
        <c:auto val="1"/>
        <c:lblAlgn val="ctr"/>
        <c:lblOffset val="100"/>
        <c:noMultiLvlLbl val="0"/>
      </c:catAx>
      <c:valAx>
        <c:axId val="463889928"/>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9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TOTAL</a:t>
            </a:r>
            <a:r>
              <a:rPr lang="en-US" baseline="0"/>
              <a:t> REVENUE BY MARKETING CHANEL</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spPr>
            <a:solidFill>
              <a:srgbClr val="E193AD">
                <a:alpha val="70000"/>
              </a:srgbClr>
            </a:solidFill>
            <a:ln>
              <a:noFill/>
            </a:ln>
            <a:effectLst/>
          </c:spPr>
          <c:invertIfNegative val="0"/>
          <c:cat>
            <c:strRef>
              <c:f>pivots!$Q$4:$Q$9</c:f>
              <c:strCache>
                <c:ptCount val="6"/>
                <c:pt idx="0">
                  <c:v>Organic Search</c:v>
                </c:pt>
                <c:pt idx="1">
                  <c:v>Referral</c:v>
                </c:pt>
                <c:pt idx="2">
                  <c:v>Email Campaign</c:v>
                </c:pt>
                <c:pt idx="3">
                  <c:v>Instagram</c:v>
                </c:pt>
                <c:pt idx="4">
                  <c:v>Facebook Ads</c:v>
                </c:pt>
                <c:pt idx="5">
                  <c:v>Google Ads</c:v>
                </c:pt>
              </c:strCache>
            </c:strRef>
          </c:cat>
          <c:val>
            <c:numRef>
              <c:f>pivots!$R$4:$R$9</c:f>
              <c:numCache>
                <c:formatCode>_-[$$-409]* #,##0.00_ ;_-[$$-409]* \-#,##0.00\ ;_-[$$-409]* "-"??_ ;_-@_ </c:formatCode>
                <c:ptCount val="6"/>
                <c:pt idx="0">
                  <c:v>52206.090000000004</c:v>
                </c:pt>
                <c:pt idx="1">
                  <c:v>52642.29</c:v>
                </c:pt>
                <c:pt idx="2">
                  <c:v>61423.67</c:v>
                </c:pt>
                <c:pt idx="3">
                  <c:v>74979.959999999977</c:v>
                </c:pt>
                <c:pt idx="4">
                  <c:v>129309.90999999999</c:v>
                </c:pt>
                <c:pt idx="5">
                  <c:v>152858.09000000005</c:v>
                </c:pt>
              </c:numCache>
            </c:numRef>
          </c:val>
          <c:extLst>
            <c:ext xmlns:c16="http://schemas.microsoft.com/office/drawing/2014/chart" uri="{C3380CC4-5D6E-409C-BE32-E72D297353CC}">
              <c16:uniqueId val="{00000000-0562-49BA-B0AA-254C63A4418D}"/>
            </c:ext>
          </c:extLst>
        </c:ser>
        <c:dLbls>
          <c:showLegendKey val="0"/>
          <c:showVal val="0"/>
          <c:showCatName val="0"/>
          <c:showSerName val="0"/>
          <c:showPercent val="0"/>
          <c:showBubbleSize val="0"/>
        </c:dLbls>
        <c:gapWidth val="80"/>
        <c:overlap val="25"/>
        <c:axId val="932000896"/>
        <c:axId val="931999816"/>
      </c:barChart>
      <c:catAx>
        <c:axId val="93200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31999816"/>
        <c:crosses val="autoZero"/>
        <c:auto val="1"/>
        <c:lblAlgn val="ctr"/>
        <c:lblOffset val="100"/>
        <c:noMultiLvlLbl val="0"/>
      </c:catAx>
      <c:valAx>
        <c:axId val="931999816"/>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32000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[Radiance Lounge (version 1).xlsb.xlsx]pivots!PivotTable22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CUSTOMERS BY BOOKING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123534558180227"/>
              <c:y val="-0.14260571595217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705850831146107"/>
              <c:y val="4.60557013706619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705850831146107"/>
              <c:y val="4.60557013706619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123534558180227"/>
              <c:y val="-0.14260571595217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193A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BB1CB"/>
          </a:solidFill>
          <a:ln>
            <a:noFill/>
          </a:ln>
          <a:effectLst>
            <a:outerShdw blurRad="57150" dist="19050" dir="5400000" algn="ctr" rotWithShape="0">
              <a:srgbClr val="000000">
                <a:alpha val="63000"/>
              </a:srgbClr>
            </a:outerShdw>
          </a:effectLst>
        </c:spPr>
        <c:dLbl>
          <c:idx val="0"/>
          <c:layout>
            <c:manualLayout>
              <c:x val="0.13705850831146107"/>
              <c:y val="4.60557013706619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193AD"/>
          </a:solidFill>
          <a:ln>
            <a:noFill/>
          </a:ln>
          <a:effectLst>
            <a:outerShdw blurRad="57150" dist="19050" dir="5400000" algn="ctr" rotWithShape="0">
              <a:srgbClr val="000000">
                <a:alpha val="63000"/>
              </a:srgbClr>
            </a:outerShdw>
          </a:effectLst>
        </c:spPr>
        <c:dLbl>
          <c:idx val="0"/>
          <c:layout>
            <c:manualLayout>
              <c:x val="-0.19123534558180227"/>
              <c:y val="-0.14260571595217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pivots!$B$79</c:f>
              <c:strCache>
                <c:ptCount val="1"/>
                <c:pt idx="0">
                  <c:v>Total</c:v>
                </c:pt>
              </c:strCache>
            </c:strRef>
          </c:tx>
          <c:spPr>
            <a:solidFill>
              <a:srgbClr val="E193AD"/>
            </a:solidFill>
          </c:spPr>
          <c:dPt>
            <c:idx val="0"/>
            <c:bubble3D val="0"/>
            <c:spPr>
              <a:solidFill>
                <a:srgbClr val="EBB1CB"/>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437-4521-9426-80842A490E55}"/>
              </c:ext>
            </c:extLst>
          </c:dPt>
          <c:dPt>
            <c:idx val="1"/>
            <c:bubble3D val="0"/>
            <c:spPr>
              <a:solidFill>
                <a:srgbClr val="E193A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437-4521-9426-80842A490E55}"/>
              </c:ext>
            </c:extLst>
          </c:dPt>
          <c:dLbls>
            <c:dLbl>
              <c:idx val="0"/>
              <c:layout>
                <c:manualLayout>
                  <c:x val="0.13705850831146107"/>
                  <c:y val="4.60557013706619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37-4521-9426-80842A490E55}"/>
                </c:ext>
              </c:extLst>
            </c:dLbl>
            <c:dLbl>
              <c:idx val="1"/>
              <c:layout>
                <c:manualLayout>
                  <c:x val="-0.19123534558180227"/>
                  <c:y val="-0.1426057159521726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37-4521-9426-80842A490E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pivots!$A$80:$A$82</c:f>
              <c:strCache>
                <c:ptCount val="2"/>
                <c:pt idx="0">
                  <c:v>Cancelled</c:v>
                </c:pt>
                <c:pt idx="1">
                  <c:v>Confirmed</c:v>
                </c:pt>
              </c:strCache>
            </c:strRef>
          </c:cat>
          <c:val>
            <c:numRef>
              <c:f>pivots!$B$80:$B$82</c:f>
              <c:numCache>
                <c:formatCode>General</c:formatCode>
                <c:ptCount val="2"/>
                <c:pt idx="0">
                  <c:v>187</c:v>
                </c:pt>
                <c:pt idx="1">
                  <c:v>1813</c:v>
                </c:pt>
              </c:numCache>
            </c:numRef>
          </c:val>
          <c:extLst>
            <c:ext xmlns:c16="http://schemas.microsoft.com/office/drawing/2014/chart" uri="{C3380CC4-5D6E-409C-BE32-E72D297353CC}">
              <c16:uniqueId val="{00000004-B437-4521-9426-80842A490E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data id="1">
      <cx:strDim type="cat">
        <cx:f>_xlchart.v1.0</cx:f>
      </cx:strDim>
      <cx:numDim type="size">
        <cx:f>_xlchart.v1.2</cx:f>
      </cx:numDim>
    </cx:data>
    <cx:data id="2">
      <cx:strDim type="cat">
        <cx:f>_xlchart.v1.0</cx:f>
      </cx:strDim>
      <cx:numDim type="size">
        <cx:f>_xlchart.v1.3</cx:f>
      </cx:numDim>
    </cx:data>
    <cx:data id="3">
      <cx:strDim type="cat">
        <cx:f>_xlchart.v1.0</cx:f>
      </cx:strDim>
      <cx:numDim type="size">
        <cx:f>_xlchart.v1.4</cx:f>
      </cx:numDim>
    </cx:data>
    <cx:data id="4">
      <cx:strDim type="cat">
        <cx:f>_xlchart.v1.0</cx:f>
      </cx:strDim>
      <cx:numDim type="size">
        <cx:f>_xlchart.v1.5</cx:f>
      </cx:numDim>
    </cx:data>
    <cx:data id="5">
      <cx:strDim type="cat">
        <cx:f>_xlchart.v1.0</cx:f>
      </cx:strDim>
      <cx:numDim type="size">
        <cx:f>_xlchart.v1.6</cx:f>
      </cx:numDim>
    </cx:data>
    <cx:data id="6">
      <cx:strDim type="cat">
        <cx:f>_xlchart.v1.0</cx:f>
      </cx:strDim>
      <cx:numDim type="size">
        <cx:f>_xlchart.v1.7</cx:f>
      </cx:numDim>
    </cx:data>
  </cx:chartData>
  <cx:chart>
    <cx:title pos="t" align="ctr" overlay="0">
      <cx:tx>
        <cx:txData>
          <cx:v>TOP  SERVICES</cx:v>
        </cx:txData>
      </cx:tx>
      <cx:txPr>
        <a:bodyPr spcFirstLastPara="1" vertOverflow="ellipsis" horzOverflow="overflow" wrap="square" lIns="0" tIns="0" rIns="0" bIns="0" anchor="ctr" anchorCtr="1"/>
        <a:lstStyle/>
        <a:p>
          <a:pPr algn="ctr" rtl="0">
            <a:defRPr/>
          </a:pPr>
          <a:r>
            <a:rPr lang="en-US" sz="1800" b="1" i="0" u="none" strike="noStrike" baseline="0">
              <a:solidFill>
                <a:srgbClr val="000000">
                  <a:lumMod val="65000"/>
                  <a:lumOff val="35000"/>
                </a:srgbClr>
              </a:solidFill>
              <a:latin typeface="Calibri"/>
              <a:cs typeface="Calibri"/>
            </a:rPr>
            <a:t>TOP  SERVICES</a:t>
          </a:r>
        </a:p>
      </cx:txPr>
    </cx:title>
    <cx:plotArea>
      <cx:plotAreaRegion>
        <cx:plotSurface>
          <cx:spPr>
            <a:ln>
              <a:solidFill>
                <a:srgbClr val="E8B4B8">
                  <a:alpha val="99000"/>
                </a:srgbClr>
              </a:solidFill>
            </a:ln>
          </cx:spPr>
        </cx:plotSurface>
        <cx:series layoutId="treemap" uniqueId="{D56565F1-9659-4DAA-8B42-E9E71C6C52BB}" formatIdx="0">
          <cx:spPr>
            <a:solidFill>
              <a:srgbClr val="E193AD"/>
            </a:solidFill>
            <a:ln>
              <a:solidFill>
                <a:srgbClr val="E8B4B8"/>
              </a:solidFill>
            </a:ln>
          </cx:spPr>
          <cx:dataLabels>
            <cx:numFmt formatCode="#,##0" sourceLinked="0"/>
            <cx:txPr>
              <a:bodyPr spcFirstLastPara="1" vertOverflow="ellipsis" horzOverflow="overflow" wrap="square" lIns="38100" tIns="19050" rIns="38100" bIns="19050" anchor="ctr" anchorCtr="1">
                <a:spAutoFit/>
              </a:bodyPr>
              <a:lstStyle/>
              <a:p>
                <a:pPr algn="ctr" rtl="0">
                  <a:defRPr>
                    <a:ln>
                      <a:noFill/>
                    </a:ln>
                    <a:solidFill>
                      <a:schemeClr val="tx2">
                        <a:lumMod val="75000"/>
                        <a:lumOff val="25000"/>
                      </a:schemeClr>
                    </a:solidFill>
                  </a:defRPr>
                </a:pPr>
                <a:endParaRPr lang="en-US" sz="900" b="1" i="0" u="none" strike="noStrike" baseline="0">
                  <a:ln>
                    <a:noFill/>
                  </a:ln>
                  <a:solidFill>
                    <a:schemeClr val="tx2">
                      <a:lumMod val="75000"/>
                      <a:lumOff val="25000"/>
                    </a:schemeClr>
                  </a:solidFill>
                  <a:latin typeface="Calibri"/>
                  <a:cs typeface="Calibri"/>
                </a:endParaRPr>
              </a:p>
            </cx:txPr>
            <cx:visibility seriesName="0" categoryName="1" value="1"/>
            <cx:separator>
</cx:separator>
          </cx:dataLabels>
          <cx:dataId val="0"/>
          <cx:layoutPr>
            <cx:parentLabelLayout val="overlapping"/>
          </cx:layoutPr>
        </cx:series>
        <cx:series layoutId="treemap" hidden="1" uniqueId="{C1A3382F-D6F1-4C71-B43A-3DEE887819A8}" formatIdx="1">
          <cx:dataLabels>
            <cx:visibility seriesName="0" categoryName="1" value="0"/>
            <cx:separator>, </cx:separator>
          </cx:dataLabels>
          <cx:dataId val="1"/>
          <cx:layoutPr>
            <cx:parentLabelLayout val="overlapping"/>
          </cx:layoutPr>
        </cx:series>
        <cx:series layoutId="treemap" hidden="1" uniqueId="{325CF381-56E3-4AAD-9801-51B1071492E9}" formatIdx="2">
          <cx:dataLabels>
            <cx:visibility seriesName="0" categoryName="1" value="0"/>
            <cx:separator>, </cx:separator>
          </cx:dataLabels>
          <cx:dataId val="2"/>
          <cx:layoutPr>
            <cx:parentLabelLayout val="overlapping"/>
          </cx:layoutPr>
        </cx:series>
        <cx:series layoutId="treemap" hidden="1" uniqueId="{A444E2B5-DABB-4E96-8D57-97C816183D4B}" formatIdx="3">
          <cx:dataLabels>
            <cx:visibility seriesName="0" categoryName="1" value="0"/>
            <cx:separator>, </cx:separator>
          </cx:dataLabels>
          <cx:dataId val="3"/>
          <cx:layoutPr>
            <cx:parentLabelLayout val="overlapping"/>
          </cx:layoutPr>
        </cx:series>
        <cx:series layoutId="treemap" hidden="1" uniqueId="{4F87043D-A2D7-4E27-A519-DD55D91184A8}" formatIdx="4">
          <cx:dataLabels>
            <cx:visibility seriesName="0" categoryName="1" value="0"/>
            <cx:separator>, </cx:separator>
          </cx:dataLabels>
          <cx:dataId val="4"/>
          <cx:layoutPr>
            <cx:parentLabelLayout val="overlapping"/>
          </cx:layoutPr>
        </cx:series>
        <cx:series layoutId="treemap" hidden="1" uniqueId="{04C17464-3FB4-4010-9A72-25790C54B249}" formatIdx="5">
          <cx:dataLabels>
            <cx:visibility seriesName="0" categoryName="1" value="0"/>
            <cx:separator>, </cx:separator>
          </cx:dataLabels>
          <cx:dataId val="5"/>
          <cx:layoutPr>
            <cx:parentLabelLayout val="overlapping"/>
          </cx:layoutPr>
        </cx:series>
        <cx:series layoutId="treemap" hidden="1" uniqueId="{6F6AD155-78E4-4F67-BC63-2361E5799060}" formatIdx="6">
          <cx:dataLabels>
            <cx:visibility seriesName="0" categoryName="1" value="0"/>
            <cx:separator>, </cx:separator>
          </cx:dataLabels>
          <cx:dataId val="6"/>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92675</xdr:colOff>
      <xdr:row>13</xdr:row>
      <xdr:rowOff>164754</xdr:rowOff>
    </xdr:from>
    <xdr:to>
      <xdr:col>28</xdr:col>
      <xdr:colOff>568036</xdr:colOff>
      <xdr:row>56</xdr:row>
      <xdr:rowOff>175845</xdr:rowOff>
    </xdr:to>
    <xdr:sp macro="" textlink="">
      <xdr:nvSpPr>
        <xdr:cNvPr id="10" name="Flowchart: Alternate Process 9">
          <a:extLst>
            <a:ext uri="{FF2B5EF4-FFF2-40B4-BE49-F238E27FC236}">
              <a16:creationId xmlns:a16="http://schemas.microsoft.com/office/drawing/2014/main" id="{90970198-AD85-6289-E227-688001754914}"/>
            </a:ext>
          </a:extLst>
        </xdr:cNvPr>
        <xdr:cNvSpPr/>
      </xdr:nvSpPr>
      <xdr:spPr>
        <a:xfrm>
          <a:off x="3140675" y="2506172"/>
          <a:ext cx="14496161" cy="7755782"/>
        </a:xfrm>
        <a:prstGeom prst="flowChartAlternateProcess">
          <a:avLst/>
        </a:prstGeom>
        <a:solidFill>
          <a:srgbClr val="FF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175054</xdr:colOff>
      <xdr:row>12</xdr:row>
      <xdr:rowOff>48655</xdr:rowOff>
    </xdr:from>
    <xdr:to>
      <xdr:col>28</xdr:col>
      <xdr:colOff>360218</xdr:colOff>
      <xdr:row>15</xdr:row>
      <xdr:rowOff>154460</xdr:rowOff>
    </xdr:to>
    <xdr:sp macro="" textlink="">
      <xdr:nvSpPr>
        <xdr:cNvPr id="6" name="Flowchart: Alternate Process 5">
          <a:extLst>
            <a:ext uri="{FF2B5EF4-FFF2-40B4-BE49-F238E27FC236}">
              <a16:creationId xmlns:a16="http://schemas.microsoft.com/office/drawing/2014/main" id="{A574E131-C02B-3707-1B42-3DB02E9AAAB2}"/>
            </a:ext>
          </a:extLst>
        </xdr:cNvPr>
        <xdr:cNvSpPr/>
      </xdr:nvSpPr>
      <xdr:spPr>
        <a:xfrm>
          <a:off x="3223054" y="2209964"/>
          <a:ext cx="14205964" cy="646132"/>
        </a:xfrm>
        <a:prstGeom prst="flowChartAlternateProcess">
          <a:avLst/>
        </a:prstGeom>
        <a:gradFill flip="none" rotWithShape="1">
          <a:gsLst>
            <a:gs pos="0">
              <a:srgbClr val="E193AD">
                <a:shade val="30000"/>
                <a:satMod val="115000"/>
              </a:srgbClr>
            </a:gs>
            <a:gs pos="50000">
              <a:srgbClr val="E193AD">
                <a:shade val="67500"/>
                <a:satMod val="115000"/>
              </a:srgbClr>
            </a:gs>
            <a:gs pos="100000">
              <a:srgbClr val="E193AD">
                <a:shade val="100000"/>
                <a:satMod val="11500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566352</xdr:colOff>
      <xdr:row>12</xdr:row>
      <xdr:rowOff>102973</xdr:rowOff>
    </xdr:from>
    <xdr:to>
      <xdr:col>15</xdr:col>
      <xdr:colOff>51487</xdr:colOff>
      <xdr:row>14</xdr:row>
      <xdr:rowOff>144162</xdr:rowOff>
    </xdr:to>
    <xdr:sp macro="" textlink="">
      <xdr:nvSpPr>
        <xdr:cNvPr id="9" name="TextBox 8">
          <a:extLst>
            <a:ext uri="{FF2B5EF4-FFF2-40B4-BE49-F238E27FC236}">
              <a16:creationId xmlns:a16="http://schemas.microsoft.com/office/drawing/2014/main" id="{C687398C-B199-3398-CF39-356F160AC1E9}"/>
            </a:ext>
          </a:extLst>
        </xdr:cNvPr>
        <xdr:cNvSpPr txBox="1"/>
      </xdr:nvSpPr>
      <xdr:spPr>
        <a:xfrm>
          <a:off x="4819136" y="2327189"/>
          <a:ext cx="4345459" cy="41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i="0">
              <a:solidFill>
                <a:schemeClr val="tx2">
                  <a:lumMod val="75000"/>
                  <a:lumOff val="25000"/>
                </a:schemeClr>
              </a:solidFill>
              <a:effectLst/>
              <a:latin typeface="+mn-lt"/>
              <a:ea typeface="+mn-ea"/>
              <a:cs typeface="+mn-cs"/>
            </a:rPr>
            <a:t>Radiance Lounge</a:t>
          </a:r>
          <a:r>
            <a:rPr lang="ar-EG" sz="2400" b="1" i="0">
              <a:solidFill>
                <a:schemeClr val="tx2">
                  <a:lumMod val="75000"/>
                  <a:lumOff val="25000"/>
                </a:schemeClr>
              </a:solidFill>
              <a:effectLst/>
              <a:latin typeface="+mn-lt"/>
              <a:ea typeface="+mn-ea"/>
              <a:cs typeface="+mn-cs"/>
            </a:rPr>
            <a:t> </a:t>
          </a:r>
          <a:r>
            <a:rPr lang="en-US" sz="2400" b="1" i="0" baseline="0">
              <a:solidFill>
                <a:schemeClr val="tx2">
                  <a:lumMod val="75000"/>
                  <a:lumOff val="25000"/>
                </a:schemeClr>
              </a:solidFill>
              <a:effectLst/>
              <a:latin typeface="+mn-lt"/>
              <a:ea typeface="+mn-ea"/>
              <a:cs typeface="+mn-cs"/>
            </a:rPr>
            <a:t> Data analysis :</a:t>
          </a:r>
          <a:endParaRPr lang="en-US" sz="2400" b="1" i="0">
            <a:solidFill>
              <a:schemeClr val="tx2">
                <a:lumMod val="75000"/>
                <a:lumOff val="25000"/>
              </a:schemeClr>
            </a:solidFill>
            <a:effectLst/>
            <a:latin typeface="+mn-lt"/>
            <a:ea typeface="+mn-ea"/>
            <a:cs typeface="+mn-cs"/>
          </a:endParaRPr>
        </a:p>
        <a:p>
          <a:endParaRPr lang="en-US" sz="1100"/>
        </a:p>
      </xdr:txBody>
    </xdr:sp>
    <xdr:clientData/>
  </xdr:twoCellAnchor>
  <xdr:twoCellAnchor>
    <xdr:from>
      <xdr:col>5</xdr:col>
      <xdr:colOff>205946</xdr:colOff>
      <xdr:row>15</xdr:row>
      <xdr:rowOff>164754</xdr:rowOff>
    </xdr:from>
    <xdr:to>
      <xdr:col>8</xdr:col>
      <xdr:colOff>381000</xdr:colOff>
      <xdr:row>53</xdr:row>
      <xdr:rowOff>138545</xdr:rowOff>
    </xdr:to>
    <xdr:sp macro="" textlink="">
      <xdr:nvSpPr>
        <xdr:cNvPr id="13" name="Flowchart: Alternate Process 12">
          <a:extLst>
            <a:ext uri="{FF2B5EF4-FFF2-40B4-BE49-F238E27FC236}">
              <a16:creationId xmlns:a16="http://schemas.microsoft.com/office/drawing/2014/main" id="{BDC0EABA-B7D2-314C-546B-23A96EFCB201}"/>
            </a:ext>
          </a:extLst>
        </xdr:cNvPr>
        <xdr:cNvSpPr/>
      </xdr:nvSpPr>
      <xdr:spPr>
        <a:xfrm>
          <a:off x="3253946" y="2866390"/>
          <a:ext cx="2003854" cy="6817937"/>
        </a:xfrm>
        <a:prstGeom prst="flowChartAlternateProcess">
          <a:avLst/>
        </a:prstGeom>
        <a:solidFill>
          <a:srgbClr val="E193AD"/>
        </a:solidFill>
        <a:ln>
          <a:noFill/>
        </a:ln>
        <a:effectLst>
          <a:softEdge rad="31750"/>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5</xdr:col>
      <xdr:colOff>257431</xdr:colOff>
      <xdr:row>12</xdr:row>
      <xdr:rowOff>51486</xdr:rowOff>
    </xdr:from>
    <xdr:to>
      <xdr:col>8</xdr:col>
      <xdr:colOff>0</xdr:colOff>
      <xdr:row>20</xdr:row>
      <xdr:rowOff>123568</xdr:rowOff>
    </xdr:to>
    <xdr:pic>
      <xdr:nvPicPr>
        <xdr:cNvPr id="12" name="Picture 11">
          <a:extLst>
            <a:ext uri="{FF2B5EF4-FFF2-40B4-BE49-F238E27FC236}">
              <a16:creationId xmlns:a16="http://schemas.microsoft.com/office/drawing/2014/main" id="{DFD6D743-343A-7EA4-ACE5-85687A67F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95134" y="2275702"/>
          <a:ext cx="1565190" cy="1554893"/>
        </a:xfrm>
        <a:prstGeom prst="rect">
          <a:avLst/>
        </a:prstGeom>
      </xdr:spPr>
    </xdr:pic>
    <xdr:clientData/>
  </xdr:twoCellAnchor>
  <xdr:twoCellAnchor editAs="oneCell">
    <xdr:from>
      <xdr:col>5</xdr:col>
      <xdr:colOff>247135</xdr:colOff>
      <xdr:row>21</xdr:row>
      <xdr:rowOff>92676</xdr:rowOff>
    </xdr:from>
    <xdr:to>
      <xdr:col>8</xdr:col>
      <xdr:colOff>351692</xdr:colOff>
      <xdr:row>27</xdr:row>
      <xdr:rowOff>77848</xdr:rowOff>
    </xdr:to>
    <mc:AlternateContent xmlns:mc="http://schemas.openxmlformats.org/markup-compatibility/2006" xmlns:a14="http://schemas.microsoft.com/office/drawing/2010/main">
      <mc:Choice Requires="a14">
        <xdr:graphicFrame macro="">
          <xdr:nvGraphicFramePr>
            <xdr:cNvPr id="14" name="Booking Status">
              <a:extLst>
                <a:ext uri="{FF2B5EF4-FFF2-40B4-BE49-F238E27FC236}">
                  <a16:creationId xmlns:a16="http://schemas.microsoft.com/office/drawing/2014/main" id="{BD7BB575-50A9-44E0-8CF1-C8352653035F}"/>
                </a:ext>
              </a:extLst>
            </xdr:cNvPr>
            <xdr:cNvGraphicFramePr/>
          </xdr:nvGraphicFramePr>
          <xdr:xfrm>
            <a:off x="0" y="0"/>
            <a:ext cx="0" cy="0"/>
          </xdr:xfrm>
          <a:graphic>
            <a:graphicData uri="http://schemas.microsoft.com/office/drawing/2010/slicer">
              <sle:slicer xmlns:sle="http://schemas.microsoft.com/office/drawing/2010/slicer" name="Booking Status"/>
            </a:graphicData>
          </a:graphic>
        </xdr:graphicFrame>
      </mc:Choice>
      <mc:Fallback xmlns="">
        <xdr:sp macro="" textlink="">
          <xdr:nvSpPr>
            <xdr:cNvPr id="0" name=""/>
            <xdr:cNvSpPr>
              <a:spLocks noTextEdit="1"/>
            </xdr:cNvSpPr>
          </xdr:nvSpPr>
          <xdr:spPr>
            <a:xfrm>
              <a:off x="3295135" y="3874967"/>
              <a:ext cx="1933357" cy="1065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240974</xdr:colOff>
      <xdr:row>27</xdr:row>
      <xdr:rowOff>169334</xdr:rowOff>
    </xdr:from>
    <xdr:to>
      <xdr:col>8</xdr:col>
      <xdr:colOff>332965</xdr:colOff>
      <xdr:row>34</xdr:row>
      <xdr:rowOff>28164</xdr:rowOff>
    </xdr:to>
    <mc:AlternateContent xmlns:mc="http://schemas.openxmlformats.org/markup-compatibility/2006" xmlns:a14="http://schemas.microsoft.com/office/drawing/2010/main">
      <mc:Choice Requires="a14">
        <xdr:graphicFrame macro="">
          <xdr:nvGraphicFramePr>
            <xdr:cNvPr id="15" name="Client Type">
              <a:extLst>
                <a:ext uri="{FF2B5EF4-FFF2-40B4-BE49-F238E27FC236}">
                  <a16:creationId xmlns:a16="http://schemas.microsoft.com/office/drawing/2014/main" id="{3E93FFBB-EE19-4B6D-98B7-3EA70C771119}"/>
                </a:ext>
              </a:extLst>
            </xdr:cNvPr>
            <xdr:cNvGraphicFramePr/>
          </xdr:nvGraphicFramePr>
          <xdr:xfrm>
            <a:off x="0" y="0"/>
            <a:ext cx="0" cy="0"/>
          </xdr:xfrm>
          <a:graphic>
            <a:graphicData uri="http://schemas.microsoft.com/office/drawing/2010/slicer">
              <sle:slicer xmlns:sle="http://schemas.microsoft.com/office/drawing/2010/slicer" name="Client Type"/>
            </a:graphicData>
          </a:graphic>
        </xdr:graphicFrame>
      </mc:Choice>
      <mc:Fallback xmlns="">
        <xdr:sp macro="" textlink="">
          <xdr:nvSpPr>
            <xdr:cNvPr id="0" name=""/>
            <xdr:cNvSpPr>
              <a:spLocks noTextEdit="1"/>
            </xdr:cNvSpPr>
          </xdr:nvSpPr>
          <xdr:spPr>
            <a:xfrm>
              <a:off x="3288974" y="5032279"/>
              <a:ext cx="1920791" cy="1119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248191</xdr:colOff>
      <xdr:row>34</xdr:row>
      <xdr:rowOff>158245</xdr:rowOff>
    </xdr:from>
    <xdr:to>
      <xdr:col>8</xdr:col>
      <xdr:colOff>351692</xdr:colOff>
      <xdr:row>40</xdr:row>
      <xdr:rowOff>96460</xdr:rowOff>
    </xdr:to>
    <mc:AlternateContent xmlns:mc="http://schemas.openxmlformats.org/markup-compatibility/2006" xmlns:a14="http://schemas.microsoft.com/office/drawing/2010/main">
      <mc:Choice Requires="a14">
        <xdr:graphicFrame macro="">
          <xdr:nvGraphicFramePr>
            <xdr:cNvPr id="16" name="MONHT">
              <a:extLst>
                <a:ext uri="{FF2B5EF4-FFF2-40B4-BE49-F238E27FC236}">
                  <a16:creationId xmlns:a16="http://schemas.microsoft.com/office/drawing/2014/main" id="{38B986B0-4B46-413B-9B74-FA947337DE45}"/>
                </a:ext>
              </a:extLst>
            </xdr:cNvPr>
            <xdr:cNvGraphicFramePr/>
          </xdr:nvGraphicFramePr>
          <xdr:xfrm>
            <a:off x="0" y="0"/>
            <a:ext cx="0" cy="0"/>
          </xdr:xfrm>
          <a:graphic>
            <a:graphicData uri="http://schemas.microsoft.com/office/drawing/2010/slicer">
              <sle:slicer xmlns:sle="http://schemas.microsoft.com/office/drawing/2010/slicer" name="MONHT"/>
            </a:graphicData>
          </a:graphic>
        </xdr:graphicFrame>
      </mc:Choice>
      <mc:Fallback xmlns="">
        <xdr:sp macro="" textlink="">
          <xdr:nvSpPr>
            <xdr:cNvPr id="0" name=""/>
            <xdr:cNvSpPr>
              <a:spLocks noTextEdit="1"/>
            </xdr:cNvSpPr>
          </xdr:nvSpPr>
          <xdr:spPr>
            <a:xfrm>
              <a:off x="3296191" y="6281954"/>
              <a:ext cx="1932301" cy="1018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247486</xdr:colOff>
      <xdr:row>41</xdr:row>
      <xdr:rowOff>84666</xdr:rowOff>
    </xdr:from>
    <xdr:to>
      <xdr:col>8</xdr:col>
      <xdr:colOff>350388</xdr:colOff>
      <xdr:row>50</xdr:row>
      <xdr:rowOff>45589</xdr:rowOff>
    </xdr:to>
    <mc:AlternateContent xmlns:mc="http://schemas.openxmlformats.org/markup-compatibility/2006" xmlns:a14="http://schemas.microsoft.com/office/drawing/2010/main">
      <mc:Choice Requires="a14">
        <xdr:graphicFrame macro="">
          <xdr:nvGraphicFramePr>
            <xdr:cNvPr id="17" name="Marketing Channel">
              <a:extLst>
                <a:ext uri="{FF2B5EF4-FFF2-40B4-BE49-F238E27FC236}">
                  <a16:creationId xmlns:a16="http://schemas.microsoft.com/office/drawing/2014/main" id="{FABA7074-140A-49FD-98E5-BE8CD8A828E1}"/>
                </a:ext>
              </a:extLst>
            </xdr:cNvPr>
            <xdr:cNvGraphicFramePr/>
          </xdr:nvGraphicFramePr>
          <xdr:xfrm>
            <a:off x="0" y="0"/>
            <a:ext cx="0" cy="0"/>
          </xdr:xfrm>
          <a:graphic>
            <a:graphicData uri="http://schemas.microsoft.com/office/drawing/2010/slicer">
              <sle:slicer xmlns:sle="http://schemas.microsoft.com/office/drawing/2010/slicer" name="Marketing Channel"/>
            </a:graphicData>
          </a:graphic>
        </xdr:graphicFrame>
      </mc:Choice>
      <mc:Fallback xmlns="">
        <xdr:sp macro="" textlink="">
          <xdr:nvSpPr>
            <xdr:cNvPr id="0" name=""/>
            <xdr:cNvSpPr>
              <a:spLocks noTextEdit="1"/>
            </xdr:cNvSpPr>
          </xdr:nvSpPr>
          <xdr:spPr>
            <a:xfrm>
              <a:off x="3295486" y="7469139"/>
              <a:ext cx="1931702" cy="1581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50801</xdr:colOff>
      <xdr:row>16</xdr:row>
      <xdr:rowOff>23091</xdr:rowOff>
    </xdr:from>
    <xdr:to>
      <xdr:col>28</xdr:col>
      <xdr:colOff>65685</xdr:colOff>
      <xdr:row>23</xdr:row>
      <xdr:rowOff>35188</xdr:rowOff>
    </xdr:to>
    <xdr:grpSp>
      <xdr:nvGrpSpPr>
        <xdr:cNvPr id="4103" name="Group 4102">
          <a:extLst>
            <a:ext uri="{FF2B5EF4-FFF2-40B4-BE49-F238E27FC236}">
              <a16:creationId xmlns:a16="http://schemas.microsoft.com/office/drawing/2014/main" id="{AB3C0B63-636C-B2AB-184D-6D30F9B49F35}"/>
            </a:ext>
          </a:extLst>
        </xdr:cNvPr>
        <xdr:cNvGrpSpPr/>
      </xdr:nvGrpSpPr>
      <xdr:grpSpPr>
        <a:xfrm>
          <a:off x="5537201" y="2904836"/>
          <a:ext cx="11597284" cy="1272861"/>
          <a:chOff x="5537201" y="2904836"/>
          <a:chExt cx="11597794" cy="1272861"/>
        </a:xfrm>
      </xdr:grpSpPr>
      <xdr:grpSp>
        <xdr:nvGrpSpPr>
          <xdr:cNvPr id="4102" name="Group 4101">
            <a:extLst>
              <a:ext uri="{FF2B5EF4-FFF2-40B4-BE49-F238E27FC236}">
                <a16:creationId xmlns:a16="http://schemas.microsoft.com/office/drawing/2014/main" id="{84F16E0A-651D-6D50-FEC0-2699EE703866}"/>
              </a:ext>
            </a:extLst>
          </xdr:cNvPr>
          <xdr:cNvGrpSpPr/>
        </xdr:nvGrpSpPr>
        <xdr:grpSpPr>
          <a:xfrm>
            <a:off x="5537201" y="2904836"/>
            <a:ext cx="2450495" cy="1272860"/>
            <a:chOff x="5537201" y="2938703"/>
            <a:chExt cx="2450495" cy="1272860"/>
          </a:xfrm>
        </xdr:grpSpPr>
        <xdr:sp macro="" textlink="">
          <xdr:nvSpPr>
            <xdr:cNvPr id="18" name="Flowchart: Alternate Process 17">
              <a:extLst>
                <a:ext uri="{FF2B5EF4-FFF2-40B4-BE49-F238E27FC236}">
                  <a16:creationId xmlns:a16="http://schemas.microsoft.com/office/drawing/2014/main" id="{FA6BAD72-13FF-8403-B687-372D6E559CA1}"/>
                </a:ext>
              </a:extLst>
            </xdr:cNvPr>
            <xdr:cNvSpPr/>
          </xdr:nvSpPr>
          <xdr:spPr>
            <a:xfrm>
              <a:off x="5537201" y="2938703"/>
              <a:ext cx="2450495" cy="1272860"/>
            </a:xfrm>
            <a:prstGeom prst="flowChartAlternateProcess">
              <a:avLst/>
            </a:prstGeom>
            <a:solidFill>
              <a:srgbClr val="E193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2">
                      <a:lumMod val="75000"/>
                      <a:lumOff val="25000"/>
                    </a:schemeClr>
                  </a:solidFill>
                </a:rPr>
                <a:t>Total Revenue</a:t>
              </a:r>
            </a:p>
          </xdr:txBody>
        </xdr:sp>
        <xdr:sp macro="" textlink="pivots!D70">
          <xdr:nvSpPr>
            <xdr:cNvPr id="23" name="TextBox 22">
              <a:extLst>
                <a:ext uri="{FF2B5EF4-FFF2-40B4-BE49-F238E27FC236}">
                  <a16:creationId xmlns:a16="http://schemas.microsoft.com/office/drawing/2014/main" id="{4E27D3A2-61F2-FA79-C302-1E464792F8D4}"/>
                </a:ext>
              </a:extLst>
            </xdr:cNvPr>
            <xdr:cNvSpPr txBox="1"/>
          </xdr:nvSpPr>
          <xdr:spPr>
            <a:xfrm>
              <a:off x="5955705" y="3519846"/>
              <a:ext cx="1913467" cy="34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5E119C-8566-4107-9D0F-6C195645AC1C}" type="TxLink">
                <a:rPr lang="en-US" sz="2400" b="0" i="0" u="none" strike="noStrike">
                  <a:solidFill>
                    <a:schemeClr val="tx2">
                      <a:lumMod val="75000"/>
                      <a:lumOff val="25000"/>
                    </a:schemeClr>
                  </a:solidFill>
                  <a:latin typeface="Calibri"/>
                  <a:cs typeface="Calibri"/>
                </a:rPr>
                <a:pPr/>
                <a:t> $523,420 </a:t>
              </a:fld>
              <a:endParaRPr lang="en-US" sz="1100">
                <a:solidFill>
                  <a:schemeClr val="tx2">
                    <a:lumMod val="75000"/>
                    <a:lumOff val="25000"/>
                  </a:schemeClr>
                </a:solidFill>
              </a:endParaRPr>
            </a:p>
          </xdr:txBody>
        </xdr:sp>
      </xdr:grpSp>
      <xdr:grpSp>
        <xdr:nvGrpSpPr>
          <xdr:cNvPr id="4100" name="Group 4099">
            <a:extLst>
              <a:ext uri="{FF2B5EF4-FFF2-40B4-BE49-F238E27FC236}">
                <a16:creationId xmlns:a16="http://schemas.microsoft.com/office/drawing/2014/main" id="{4A051EEB-A87B-793B-8FDF-C2DDBD858A90}"/>
              </a:ext>
            </a:extLst>
          </xdr:cNvPr>
          <xdr:cNvGrpSpPr/>
        </xdr:nvGrpSpPr>
        <xdr:grpSpPr>
          <a:xfrm>
            <a:off x="8545908" y="2904837"/>
            <a:ext cx="2637986" cy="1272860"/>
            <a:chOff x="9175227" y="2894062"/>
            <a:chExt cx="2637986" cy="1272860"/>
          </a:xfrm>
        </xdr:grpSpPr>
        <xdr:sp macro="" textlink="">
          <xdr:nvSpPr>
            <xdr:cNvPr id="19" name="Flowchart: Alternate Process 18">
              <a:extLst>
                <a:ext uri="{FF2B5EF4-FFF2-40B4-BE49-F238E27FC236}">
                  <a16:creationId xmlns:a16="http://schemas.microsoft.com/office/drawing/2014/main" id="{CBF4ACDE-698E-4DF1-8847-343B56569693}"/>
                </a:ext>
              </a:extLst>
            </xdr:cNvPr>
            <xdr:cNvSpPr/>
          </xdr:nvSpPr>
          <xdr:spPr>
            <a:xfrm>
              <a:off x="9175227" y="2894062"/>
              <a:ext cx="2503714" cy="1272860"/>
            </a:xfrm>
            <a:prstGeom prst="flowChartAlternateProcess">
              <a:avLst/>
            </a:prstGeom>
            <a:solidFill>
              <a:srgbClr val="E193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2">
                      <a:lumMod val="75000"/>
                      <a:lumOff val="25000"/>
                    </a:schemeClr>
                  </a:solidFill>
                </a:rPr>
                <a:t>Average of Revenue</a:t>
              </a:r>
            </a:p>
          </xdr:txBody>
        </xdr:sp>
        <xdr:sp macro="" textlink="pivots!E70">
          <xdr:nvSpPr>
            <xdr:cNvPr id="24" name="TextBox 23">
              <a:extLst>
                <a:ext uri="{FF2B5EF4-FFF2-40B4-BE49-F238E27FC236}">
                  <a16:creationId xmlns:a16="http://schemas.microsoft.com/office/drawing/2014/main" id="{A8712BA2-FBFC-5DA3-3769-9B487308CBA0}"/>
                </a:ext>
              </a:extLst>
            </xdr:cNvPr>
            <xdr:cNvSpPr txBox="1"/>
          </xdr:nvSpPr>
          <xdr:spPr>
            <a:xfrm>
              <a:off x="9923936" y="3459975"/>
              <a:ext cx="1889277" cy="552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16F744-49C1-4873-BB72-8C89B8D4A52B}" type="TxLink">
                <a:rPr lang="en-US" sz="2400" b="0" i="0" u="none" strike="noStrike">
                  <a:solidFill>
                    <a:schemeClr val="tx2">
                      <a:lumMod val="75000"/>
                      <a:lumOff val="25000"/>
                    </a:schemeClr>
                  </a:solidFill>
                  <a:latin typeface="Calibri"/>
                  <a:cs typeface="Calibri"/>
                </a:rPr>
                <a:pPr/>
                <a:t> $262 </a:t>
              </a:fld>
              <a:endParaRPr lang="en-US" sz="1100">
                <a:solidFill>
                  <a:schemeClr val="tx2">
                    <a:lumMod val="75000"/>
                    <a:lumOff val="25000"/>
                  </a:schemeClr>
                </a:solidFill>
              </a:endParaRPr>
            </a:p>
          </xdr:txBody>
        </xdr:sp>
      </xdr:grpSp>
      <xdr:grpSp>
        <xdr:nvGrpSpPr>
          <xdr:cNvPr id="4099" name="Group 4098">
            <a:extLst>
              <a:ext uri="{FF2B5EF4-FFF2-40B4-BE49-F238E27FC236}">
                <a16:creationId xmlns:a16="http://schemas.microsoft.com/office/drawing/2014/main" id="{DC2AB1AB-EC7C-31EE-EED1-61C279F1175D}"/>
              </a:ext>
            </a:extLst>
          </xdr:cNvPr>
          <xdr:cNvGrpSpPr/>
        </xdr:nvGrpSpPr>
        <xdr:grpSpPr>
          <a:xfrm>
            <a:off x="11701961" y="2904836"/>
            <a:ext cx="2450495" cy="1272860"/>
            <a:chOff x="12020248" y="2890982"/>
            <a:chExt cx="2450495" cy="1272860"/>
          </a:xfrm>
        </xdr:grpSpPr>
        <xdr:sp macro="" textlink="">
          <xdr:nvSpPr>
            <xdr:cNvPr id="20" name="Flowchart: Alternate Process 19">
              <a:extLst>
                <a:ext uri="{FF2B5EF4-FFF2-40B4-BE49-F238E27FC236}">
                  <a16:creationId xmlns:a16="http://schemas.microsoft.com/office/drawing/2014/main" id="{CA8FEBF0-3EC4-4DD5-9574-EEB5FA2C1399}"/>
                </a:ext>
              </a:extLst>
            </xdr:cNvPr>
            <xdr:cNvSpPr/>
          </xdr:nvSpPr>
          <xdr:spPr>
            <a:xfrm>
              <a:off x="12020248" y="2890982"/>
              <a:ext cx="2450495" cy="1272860"/>
            </a:xfrm>
            <a:prstGeom prst="flowChartAlternateProcess">
              <a:avLst/>
            </a:prstGeom>
            <a:solidFill>
              <a:srgbClr val="E193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2">
                      <a:lumMod val="75000"/>
                      <a:lumOff val="25000"/>
                    </a:schemeClr>
                  </a:solidFill>
                </a:rPr>
                <a:t>Total Customers</a:t>
              </a:r>
            </a:p>
          </xdr:txBody>
        </xdr:sp>
        <xdr:sp macro="" textlink="pivots!F70">
          <xdr:nvSpPr>
            <xdr:cNvPr id="25" name="TextBox 24">
              <a:extLst>
                <a:ext uri="{FF2B5EF4-FFF2-40B4-BE49-F238E27FC236}">
                  <a16:creationId xmlns:a16="http://schemas.microsoft.com/office/drawing/2014/main" id="{43D1AC38-119B-4402-4953-D82D8FC67E96}"/>
                </a:ext>
              </a:extLst>
            </xdr:cNvPr>
            <xdr:cNvSpPr txBox="1"/>
          </xdr:nvSpPr>
          <xdr:spPr>
            <a:xfrm>
              <a:off x="12443123" y="3521589"/>
              <a:ext cx="1598990" cy="456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75204B-4BB3-43E6-8617-4D2210186387}" type="TxLink">
                <a:rPr lang="en-US" sz="2400" b="0" i="0" u="none" strike="noStrike">
                  <a:solidFill>
                    <a:schemeClr val="tx2">
                      <a:lumMod val="75000"/>
                      <a:lumOff val="25000"/>
                    </a:schemeClr>
                  </a:solidFill>
                  <a:latin typeface="Calibri"/>
                  <a:cs typeface="Calibri"/>
                </a:rPr>
                <a:pPr algn="ctr"/>
                <a:t>2000</a:t>
              </a:fld>
              <a:endParaRPr lang="en-US" sz="2400">
                <a:solidFill>
                  <a:schemeClr val="tx2">
                    <a:lumMod val="75000"/>
                    <a:lumOff val="25000"/>
                  </a:schemeClr>
                </a:solidFill>
              </a:endParaRPr>
            </a:p>
          </xdr:txBody>
        </xdr:sp>
      </xdr:grpSp>
      <xdr:grpSp>
        <xdr:nvGrpSpPr>
          <xdr:cNvPr id="4096" name="Group 4095">
            <a:extLst>
              <a:ext uri="{FF2B5EF4-FFF2-40B4-BE49-F238E27FC236}">
                <a16:creationId xmlns:a16="http://schemas.microsoft.com/office/drawing/2014/main" id="{63290021-51BF-BF15-9B2F-71FE8AC298BE}"/>
              </a:ext>
            </a:extLst>
          </xdr:cNvPr>
          <xdr:cNvGrpSpPr/>
        </xdr:nvGrpSpPr>
        <xdr:grpSpPr>
          <a:xfrm>
            <a:off x="14684500" y="2904836"/>
            <a:ext cx="2450495" cy="1272860"/>
            <a:chOff x="14684500" y="2913853"/>
            <a:chExt cx="2450495" cy="1272860"/>
          </a:xfrm>
        </xdr:grpSpPr>
        <xdr:sp macro="" textlink="">
          <xdr:nvSpPr>
            <xdr:cNvPr id="21" name="Flowchart: Alternate Process 20">
              <a:extLst>
                <a:ext uri="{FF2B5EF4-FFF2-40B4-BE49-F238E27FC236}">
                  <a16:creationId xmlns:a16="http://schemas.microsoft.com/office/drawing/2014/main" id="{C8BEFEAC-E5EE-4757-87CE-A2C97174CE05}"/>
                </a:ext>
              </a:extLst>
            </xdr:cNvPr>
            <xdr:cNvSpPr/>
          </xdr:nvSpPr>
          <xdr:spPr>
            <a:xfrm>
              <a:off x="14684500" y="2913853"/>
              <a:ext cx="2450495" cy="1272860"/>
            </a:xfrm>
            <a:prstGeom prst="flowChartAlternateProcess">
              <a:avLst/>
            </a:prstGeom>
            <a:solidFill>
              <a:srgbClr val="E193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2">
                      <a:lumMod val="75000"/>
                      <a:lumOff val="25000"/>
                    </a:schemeClr>
                  </a:solidFill>
                </a:rPr>
                <a:t>TOP SERVICE</a:t>
              </a:r>
            </a:p>
          </xdr:txBody>
        </xdr:sp>
        <xdr:sp macro="" textlink="pivots!G70">
          <xdr:nvSpPr>
            <xdr:cNvPr id="26" name="TextBox 25">
              <a:extLst>
                <a:ext uri="{FF2B5EF4-FFF2-40B4-BE49-F238E27FC236}">
                  <a16:creationId xmlns:a16="http://schemas.microsoft.com/office/drawing/2014/main" id="{E505F579-4346-2152-D471-102828AAE560}"/>
                </a:ext>
              </a:extLst>
            </xdr:cNvPr>
            <xdr:cNvSpPr txBox="1"/>
          </xdr:nvSpPr>
          <xdr:spPr>
            <a:xfrm>
              <a:off x="15144493" y="3451038"/>
              <a:ext cx="1620000" cy="46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tlCol="0" anchor="t"/>
            <a:lstStyle/>
            <a:p>
              <a:pPr algn="ctr"/>
              <a:fld id="{418578DB-EF8B-4221-B928-713532BA4650}" type="TxLink">
                <a:rPr lang="en-US" sz="2400" b="0" i="0" u="none" strike="noStrike">
                  <a:solidFill>
                    <a:schemeClr val="tx2">
                      <a:lumMod val="75000"/>
                      <a:lumOff val="25000"/>
                    </a:schemeClr>
                  </a:solidFill>
                  <a:latin typeface="Calibri"/>
                  <a:cs typeface="Calibri"/>
                </a:rPr>
                <a:pPr algn="ctr"/>
                <a:t>Clearly</a:t>
              </a:fld>
              <a:endParaRPr lang="en-US" sz="2400">
                <a:solidFill>
                  <a:schemeClr val="tx2">
                    <a:lumMod val="75000"/>
                    <a:lumOff val="25000"/>
                  </a:schemeClr>
                </a:solidFill>
              </a:endParaRPr>
            </a:p>
          </xdr:txBody>
        </xdr:sp>
      </xdr:grpSp>
    </xdr:grpSp>
    <xdr:clientData/>
  </xdr:twoCellAnchor>
  <xdr:twoCellAnchor>
    <xdr:from>
      <xdr:col>21</xdr:col>
      <xdr:colOff>546433</xdr:colOff>
      <xdr:row>24</xdr:row>
      <xdr:rowOff>86206</xdr:rowOff>
    </xdr:from>
    <xdr:to>
      <xdr:col>28</xdr:col>
      <xdr:colOff>261478</xdr:colOff>
      <xdr:row>39</xdr:row>
      <xdr:rowOff>49921</xdr:rowOff>
    </xdr:to>
    <xdr:graphicFrame macro="">
      <xdr:nvGraphicFramePr>
        <xdr:cNvPr id="27" name="Chart 26">
          <a:extLst>
            <a:ext uri="{FF2B5EF4-FFF2-40B4-BE49-F238E27FC236}">
              <a16:creationId xmlns:a16="http://schemas.microsoft.com/office/drawing/2014/main" id="{C97A6FE5-D3A4-4C66-B953-B1E4EA559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237818</xdr:colOff>
      <xdr:row>40</xdr:row>
      <xdr:rowOff>164753</xdr:rowOff>
    </xdr:from>
    <xdr:to>
      <xdr:col>26</xdr:col>
      <xdr:colOff>576484</xdr:colOff>
      <xdr:row>56</xdr:row>
      <xdr:rowOff>5096</xdr:rowOff>
    </xdr:to>
    <xdr:graphicFrame macro="">
      <xdr:nvGraphicFramePr>
        <xdr:cNvPr id="28" name="Chart 27">
          <a:extLst>
            <a:ext uri="{FF2B5EF4-FFF2-40B4-BE49-F238E27FC236}">
              <a16:creationId xmlns:a16="http://schemas.microsoft.com/office/drawing/2014/main" id="{49CCE563-136B-41C7-825F-C3782D865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486103</xdr:colOff>
      <xdr:row>38</xdr:row>
      <xdr:rowOff>183930</xdr:rowOff>
    </xdr:from>
    <xdr:to>
      <xdr:col>19</xdr:col>
      <xdr:colOff>249619</xdr:colOff>
      <xdr:row>54</xdr:row>
      <xdr:rowOff>157655</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FC91D69B-EE84-4CA9-A142-A1ED54F575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362903" y="7133370"/>
              <a:ext cx="6469116" cy="289980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53775</xdr:colOff>
      <xdr:row>24</xdr:row>
      <xdr:rowOff>108958</xdr:rowOff>
    </xdr:from>
    <xdr:to>
      <xdr:col>21</xdr:col>
      <xdr:colOff>353407</xdr:colOff>
      <xdr:row>38</xdr:row>
      <xdr:rowOff>160619</xdr:rowOff>
    </xdr:to>
    <xdr:graphicFrame macro="">
      <xdr:nvGraphicFramePr>
        <xdr:cNvPr id="30" name="Chart 29">
          <a:extLst>
            <a:ext uri="{FF2B5EF4-FFF2-40B4-BE49-F238E27FC236}">
              <a16:creationId xmlns:a16="http://schemas.microsoft.com/office/drawing/2014/main" id="{4C2C3DA9-4854-405D-813B-D0DEAC52A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554181</xdr:colOff>
      <xdr:row>23</xdr:row>
      <xdr:rowOff>137044</xdr:rowOff>
    </xdr:from>
    <xdr:to>
      <xdr:col>15</xdr:col>
      <xdr:colOff>110836</xdr:colOff>
      <xdr:row>38</xdr:row>
      <xdr:rowOff>178608</xdr:rowOff>
    </xdr:to>
    <xdr:graphicFrame macro="">
      <xdr:nvGraphicFramePr>
        <xdr:cNvPr id="31" name="Chart 30">
          <a:extLst>
            <a:ext uri="{FF2B5EF4-FFF2-40B4-BE49-F238E27FC236}">
              <a16:creationId xmlns:a16="http://schemas.microsoft.com/office/drawing/2014/main" id="{F9EFCE25-2477-49CF-9DA3-19755F1A2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5.356613657408" createdVersion="8" refreshedVersion="8" minRefreshableVersion="3" recordCount="2000" xr:uid="{A40C5D75-8FD8-4A54-8C62-AFD9636CEB27}">
  <cacheSource type="worksheet">
    <worksheetSource name="Table3"/>
  </cacheSource>
  <cacheFields count="13">
    <cacheField name="Date" numFmtId="14">
      <sharedItems/>
    </cacheField>
    <cacheField name="MONHT" numFmtId="0">
      <sharedItems containsSemiMixedTypes="0" containsString="0" containsNumber="1" containsInteger="1" minValue="1" maxValue="12" count="7">
        <n v="1"/>
        <n v="3"/>
        <n v="4"/>
        <n v="12"/>
        <n v="11"/>
        <n v="2"/>
        <n v="10"/>
      </sharedItems>
    </cacheField>
    <cacheField name="Time" numFmtId="0">
      <sharedItems count="4">
        <s v="Morning"/>
        <s v="Afternoon"/>
        <s v="Night"/>
        <s v="Evening"/>
      </sharedItems>
    </cacheField>
    <cacheField name="Service Type" numFmtId="0">
      <sharedItems count="837">
        <s v="Just"/>
        <s v="Future"/>
        <s v="Consumer"/>
        <s v="Each"/>
        <s v="Tax"/>
        <s v="Ahead"/>
        <s v="Bar"/>
        <s v="Ask"/>
        <s v="Less"/>
        <s v="Toward"/>
        <s v="Tell"/>
        <s v="Effort"/>
        <s v="Possible"/>
        <s v="Real"/>
        <s v="Factor"/>
        <s v="Information"/>
        <s v="Program"/>
        <s v="Letter"/>
        <s v="Kind"/>
        <s v="Usually"/>
        <s v="Line"/>
        <s v="Benefit"/>
        <s v="Rest"/>
        <s v="Natural"/>
        <s v="Late"/>
        <s v="Phone"/>
        <s v="Care"/>
        <s v="Bank"/>
        <s v="Trial"/>
        <s v="Action"/>
        <s v="Environmental"/>
        <s v="Read"/>
        <s v="Reduce"/>
        <s v="Might"/>
        <s v="Film"/>
        <s v="Realize"/>
        <s v="Sing"/>
        <s v="Suffer"/>
        <s v="Sort"/>
        <s v="Message"/>
        <s v="Partner"/>
        <s v="Until"/>
        <s v="Deal"/>
        <s v="Live"/>
        <s v="Response"/>
        <s v="National"/>
        <s v="Meet"/>
        <s v="Consider"/>
        <s v="Condition"/>
        <s v="Republican"/>
        <s v="His"/>
        <s v="Discussion"/>
        <s v="Company"/>
        <s v="Animal"/>
        <s v="Top"/>
        <s v="Her"/>
        <s v="Manage"/>
        <s v="Soldier"/>
        <s v="Too"/>
        <s v="Left"/>
        <s v="Fast"/>
        <s v="Either"/>
        <s v="Power"/>
        <s v="Argue"/>
        <s v="Expect"/>
        <s v="Own"/>
        <s v="Word"/>
        <s v="Tonight"/>
        <s v="Skin"/>
        <s v="Manager"/>
        <s v="Technology"/>
        <s v="Picture"/>
        <s v="Tree"/>
        <s v="Try"/>
        <s v="Democrat"/>
        <s v="Candidate"/>
        <s v="Position"/>
        <s v="Know"/>
        <s v="Blue"/>
        <s v="Local"/>
        <s v="Number"/>
        <s v="Fire"/>
        <s v="Down"/>
        <s v="Both"/>
        <s v="Coach"/>
        <s v="Story"/>
        <s v="Its"/>
        <s v="Movement"/>
        <s v="See"/>
        <s v="Go"/>
        <s v="Take"/>
        <s v="Personal"/>
        <s v="Play"/>
        <s v="Will"/>
        <s v="Give"/>
        <s v="Buy"/>
        <s v="Use"/>
        <s v="Rich"/>
        <s v="Beautiful"/>
        <s v="Bit"/>
        <s v="Federal"/>
        <s v="Claim"/>
        <s v="Report"/>
        <s v="Degree"/>
        <s v="Economy"/>
        <s v="Security"/>
        <s v="Treat"/>
        <s v="Whether"/>
        <s v="Professor"/>
        <s v="Wish"/>
        <s v="Finally"/>
        <s v="Put"/>
        <s v="Million"/>
        <s v="Amount"/>
        <s v="Market"/>
        <s v="And"/>
        <s v="Government"/>
        <s v="Station"/>
        <s v="Expert"/>
        <s v="Camera"/>
        <s v="Add"/>
        <s v="Near"/>
        <s v="Worker"/>
        <s v="Star"/>
        <s v="Far"/>
        <s v="Say"/>
        <s v="Act"/>
        <s v="Wrong"/>
        <s v="Recognize"/>
        <s v="Television"/>
        <s v="Few"/>
        <s v="Join"/>
        <s v="Many"/>
        <s v="Service"/>
        <s v="Myself"/>
        <s v="Institution"/>
        <s v="Language"/>
        <s v="Away"/>
        <s v="Simple"/>
        <s v="Pass"/>
        <s v="Pressure"/>
        <s v="Inside"/>
        <s v="Guess"/>
        <s v="Example"/>
        <s v="Relationship"/>
        <s v="Against"/>
        <s v="Arm"/>
        <s v="Outside"/>
        <s v="Cup"/>
        <s v="Financial"/>
        <s v="For"/>
        <s v="Part"/>
        <s v="Indicate"/>
        <s v="Meeting"/>
        <s v="Section"/>
        <s v="Turn"/>
        <s v="Ever"/>
        <s v="Drop"/>
        <s v="Produce"/>
        <s v="By"/>
        <s v="Laugh"/>
        <s v="Necessary"/>
        <s v="Already"/>
        <s v="Office"/>
        <s v="Magazine"/>
        <s v="Exactly"/>
        <s v="Protect"/>
        <s v="Alone"/>
        <s v="Direction"/>
        <s v="Reality"/>
        <s v="Scene"/>
        <s v="Plant"/>
        <s v="Keep"/>
        <s v="Understand"/>
        <s v="The"/>
        <s v="Firm"/>
        <s v="Start"/>
        <s v="Somebody"/>
        <s v="Him"/>
        <s v="Stop"/>
        <s v="Several"/>
        <s v="Piece"/>
        <s v="Day"/>
        <s v="Provide"/>
        <s v="A"/>
        <s v="Center"/>
        <s v="Catch"/>
        <s v="Fly"/>
        <s v="Apply"/>
        <s v="Side"/>
        <s v="Summer"/>
        <s v="Agree"/>
        <s v="Thank"/>
        <s v="Clearly"/>
        <s v="Specific"/>
        <s v="Imagine"/>
        <s v="We"/>
        <s v="Situation"/>
        <s v="Grow"/>
        <s v="Fish"/>
        <s v="I"/>
        <s v="Rock"/>
        <s v="Pay"/>
        <s v="Success"/>
        <s v="Accept"/>
        <s v="Everybody"/>
        <s v="Key"/>
        <s v="Time"/>
        <s v="Law"/>
        <s v="On"/>
        <s v="What"/>
        <s v="Business"/>
        <s v="Administration"/>
        <s v="Us"/>
        <s v="Eye"/>
        <s v="Week"/>
        <s v="Fight"/>
        <s v="List"/>
        <s v="Should"/>
        <s v="Baby"/>
        <s v="Practice"/>
        <s v="Sea"/>
        <s v="Human"/>
        <s v="Wide"/>
        <s v="Nearly"/>
        <s v="Bad"/>
        <s v="Staff"/>
        <s v="Out"/>
        <s v="Role"/>
        <s v="Around"/>
        <s v="Subject"/>
        <s v="Well"/>
        <s v="Others"/>
        <s v="Authority"/>
        <s v="Black"/>
        <s v="Lay"/>
        <s v="Trip"/>
        <s v="Mouth"/>
        <s v="Water"/>
        <s v="Else"/>
        <s v="Of"/>
        <s v="Process"/>
        <s v="Level"/>
        <s v="One"/>
        <s v="End"/>
        <s v="Church"/>
        <s v="Our"/>
        <s v="Good"/>
        <s v="Wind"/>
        <s v="Ball"/>
        <s v="Heavy"/>
        <s v="Where"/>
        <s v="Husband"/>
        <s v="Education"/>
        <s v="Before"/>
        <s v="Century"/>
        <s v="Daughter"/>
        <s v="Itself"/>
        <s v="Modern"/>
        <s v="Back"/>
        <s v="Event"/>
        <s v="Available"/>
        <s v="Western"/>
        <s v="Who"/>
        <s v="However"/>
        <s v="You"/>
        <s v="Hour"/>
        <s v="Under"/>
        <s v="Purpose"/>
        <s v="Material"/>
        <s v="Price"/>
        <s v="Thousand"/>
        <s v="Cold"/>
        <s v="Hard"/>
        <s v="Low"/>
        <s v="Two"/>
        <s v="Memory"/>
        <s v="Room"/>
        <s v="Yourself"/>
        <s v="Much"/>
        <s v="Once"/>
        <s v="North"/>
        <s v="Happen"/>
        <s v="Point"/>
        <s v="Movie"/>
        <s v="Concern"/>
        <s v="Nature"/>
        <s v="Help"/>
        <s v="Budget"/>
        <s v="Poor"/>
        <s v="Hand"/>
        <s v="Improve"/>
        <s v="No"/>
        <s v="Professional"/>
        <s v="South"/>
        <s v="Or"/>
        <s v="Avoid"/>
        <s v="Agent"/>
        <s v="But"/>
        <s v="Later"/>
        <s v="Friend"/>
        <s v="Hear"/>
        <s v="Nice"/>
        <s v="Attorney"/>
        <s v="Nation"/>
        <s v="Whose"/>
        <s v="Receive"/>
        <s v="Three"/>
        <s v="Talk"/>
        <s v="Cover"/>
        <s v="White"/>
        <s v="During"/>
        <s v="Include"/>
        <s v="Hospital"/>
        <s v="Write"/>
        <s v="Ok"/>
        <s v="Reason"/>
        <s v="Decade"/>
        <s v="Miss"/>
        <s v="Former"/>
        <s v="Month"/>
        <s v="Learn"/>
        <s v="Visit"/>
        <s v="Stock"/>
        <s v="Run"/>
        <s v="Remember"/>
        <s v="Discover"/>
        <s v="Town"/>
        <s v="Minute"/>
        <s v="Debate"/>
        <s v="Sit"/>
        <s v="Successful"/>
        <s v="Only"/>
        <s v="Conference"/>
        <s v="Central"/>
        <s v="Industry"/>
        <s v="Common"/>
        <s v="Affect"/>
        <s v="Officer"/>
        <s v="Base"/>
        <s v="Save"/>
        <s v="Director"/>
        <s v="Six"/>
        <s v="Why"/>
        <s v="Cell"/>
        <s v="Share"/>
        <s v="Assume"/>
        <s v="Year"/>
        <s v="Those"/>
        <s v="Organization"/>
        <s v="Answer"/>
        <s v="Born"/>
        <s v="Suddenly"/>
        <s v="Choose"/>
        <s v="Whole"/>
        <s v="Ago"/>
        <s v="Young"/>
        <s v="Listen"/>
        <s v="Order"/>
        <s v="Majority"/>
        <s v="Contain"/>
        <s v="Wonder"/>
        <s v="Kitchen"/>
        <s v="Half"/>
        <s v="Image"/>
        <s v="It"/>
        <s v="Some"/>
        <s v="Red"/>
        <s v="Support"/>
        <s v="Race"/>
        <s v="Cut"/>
        <s v="Total"/>
        <s v="Guy"/>
        <s v="Clear"/>
        <s v="When"/>
        <s v="Eat"/>
        <s v="Group"/>
        <s v="Mean"/>
        <s v="Religious"/>
        <s v="Measure"/>
        <s v="Fact"/>
        <s v="Better"/>
        <s v="Your"/>
        <s v="Speech"/>
        <s v="Mission"/>
        <s v="Property"/>
        <s v="Serve"/>
        <s v="General"/>
        <s v="If"/>
        <s v="Production"/>
        <s v="Idea"/>
        <s v="Interview"/>
        <s v="Knowledge"/>
        <s v="Any"/>
        <s v="Activity"/>
        <s v="Close"/>
        <s v="Impact"/>
        <s v="Reveal"/>
        <s v="Ability"/>
        <s v="Establish"/>
        <s v="Wear"/>
        <s v="Civil"/>
        <s v="Set"/>
        <s v="Strong"/>
        <s v="Term"/>
        <s v="Sometimes"/>
        <s v="Artist"/>
        <s v="Article"/>
        <s v="Again"/>
        <s v="Case"/>
        <s v="Card"/>
        <s v="Senior"/>
        <s v="New"/>
        <s v="Enter"/>
        <s v="Charge"/>
        <s v="Notice"/>
        <s v="Surface"/>
        <s v="Onto"/>
        <s v="Commercial"/>
        <s v="Truth"/>
        <s v="So"/>
        <s v="Other"/>
        <s v="Site"/>
        <s v="Difficult"/>
        <s v="Space"/>
        <s v="Main"/>
        <s v="Account"/>
        <s v="Instead"/>
        <s v="Road"/>
        <s v="Finish"/>
        <s v="Career"/>
        <s v="Enjoy"/>
        <s v="Huge"/>
        <s v="Goal"/>
        <s v="Yard"/>
        <s v="Pattern"/>
        <s v="Want"/>
        <s v="Need"/>
        <s v="Appear"/>
        <s v="Discuss"/>
        <s v="Floor"/>
        <s v="Not"/>
        <s v="About"/>
        <s v="East"/>
        <s v="Congress"/>
        <s v="Suggest"/>
        <s v="Mrs"/>
        <s v="Must"/>
        <s v="Table"/>
        <s v="Political"/>
        <s v="After"/>
        <s v="Pull"/>
        <s v="System"/>
        <s v="While"/>
        <s v="Environment"/>
        <s v="Lead"/>
        <s v="Figure"/>
        <s v="News"/>
        <s v="Whatever"/>
        <s v="Feeling"/>
        <s v="Season"/>
        <s v="Foot"/>
        <s v="Them"/>
        <s v="Class"/>
        <s v="Face"/>
        <s v="Ready"/>
        <s v="Hundred"/>
        <s v="Quite"/>
        <s v="Place"/>
        <s v="Air"/>
        <s v="Often"/>
        <s v="From"/>
        <s v="Gun"/>
        <s v="Customer"/>
        <s v="Able"/>
        <s v="Challenge"/>
        <s v="Though"/>
        <s v="Seek"/>
        <s v="Wall"/>
        <s v="Various"/>
        <s v="Cost"/>
        <s v="Computer"/>
        <s v="Election"/>
        <s v="Difference"/>
        <s v="Hit"/>
        <s v="Parent"/>
        <s v="Traditional"/>
        <s v="Call"/>
        <s v="Age"/>
        <s v="Author"/>
        <s v="Recently"/>
        <s v="Character"/>
        <s v="Pm"/>
        <s v="Require"/>
        <s v="Focus"/>
        <s v="As"/>
        <s v="Bag"/>
        <s v="Test"/>
        <s v="Nor"/>
        <s v="Off"/>
        <s v="Everyone"/>
        <s v="They"/>
        <s v="Break"/>
        <s v="Occur"/>
        <s v="Significant"/>
        <s v="Spring"/>
        <s v="Control"/>
        <s v="Still"/>
        <s v="Final"/>
        <s v="Entire"/>
        <s v="Stage"/>
        <s v="Player"/>
        <s v="Serious"/>
        <s v="Increase"/>
        <s v="Capital"/>
        <s v="Me"/>
        <s v="Important"/>
        <s v="Look"/>
        <s v="Defense"/>
        <s v="Game"/>
        <s v="In"/>
        <s v="Between"/>
        <s v="Physical"/>
        <s v="Seven"/>
        <s v="Into"/>
        <s v="Official"/>
        <s v="Rise"/>
        <s v="Recent"/>
        <s v="Without"/>
        <s v="Arrive"/>
        <s v="Probably"/>
        <s v="Analysis"/>
        <s v="Almost"/>
        <s v="Stand"/>
        <s v="Beyond"/>
        <s v="Lawyer"/>
        <s v="Court"/>
        <s v="Involve"/>
        <s v="Become"/>
        <s v="Leave"/>
        <s v="Peace"/>
        <s v="Upon"/>
        <s v="Strategy"/>
        <s v="Science"/>
        <s v="Kid"/>
        <s v="Population"/>
        <s v="Field"/>
        <s v="Lot"/>
        <s v="Resource"/>
        <s v="Particularly"/>
        <s v="Full"/>
        <s v="Heart"/>
        <s v="Be"/>
        <s v="Mind"/>
        <s v="Identify"/>
        <s v="Another"/>
        <s v="Unit"/>
        <s v="None"/>
        <s v="Thus"/>
        <s v="Next"/>
        <s v="Above"/>
        <s v="Sister"/>
        <s v="View"/>
        <s v="Tough"/>
        <s v="Network"/>
        <s v="Really"/>
        <s v="International"/>
        <s v="Adult"/>
        <s v="Sell"/>
        <s v="Campaign"/>
        <s v="That"/>
        <s v="Course"/>
        <s v="Plan"/>
        <s v="Anyone"/>
        <s v="Building"/>
        <s v="Ground"/>
        <s v="Because"/>
        <s v="Like"/>
        <s v="Study"/>
        <s v="Father"/>
        <s v="Model"/>
        <s v="Check"/>
        <s v="My"/>
        <s v="Wife"/>
        <s v="Despite"/>
        <s v="Thing"/>
        <s v="Doctor"/>
        <s v="Garden"/>
        <s v="Dark"/>
        <s v="Fill"/>
        <s v="Yet"/>
        <s v="Research"/>
        <s v="Worry"/>
        <s v="Score"/>
        <s v="Enough"/>
        <s v="Moment"/>
        <s v="Police"/>
        <s v="How"/>
        <s v="Major"/>
        <s v="Art"/>
        <s v="Soon"/>
        <s v="Task"/>
        <s v="Himself"/>
        <s v="Third"/>
        <s v="Step"/>
        <s v="Oil"/>
        <s v="Design"/>
        <s v="This"/>
        <s v="Training"/>
        <s v="Within"/>
        <s v="Last"/>
        <s v="Ten"/>
        <s v="Choice"/>
        <s v="Per"/>
        <s v="Through"/>
        <s v="Together"/>
        <s v="Night"/>
        <s v="Couple"/>
        <s v="Show"/>
        <s v="Tv"/>
        <s v="Change"/>
        <s v="Operation"/>
        <s v="State"/>
        <s v="Perform"/>
        <s v="Open"/>
        <s v="Right"/>
        <s v="Method"/>
        <s v="Short"/>
        <s v="Issue"/>
        <s v="Work"/>
        <s v="Free"/>
        <s v="Media"/>
        <s v="Reach"/>
        <s v="Then"/>
        <s v="Health"/>
        <s v="Range"/>
        <s v="Although"/>
        <s v="Speak"/>
        <s v="Source"/>
        <s v="Box"/>
        <s v="Up"/>
        <s v="Agency"/>
        <s v="Bed"/>
        <s v="Win"/>
        <s v="Crime"/>
        <s v="Tend"/>
        <s v="Never"/>
        <s v="Member"/>
        <s v="Explain"/>
        <s v="Paper"/>
        <s v="Billion"/>
        <s v="Teacher"/>
        <s v="Push"/>
        <s v="Generation"/>
        <s v="Responsibility"/>
        <s v="Name"/>
        <s v="Son"/>
        <s v="Leg"/>
        <s v="Money"/>
        <s v="Weight"/>
        <s v="Exist"/>
        <s v="Newspaper"/>
        <s v="Same"/>
        <s v="Stay"/>
        <s v="Wait"/>
        <s v="Drive"/>
        <s v="Evening"/>
        <s v="Let"/>
        <s v="Mention"/>
        <s v="Perhaps"/>
        <s v="Executive"/>
        <s v="Draw"/>
        <s v="Watch"/>
        <s v="Book"/>
        <s v="Society"/>
        <s v="Best"/>
        <s v="Walk"/>
        <s v="Easy"/>
        <s v="Determine"/>
        <s v="Door"/>
        <s v="Feel"/>
        <s v="Loss"/>
        <s v="Spend"/>
        <s v="Middle"/>
        <s v="Management"/>
        <s v="He"/>
        <s v="Man"/>
        <s v="World"/>
        <s v="Forward"/>
        <s v="Military"/>
        <s v="Behind"/>
        <s v="Audience"/>
        <s v="Fear"/>
        <s v="Present"/>
        <s v="Attack"/>
        <s v="Sure"/>
        <s v="Child"/>
        <s v="Over"/>
        <s v="Job"/>
        <s v="Eight"/>
        <s v="Writer"/>
        <s v="Different"/>
        <s v="Chance"/>
        <s v="Detail"/>
        <s v="Page"/>
        <s v="Item"/>
        <s v="Song"/>
        <s v="Investment"/>
        <s v="Four"/>
        <s v="Body"/>
        <s v="Behavior"/>
        <s v="Large"/>
        <s v="Which"/>
        <s v="Thought"/>
        <s v="Politics"/>
        <s v="Would"/>
        <s v="Nothing"/>
        <s v="Person"/>
        <s v="Every"/>
        <s v="Family"/>
        <s v="Especially"/>
        <s v="Long"/>
        <s v="Interesting"/>
        <s v="Store"/>
        <s v="Build"/>
        <s v="Quality"/>
        <s v="Fund"/>
        <s v="Option"/>
        <s v="Skill"/>
        <s v="Carry"/>
        <s v="Whom"/>
        <s v="Quickly"/>
        <s v="Sign"/>
        <s v="Way"/>
        <s v="Their"/>
        <s v="True"/>
        <s v="Believe"/>
        <s v="Travel"/>
        <s v="Safe"/>
        <s v="Trade"/>
        <s v="American"/>
        <s v="College"/>
        <s v="Standard"/>
        <s v="Radio"/>
        <s v="Country"/>
        <s v="Social"/>
        <s v="Fine"/>
        <s v="Street"/>
        <s v="Stuff"/>
        <s v="Than"/>
        <s v="School"/>
        <s v="Think"/>
        <s v="Public"/>
        <s v="According"/>
        <s v="May"/>
        <s v="Such"/>
        <s v="She"/>
        <s v="President"/>
        <s v="Machine"/>
        <s v="Land"/>
        <s v="Compare"/>
        <s v="Early"/>
        <s v="Drug"/>
        <s v="Performance"/>
        <s v="Certain"/>
        <s v="Owner"/>
        <s v="Policy"/>
        <s v="Hair"/>
        <s v="Among"/>
        <s v="Seem"/>
        <s v="Hope"/>
        <s v="Yes"/>
        <s v="Student"/>
        <s v="Southern"/>
        <s v="Themselves"/>
        <s v="Green"/>
        <s v="Energy"/>
        <s v="Current"/>
        <s v="Also"/>
        <s v="Structure"/>
        <s v="Pick"/>
        <s v="These"/>
        <s v="Describe"/>
        <s v="Music"/>
        <s v="Series"/>
        <s v="Begin"/>
        <s v="Certainly"/>
        <s v="Mr"/>
        <s v="Morning"/>
        <s v="Value"/>
        <s v="Glass"/>
        <s v="Most"/>
        <s v="First"/>
        <s v="Blood"/>
        <s v="Relate"/>
        <s v="Statement"/>
        <s v="Actually"/>
        <s v="Employee"/>
        <s v="Rate"/>
        <s v="Send"/>
        <s v="Particular"/>
        <s v="Chair"/>
        <s v="Today"/>
        <s v="Have"/>
        <s v="Can"/>
        <s v="Type"/>
        <s v="Continue"/>
        <s v="Could"/>
        <s v="Address"/>
        <s v="Product"/>
        <s v="Citizen"/>
        <s v="Offer"/>
        <s v="Car"/>
        <s v="Shoulder"/>
        <s v="Collection"/>
        <s v="Sport"/>
        <s v="Respond"/>
        <s v="Make"/>
        <s v="Beat"/>
        <s v="Form"/>
        <s v="Similar"/>
        <s v="Lose"/>
        <s v="Sense"/>
        <s v="To"/>
        <s v="Growth"/>
        <s v="Cultural"/>
        <s v="People"/>
        <s v="Region"/>
        <s v="Hold"/>
        <s v="Even"/>
        <s v="There"/>
        <s v="Single"/>
        <s v="Development"/>
        <s v="Window"/>
        <s v="Simply"/>
        <s v="City"/>
        <s v="Home"/>
      </sharedItems>
    </cacheField>
    <cacheField name="Ad Spend" numFmtId="165">
      <sharedItems containsSemiMixedTypes="0" containsString="0" containsNumber="1" minValue="5.13" maxValue="149.96"/>
    </cacheField>
    <cacheField name="Conversions" numFmtId="0">
      <sharedItems containsSemiMixedTypes="0" containsString="0" containsNumber="1" containsInteger="1" minValue="0" maxValue="10"/>
    </cacheField>
    <cacheField name="Revenue" numFmtId="165">
      <sharedItems containsSemiMixedTypes="0" containsString="0" containsNumber="1" minValue="20.010000000000002" maxValue="499.87"/>
    </cacheField>
    <cacheField name="Employee" numFmtId="0">
      <sharedItems count="458">
        <s v="Jessica"/>
        <s v="Samuel"/>
        <s v="Christopher"/>
        <s v="Michael"/>
        <s v="Eric"/>
        <s v="Leah"/>
        <s v="Joshua"/>
        <s v="Karen"/>
        <s v="Joseph"/>
        <s v="James"/>
        <s v="Ryan"/>
        <s v="Sarah"/>
        <s v="Melissa"/>
        <s v="Kristen"/>
        <s v="Olivia"/>
        <s v="Breanna"/>
        <s v="Lori"/>
        <s v="Kenneth"/>
        <s v="Jeffery"/>
        <s v="Jaclyn"/>
        <s v="Kathleen"/>
        <s v="Stephanie"/>
        <s v="Patricia"/>
        <s v="Megan"/>
        <s v="Matthew"/>
        <s v="Gabrielle"/>
        <s v="Laura"/>
        <s v="Julie"/>
        <s v="Donald"/>
        <s v="Dana"/>
        <s v="Caleb"/>
        <s v="Darlene"/>
        <s v="Hayley"/>
        <s v="Elizabeth"/>
        <s v="Alexis"/>
        <s v="Austin"/>
        <s v="John"/>
        <s v="Seth"/>
        <s v="Shelby"/>
        <s v="Phillip"/>
        <s v="Andrew"/>
        <s v="David"/>
        <s v="Christina"/>
        <s v="Heidi"/>
        <s v="Tonya"/>
        <s v="Daniel"/>
        <s v="Curtis"/>
        <s v="Justin"/>
        <s v="Henry"/>
        <s v="Donna"/>
        <s v="Kerri"/>
        <s v="Raymond"/>
        <s v="Richard"/>
        <s v="Erica"/>
        <s v="Brianna"/>
        <s v="Christian"/>
        <s v="Carlos"/>
        <s v="Jeffrey"/>
        <s v="Dustin"/>
        <s v="Melinda"/>
        <s v="Robert"/>
        <s v="Angela"/>
        <s v="Nicholas"/>
        <s v="Steven"/>
        <s v="George"/>
        <s v="Travis"/>
        <s v="Alexander"/>
        <s v="Alex"/>
        <s v="Aaron"/>
        <s v="Antonio"/>
        <s v="Allison"/>
        <s v="Carrie"/>
        <s v="Mark"/>
        <s v="Carla"/>
        <s v="William"/>
        <s v="Alec"/>
        <s v="Gregory"/>
        <s v="Kevin"/>
        <s v="Tracy"/>
        <s v="Douglas"/>
        <s v="Jennifer"/>
        <s v="Jade"/>
        <s v="Miguel"/>
        <s v="Alexa"/>
        <s v="Jonathan"/>
        <s v="Kelly"/>
        <s v="Sherry"/>
        <s v="Tanya"/>
        <s v="Kaylee"/>
        <s v="Anna"/>
        <s v="Bradley"/>
        <s v="Edward"/>
        <s v="Shawn"/>
        <s v="Vanessa"/>
        <s v="Claudia"/>
        <s v="Alicia"/>
        <s v="Cynthia"/>
        <s v="Jacqueline"/>
        <s v="Lauren"/>
        <s v="Kaitlyn"/>
        <s v="Calvin"/>
        <s v="Don"/>
        <s v="Charles"/>
        <s v="Dennis"/>
        <s v="Kayla"/>
        <s v="Amanda"/>
        <s v="Thomas"/>
        <s v="Lindsay"/>
        <s v="Joann"/>
        <s v="Amy"/>
        <s v="Julia"/>
        <s v="Stephen"/>
        <s v="Brian"/>
        <s v="Mitchell"/>
        <s v="Cheryl"/>
        <s v="Alan"/>
        <s v="Judith"/>
        <s v="Veronica"/>
        <s v="Janice"/>
        <s v="Timothy"/>
        <s v="Sydney"/>
        <s v="Rebecca"/>
        <s v="Alyssa"/>
        <s v="Dylan"/>
        <s v="Rhonda"/>
        <s v="April"/>
        <s v="Roger"/>
        <s v="Betty"/>
        <s v="Tammy"/>
        <s v="Traci"/>
        <s v="Pamela"/>
        <s v="Hannah"/>
        <s v="Deborah"/>
        <s v="Anne"/>
        <s v="Mary"/>
        <s v="Derek"/>
        <s v="Wanda"/>
        <s v="Sharon"/>
        <s v="Joel"/>
        <s v="Anthony"/>
        <s v="Holly"/>
        <s v="Margaret"/>
        <s v="Patrick"/>
        <s v="Christine"/>
        <s v="Melanie"/>
        <s v="Casey"/>
        <s v="Sean"/>
        <s v="Allen"/>
        <s v="Howard"/>
        <s v="Connie"/>
        <s v="Kimberly"/>
        <s v="Erin"/>
        <s v="Gail"/>
        <s v="Alejandro"/>
        <s v="Sally"/>
        <s v="Neil"/>
        <s v="Gary"/>
        <s v="Tristan"/>
        <s v="Samantha"/>
        <s v="Stacey"/>
        <s v="Susan"/>
        <s v="Oscar"/>
        <s v="Arthur"/>
        <s v="Terri"/>
        <s v="Paul"/>
        <s v="Angie"/>
        <s v="Ethan"/>
        <s v="Kim"/>
        <s v="Virginia"/>
        <s v="Louis"/>
        <s v="Monica"/>
        <s v="Terry"/>
        <s v="Cassandra"/>
        <s v="Jon"/>
        <s v="Maurice"/>
        <s v="Tami"/>
        <s v="Jay"/>
        <s v="Grant"/>
        <s v="Crystal"/>
        <s v="Gilbert"/>
        <s v="Shane"/>
        <s v="Chelsea"/>
        <s v="Chloe"/>
        <s v="Jack"/>
        <s v="Shirley"/>
        <s v="Daryl"/>
        <s v="Caitlin"/>
        <s v="Jason"/>
        <s v="Rachel"/>
        <s v="Mathew"/>
        <s v="Sandra"/>
        <s v="Scott"/>
        <s v="Ebony"/>
        <s v="Kristy"/>
        <s v="Lisa"/>
        <s v="Alexandra"/>
        <s v="Kendra"/>
        <s v="Maria"/>
        <s v="Randy"/>
        <s v="Marisa"/>
        <s v="Nathan"/>
        <s v="Suzanne"/>
        <s v="Kristine"/>
        <s v="Krista"/>
        <s v="Stefanie"/>
        <s v="Sara"/>
        <s v="Bruce"/>
        <s v="Eddie"/>
        <s v="Tanner"/>
        <s v="Ann"/>
        <s v="Heather"/>
        <s v="Nicole"/>
        <s v="Keith"/>
        <s v="Angel"/>
        <s v="Laurie"/>
        <s v="Krystal"/>
        <s v="Paula"/>
        <s v="Michele"/>
        <s v="Willie"/>
        <s v="Barbara"/>
        <s v="Shari"/>
        <s v="Rebekah"/>
        <s v="Michelle"/>
        <s v="Chase"/>
        <s v="Ricardo"/>
        <s v="Kristin"/>
        <s v="Lance"/>
        <s v="Steve"/>
        <s v="Jasmine"/>
        <s v="Julian"/>
        <s v="Morgan"/>
        <s v="Jeremy"/>
        <s v="Andrea"/>
        <s v="Teresa"/>
        <s v="Jesse"/>
        <s v="Diana"/>
        <s v="Valerie"/>
        <s v="Corey"/>
        <s v="Melvin"/>
        <s v="Johnny"/>
        <s v="Sheila"/>
        <s v="Adrian"/>
        <s v="Christy"/>
        <s v="Marcus"/>
        <s v="Brad"/>
        <s v="Benjamin"/>
        <s v="Chad"/>
        <s v="Peter"/>
        <s v="Lynn"/>
        <s v="Dawn"/>
        <s v="Luis"/>
        <s v="Mike"/>
        <s v="Theresa"/>
        <s v="Jerry"/>
        <s v="Emma"/>
        <s v="Katelyn"/>
        <s v="Shelly"/>
        <s v="Sherri"/>
        <s v="Catherine"/>
        <s v="Cindy"/>
        <s v="Denise"/>
        <s v="Jose"/>
        <s v="Tyler"/>
        <s v="Jared"/>
        <s v="Russell"/>
        <s v="Jill"/>
        <s v="Natasha"/>
        <s v="Kari"/>
        <s v="Victoria"/>
        <s v="Diane"/>
        <s v="Shannon"/>
        <s v="Harold"/>
        <s v="Javier"/>
        <s v="Tony"/>
        <s v="Ashley"/>
        <s v="Nancy"/>
        <s v="Tommy"/>
        <s v="Brett"/>
        <s v="Jeanette"/>
        <s v="Luke"/>
        <s v="Emily"/>
        <s v="Debra"/>
        <s v="Peggy"/>
        <s v="Danielle"/>
        <s v="Brandon"/>
        <s v="Jacob"/>
        <s v="Craig"/>
        <s v="Bryce"/>
        <s v="Cody"/>
        <s v="Debbie"/>
        <s v="Tracey"/>
        <s v="Rickey"/>
        <s v="Wendy"/>
        <s v="Tamara"/>
        <s v="Jodi"/>
        <s v="Rick"/>
        <s v="Savannah"/>
        <s v="Frank"/>
        <s v="Chris"/>
        <s v="Carl"/>
        <s v="Rodney"/>
        <s v="Sierra"/>
        <s v="Sabrina"/>
        <s v="Haley"/>
        <s v="Randall"/>
        <s v="Dorothy"/>
        <s v="Beverly"/>
        <s v="Danny"/>
        <s v="Jeanne"/>
        <s v="Joy"/>
        <s v="Tom"/>
        <s v="Isaac"/>
        <s v="Phyllis"/>
        <s v="Brent"/>
        <s v="Omar"/>
        <s v="Amber"/>
        <s v="Erika"/>
        <s v="Kylie"/>
        <s v="Garrett"/>
        <s v="Brittany"/>
        <s v="Francisco"/>
        <s v="Ruben"/>
        <s v="Misty"/>
        <s v="Courtney"/>
        <s v="Deanna"/>
        <s v="Gina"/>
        <s v="Joe"/>
        <s v="Evan"/>
        <s v="Carol"/>
        <s v="Zachary"/>
        <s v="Noah"/>
        <s v="Levi"/>
        <s v="Adam"/>
        <s v="Evelyn"/>
        <s v="Ralph"/>
        <s v="Loretta"/>
        <s v="Robin"/>
        <s v="Caroline"/>
        <s v="Jamie"/>
        <s v="Roy"/>
        <s v="Spencer"/>
        <s v="Renee"/>
        <s v="Stacy"/>
        <s v="Ariel"/>
        <s v="Marie"/>
        <s v="Kyle"/>
        <s v="Victor"/>
        <s v="Lindsey"/>
        <s v="Marissa"/>
        <s v="Sandy"/>
        <s v="Cassie"/>
        <s v="Katherine"/>
        <s v="Erik"/>
        <s v="Raven"/>
        <s v="Bonnie"/>
        <s v="Taylor"/>
        <s v="Jenna"/>
        <s v="Andres"/>
        <s v="Martin"/>
        <s v="Troy"/>
        <s v="Jim"/>
        <s v="Gerald"/>
        <s v="Hector"/>
        <s v="Abigail"/>
        <s v="Linda"/>
        <s v="Larry"/>
        <s v="Manuel"/>
        <s v="Devin"/>
        <s v="Vincent"/>
        <s v="Tara"/>
        <s v="Bridget"/>
        <s v="Kristi"/>
        <s v="Molly"/>
        <s v="Mariah"/>
        <s v="Jane"/>
        <s v="Kristina"/>
        <s v="Bethany"/>
        <s v="Dale"/>
        <s v="Reginald"/>
        <s v="Anita"/>
        <s v="Kathryn"/>
        <s v="Tiffany"/>
        <s v="Ashlee"/>
        <s v="Bryan"/>
        <s v="Brandy"/>
        <s v="Katrina"/>
        <s v="Kurt"/>
        <s v="Edwin"/>
        <s v="Dominique"/>
        <s v="Felicia"/>
        <s v="Doris"/>
        <s v="Wayne"/>
        <s v="Leslie"/>
        <s v="Cathy"/>
        <s v="Madison"/>
        <s v="Briana"/>
        <s v="Tina"/>
        <s v="Claire"/>
        <s v="Juan"/>
        <s v="Candace"/>
        <s v="Gabriel"/>
        <s v="Bobby"/>
        <s v="Ronald"/>
        <s v="Meghan"/>
        <s v="Brandi"/>
        <s v="Makayla"/>
        <s v="Brittney"/>
        <s v="Monique"/>
        <s v="Colleen"/>
        <s v="Eileen"/>
        <s v="Alisha"/>
        <s v="Lydia"/>
        <s v="Brenda"/>
        <s v="Nathaniel"/>
        <s v="Terrance"/>
        <s v="Roberta"/>
        <s v="Hunter"/>
        <s v="Joanna"/>
        <s v="Eugene"/>
        <s v="Latoya"/>
        <s v="Sophia"/>
        <s v="Fernando"/>
        <s v="Audrey"/>
        <s v="Jorge"/>
        <s v="Kelsey"/>
        <s v="Marco"/>
        <s v="Joyce"/>
        <s v="Wesley"/>
        <s v="Autumn"/>
        <s v="Latasha"/>
        <s v="Todd"/>
        <s v="Katie"/>
        <s v="Marc"/>
        <s v="Kara"/>
        <s v="Parker"/>
        <s v="Dean"/>
        <s v="Andre"/>
        <s v="Ricky"/>
        <s v="Vickie"/>
        <s v="Lacey"/>
        <s v="Jody"/>
        <s v="Carolyn"/>
        <s v="Natalie"/>
        <s v="Micheal"/>
        <s v="Elaine"/>
        <s v="Johnathan"/>
        <s v="Vernon"/>
        <s v="Aimee"/>
        <s v="Joan"/>
        <s v="Kristie"/>
        <s v="Darren"/>
        <s v="Michaela"/>
        <s v="Clifford"/>
        <s v="Paige"/>
        <s v="Ronnie"/>
        <s v="Lee"/>
        <s v="Grace"/>
        <s v="Ray"/>
      </sharedItems>
    </cacheField>
    <cacheField name="Client Type" numFmtId="0">
      <sharedItems count="3">
        <s v="New"/>
        <s v="Returning"/>
        <s v="Loyal"/>
      </sharedItems>
    </cacheField>
    <cacheField name="Marketing Channel" numFmtId="0">
      <sharedItems count="6">
        <s v="Email Campaign"/>
        <s v="Facebook Ads"/>
        <s v="Google Ads"/>
        <s v="Organic Search"/>
        <s v="Referral"/>
        <s v="Instagram"/>
      </sharedItems>
    </cacheField>
    <cacheField name="Booking Status" numFmtId="0">
      <sharedItems count="2">
        <s v="Confirmed"/>
        <s v="Cancelled"/>
      </sharedItems>
    </cacheField>
    <cacheField name="ROI" numFmtId="165">
      <sharedItems containsSemiMixedTypes="0" containsString="0" containsNumber="1" minValue="-118.05" maxValue="479.4"/>
    </cacheField>
    <cacheField name="Stylist Score" numFmtId="165">
      <sharedItems containsSemiMixedTypes="0" containsString="0" containsNumber="1" minValue="33.659999999999997" maxValue="224.71"/>
    </cacheField>
  </cacheFields>
  <extLst>
    <ext xmlns:x14="http://schemas.microsoft.com/office/spreadsheetml/2009/9/main" uri="{725AE2AE-9491-48be-B2B4-4EB974FC3084}">
      <x14:pivotCacheDefinition pivotCacheId="797886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2025-01-20"/>
    <x v="0"/>
    <x v="0"/>
    <x v="0"/>
    <n v="136.18"/>
    <n v="6"/>
    <n v="273.85000000000002"/>
    <x v="0"/>
    <x v="0"/>
    <x v="0"/>
    <x v="0"/>
    <n v="137.67000000000002"/>
    <n v="114.31"/>
  </r>
  <r>
    <s v="2025-03-24"/>
    <x v="1"/>
    <x v="1"/>
    <x v="1"/>
    <n v="46.24"/>
    <n v="6"/>
    <n v="375.2"/>
    <x v="1"/>
    <x v="0"/>
    <x v="0"/>
    <x v="0"/>
    <n v="328.96"/>
    <n v="172.41"/>
  </r>
  <r>
    <s v="2025-04-15"/>
    <x v="2"/>
    <x v="0"/>
    <x v="2"/>
    <n v="107.7"/>
    <n v="3"/>
    <n v="153.9"/>
    <x v="2"/>
    <x v="0"/>
    <x v="1"/>
    <x v="0"/>
    <n v="46.2"/>
    <n v="140"/>
  </r>
  <r>
    <s v="2024-12-23"/>
    <x v="3"/>
    <x v="1"/>
    <x v="3"/>
    <n v="105.08"/>
    <n v="6"/>
    <n v="129.22999999999999"/>
    <x v="3"/>
    <x v="1"/>
    <x v="2"/>
    <x v="0"/>
    <n v="24.149999999999991"/>
    <n v="139.9"/>
  </r>
  <r>
    <s v="2025-01-28"/>
    <x v="0"/>
    <x v="2"/>
    <x v="4"/>
    <n v="76.150000000000006"/>
    <n v="5"/>
    <n v="412.13"/>
    <x v="4"/>
    <x v="2"/>
    <x v="3"/>
    <x v="0"/>
    <n v="335.98"/>
    <n v="124.68"/>
  </r>
  <r>
    <s v="2024-12-17"/>
    <x v="3"/>
    <x v="2"/>
    <x v="5"/>
    <n v="118.66"/>
    <n v="9"/>
    <n v="199.14"/>
    <x v="5"/>
    <x v="1"/>
    <x v="1"/>
    <x v="0"/>
    <n v="80.47999999999999"/>
    <n v="70.459999999999994"/>
  </r>
  <r>
    <s v="2025-03-30"/>
    <x v="1"/>
    <x v="0"/>
    <x v="6"/>
    <n v="19.62"/>
    <n v="8"/>
    <n v="111.88"/>
    <x v="6"/>
    <x v="1"/>
    <x v="1"/>
    <x v="0"/>
    <n v="92.259999999999991"/>
    <n v="112.46"/>
  </r>
  <r>
    <s v="2024-11-30"/>
    <x v="4"/>
    <x v="0"/>
    <x v="7"/>
    <n v="73.930000000000007"/>
    <n v="0"/>
    <n v="426.18"/>
    <x v="7"/>
    <x v="2"/>
    <x v="2"/>
    <x v="1"/>
    <n v="352.25"/>
    <n v="120.59"/>
  </r>
  <r>
    <s v="2024-12-28"/>
    <x v="3"/>
    <x v="2"/>
    <x v="8"/>
    <n v="123.72"/>
    <n v="6"/>
    <n v="409.29"/>
    <x v="8"/>
    <x v="0"/>
    <x v="2"/>
    <x v="0"/>
    <n v="285.57000000000005"/>
    <n v="121.16"/>
  </r>
  <r>
    <s v="2024-12-11"/>
    <x v="3"/>
    <x v="1"/>
    <x v="9"/>
    <n v="108.31"/>
    <n v="9"/>
    <n v="394.32"/>
    <x v="9"/>
    <x v="0"/>
    <x v="4"/>
    <x v="0"/>
    <n v="286.01"/>
    <n v="118.67"/>
  </r>
  <r>
    <s v="2025-02-09"/>
    <x v="5"/>
    <x v="0"/>
    <x v="10"/>
    <n v="122.38"/>
    <n v="5"/>
    <n v="471.52"/>
    <x v="2"/>
    <x v="0"/>
    <x v="2"/>
    <x v="0"/>
    <n v="349.14"/>
    <n v="145.16999999999999"/>
  </r>
  <r>
    <s v="2024-12-30"/>
    <x v="3"/>
    <x v="0"/>
    <x v="11"/>
    <n v="18.559999999999999"/>
    <n v="0"/>
    <n v="393.69"/>
    <x v="10"/>
    <x v="1"/>
    <x v="2"/>
    <x v="1"/>
    <n v="375.13"/>
    <n v="137.24"/>
  </r>
  <r>
    <s v="2025-03-04"/>
    <x v="1"/>
    <x v="1"/>
    <x v="12"/>
    <n v="48.32"/>
    <n v="8"/>
    <n v="420.8"/>
    <x v="11"/>
    <x v="1"/>
    <x v="3"/>
    <x v="0"/>
    <n v="372.48"/>
    <n v="134.69"/>
  </r>
  <r>
    <s v="2025-02-02"/>
    <x v="5"/>
    <x v="3"/>
    <x v="13"/>
    <n v="41.06"/>
    <n v="10"/>
    <n v="381.79"/>
    <x v="12"/>
    <x v="2"/>
    <x v="2"/>
    <x v="0"/>
    <n v="340.73"/>
    <n v="117.27"/>
  </r>
  <r>
    <s v="2025-01-20"/>
    <x v="0"/>
    <x v="2"/>
    <x v="14"/>
    <n v="80.83"/>
    <n v="10"/>
    <n v="174.15"/>
    <x v="13"/>
    <x v="1"/>
    <x v="3"/>
    <x v="0"/>
    <n v="93.320000000000007"/>
    <n v="99.96"/>
  </r>
  <r>
    <s v="2025-04-28"/>
    <x v="2"/>
    <x v="2"/>
    <x v="15"/>
    <n v="115.15"/>
    <n v="6"/>
    <n v="36.57"/>
    <x v="14"/>
    <x v="2"/>
    <x v="4"/>
    <x v="0"/>
    <n v="-78.580000000000013"/>
    <n v="85.5"/>
  </r>
  <r>
    <s v="2024-12-26"/>
    <x v="3"/>
    <x v="3"/>
    <x v="16"/>
    <n v="22.4"/>
    <n v="8"/>
    <n v="205.68"/>
    <x v="15"/>
    <x v="1"/>
    <x v="2"/>
    <x v="0"/>
    <n v="183.28"/>
    <n v="133.97999999999999"/>
  </r>
  <r>
    <s v="2024-11-19"/>
    <x v="4"/>
    <x v="3"/>
    <x v="17"/>
    <n v="60.36"/>
    <n v="0"/>
    <n v="94.61"/>
    <x v="3"/>
    <x v="2"/>
    <x v="2"/>
    <x v="1"/>
    <n v="34.25"/>
    <n v="142.16999999999999"/>
  </r>
  <r>
    <s v="2025-01-25"/>
    <x v="0"/>
    <x v="3"/>
    <x v="18"/>
    <n v="137.06"/>
    <n v="8"/>
    <n v="120.04"/>
    <x v="16"/>
    <x v="0"/>
    <x v="3"/>
    <x v="0"/>
    <n v="-17.019999999999996"/>
    <n v="152.61000000000001"/>
  </r>
  <r>
    <s v="2024-11-06"/>
    <x v="4"/>
    <x v="1"/>
    <x v="19"/>
    <n v="110.92"/>
    <n v="5"/>
    <n v="116.4"/>
    <x v="17"/>
    <x v="2"/>
    <x v="4"/>
    <x v="0"/>
    <n v="5.480000000000004"/>
    <n v="121.9"/>
  </r>
  <r>
    <s v="2025-04-24"/>
    <x v="2"/>
    <x v="1"/>
    <x v="20"/>
    <n v="41.06"/>
    <n v="7"/>
    <n v="45.09"/>
    <x v="4"/>
    <x v="2"/>
    <x v="2"/>
    <x v="0"/>
    <n v="4.0300000000000011"/>
    <n v="127.77"/>
  </r>
  <r>
    <s v="2024-10-30"/>
    <x v="6"/>
    <x v="2"/>
    <x v="21"/>
    <n v="23.74"/>
    <n v="4"/>
    <n v="104.4"/>
    <x v="18"/>
    <x v="2"/>
    <x v="5"/>
    <x v="0"/>
    <n v="80.660000000000011"/>
    <n v="111.89"/>
  </r>
  <r>
    <s v="2024-11-13"/>
    <x v="4"/>
    <x v="3"/>
    <x v="22"/>
    <n v="55.21"/>
    <n v="6"/>
    <n v="271.43"/>
    <x v="19"/>
    <x v="1"/>
    <x v="0"/>
    <x v="0"/>
    <n v="216.22"/>
    <n v="147.38999999999999"/>
  </r>
  <r>
    <s v="2025-03-25"/>
    <x v="1"/>
    <x v="1"/>
    <x v="23"/>
    <n v="126.91"/>
    <n v="7"/>
    <n v="126.17"/>
    <x v="20"/>
    <x v="0"/>
    <x v="5"/>
    <x v="0"/>
    <n v="-0.73999999999999488"/>
    <n v="169.39"/>
  </r>
  <r>
    <s v="2025-01-24"/>
    <x v="0"/>
    <x v="0"/>
    <x v="24"/>
    <n v="83.47"/>
    <n v="3"/>
    <n v="109.99"/>
    <x v="21"/>
    <x v="2"/>
    <x v="1"/>
    <x v="0"/>
    <n v="26.519999999999996"/>
    <n v="136.22999999999999"/>
  </r>
  <r>
    <s v="2024-12-18"/>
    <x v="3"/>
    <x v="2"/>
    <x v="25"/>
    <n v="62.91"/>
    <n v="6"/>
    <n v="144.93"/>
    <x v="22"/>
    <x v="1"/>
    <x v="5"/>
    <x v="0"/>
    <n v="82.02000000000001"/>
    <n v="87.85"/>
  </r>
  <r>
    <s v="2025-03-04"/>
    <x v="1"/>
    <x v="0"/>
    <x v="26"/>
    <n v="52.08"/>
    <n v="0"/>
    <n v="274.39999999999998"/>
    <x v="23"/>
    <x v="0"/>
    <x v="2"/>
    <x v="1"/>
    <n v="222.32"/>
    <n v="129.09"/>
  </r>
  <r>
    <s v="2025-03-05"/>
    <x v="1"/>
    <x v="0"/>
    <x v="27"/>
    <n v="32.47"/>
    <n v="1"/>
    <n v="318.86"/>
    <x v="24"/>
    <x v="2"/>
    <x v="1"/>
    <x v="0"/>
    <n v="286.39"/>
    <n v="117.21"/>
  </r>
  <r>
    <s v="2025-01-22"/>
    <x v="0"/>
    <x v="0"/>
    <x v="28"/>
    <n v="58.88"/>
    <n v="1"/>
    <n v="235.48"/>
    <x v="25"/>
    <x v="1"/>
    <x v="0"/>
    <x v="0"/>
    <n v="176.6"/>
    <n v="139.43"/>
  </r>
  <r>
    <s v="2025-03-27"/>
    <x v="1"/>
    <x v="1"/>
    <x v="29"/>
    <n v="137.78"/>
    <n v="6"/>
    <n v="54.32"/>
    <x v="8"/>
    <x v="1"/>
    <x v="2"/>
    <x v="0"/>
    <n v="-83.460000000000008"/>
    <n v="129.38999999999999"/>
  </r>
  <r>
    <s v="2025-04-21"/>
    <x v="2"/>
    <x v="0"/>
    <x v="30"/>
    <n v="34.729999999999997"/>
    <n v="9"/>
    <n v="81.790000000000006"/>
    <x v="26"/>
    <x v="2"/>
    <x v="1"/>
    <x v="0"/>
    <n v="47.060000000000009"/>
    <n v="122.58"/>
  </r>
  <r>
    <s v="2025-03-21"/>
    <x v="1"/>
    <x v="2"/>
    <x v="31"/>
    <n v="97.17"/>
    <n v="6"/>
    <n v="183.78"/>
    <x v="2"/>
    <x v="1"/>
    <x v="2"/>
    <x v="0"/>
    <n v="86.61"/>
    <n v="145.18"/>
  </r>
  <r>
    <s v="2025-02-03"/>
    <x v="5"/>
    <x v="1"/>
    <x v="32"/>
    <n v="126.11"/>
    <n v="7"/>
    <n v="452.24"/>
    <x v="8"/>
    <x v="0"/>
    <x v="1"/>
    <x v="0"/>
    <n v="326.13"/>
    <n v="125.46"/>
  </r>
  <r>
    <s v="2025-03-29"/>
    <x v="1"/>
    <x v="3"/>
    <x v="33"/>
    <n v="19.260000000000002"/>
    <n v="10"/>
    <n v="212.7"/>
    <x v="27"/>
    <x v="2"/>
    <x v="2"/>
    <x v="0"/>
    <n v="193.44"/>
    <n v="103.28"/>
  </r>
  <r>
    <s v="2025-03-28"/>
    <x v="1"/>
    <x v="3"/>
    <x v="34"/>
    <n v="96.5"/>
    <n v="3"/>
    <n v="212.55"/>
    <x v="28"/>
    <x v="1"/>
    <x v="2"/>
    <x v="0"/>
    <n v="116.05000000000001"/>
    <n v="121.4"/>
  </r>
  <r>
    <s v="2025-04-17"/>
    <x v="2"/>
    <x v="0"/>
    <x v="35"/>
    <n v="116.49"/>
    <n v="1"/>
    <n v="374.74"/>
    <x v="29"/>
    <x v="1"/>
    <x v="5"/>
    <x v="0"/>
    <n v="258.25"/>
    <n v="169.8"/>
  </r>
  <r>
    <s v="2024-11-14"/>
    <x v="4"/>
    <x v="0"/>
    <x v="36"/>
    <n v="26.92"/>
    <n v="2"/>
    <n v="251.9"/>
    <x v="30"/>
    <x v="0"/>
    <x v="3"/>
    <x v="0"/>
    <n v="224.98000000000002"/>
    <n v="118.49"/>
  </r>
  <r>
    <s v="2025-01-06"/>
    <x v="0"/>
    <x v="2"/>
    <x v="37"/>
    <n v="102.32"/>
    <n v="5"/>
    <n v="435.53"/>
    <x v="6"/>
    <x v="0"/>
    <x v="1"/>
    <x v="0"/>
    <n v="333.21"/>
    <n v="117.06"/>
  </r>
  <r>
    <s v="2024-11-05"/>
    <x v="4"/>
    <x v="0"/>
    <x v="37"/>
    <n v="138.6"/>
    <n v="2"/>
    <n v="490.88"/>
    <x v="31"/>
    <x v="0"/>
    <x v="1"/>
    <x v="0"/>
    <n v="352.28"/>
    <n v="174.6"/>
  </r>
  <r>
    <s v="2025-03-23"/>
    <x v="1"/>
    <x v="3"/>
    <x v="38"/>
    <n v="8.09"/>
    <n v="8"/>
    <n v="363.42"/>
    <x v="32"/>
    <x v="1"/>
    <x v="2"/>
    <x v="0"/>
    <n v="355.33000000000004"/>
    <n v="152.62"/>
  </r>
  <r>
    <s v="2025-02-17"/>
    <x v="5"/>
    <x v="1"/>
    <x v="39"/>
    <n v="149.09"/>
    <n v="0"/>
    <n v="101.8"/>
    <x v="33"/>
    <x v="1"/>
    <x v="2"/>
    <x v="1"/>
    <n v="-47.290000000000006"/>
    <n v="139.32"/>
  </r>
  <r>
    <s v="2024-12-03"/>
    <x v="3"/>
    <x v="2"/>
    <x v="40"/>
    <n v="29.26"/>
    <n v="2"/>
    <n v="272.32"/>
    <x v="34"/>
    <x v="0"/>
    <x v="3"/>
    <x v="0"/>
    <n v="243.06"/>
    <n v="148.29"/>
  </r>
  <r>
    <s v="2024-12-10"/>
    <x v="3"/>
    <x v="3"/>
    <x v="41"/>
    <n v="84.73"/>
    <n v="9"/>
    <n v="94.59"/>
    <x v="24"/>
    <x v="1"/>
    <x v="2"/>
    <x v="0"/>
    <n v="9.86"/>
    <n v="126.06"/>
  </r>
  <r>
    <s v="2025-04-17"/>
    <x v="2"/>
    <x v="0"/>
    <x v="42"/>
    <n v="9.5"/>
    <n v="8"/>
    <n v="369.86"/>
    <x v="35"/>
    <x v="0"/>
    <x v="1"/>
    <x v="0"/>
    <n v="360.36"/>
    <n v="107.59"/>
  </r>
  <r>
    <s v="2024-11-30"/>
    <x v="4"/>
    <x v="0"/>
    <x v="43"/>
    <n v="142.41999999999999"/>
    <n v="5"/>
    <n v="454.94"/>
    <x v="36"/>
    <x v="0"/>
    <x v="2"/>
    <x v="0"/>
    <n v="312.52"/>
    <n v="135.75"/>
  </r>
  <r>
    <s v="2025-04-06"/>
    <x v="2"/>
    <x v="0"/>
    <x v="44"/>
    <n v="11.07"/>
    <n v="7"/>
    <n v="451.12"/>
    <x v="37"/>
    <x v="2"/>
    <x v="0"/>
    <x v="0"/>
    <n v="440.05"/>
    <n v="191.7"/>
  </r>
  <r>
    <s v="2025-04-06"/>
    <x v="2"/>
    <x v="1"/>
    <x v="45"/>
    <n v="139.69999999999999"/>
    <n v="0"/>
    <n v="57.63"/>
    <x v="38"/>
    <x v="0"/>
    <x v="2"/>
    <x v="1"/>
    <n v="-82.07"/>
    <n v="97.68"/>
  </r>
  <r>
    <s v="2025-01-02"/>
    <x v="0"/>
    <x v="2"/>
    <x v="46"/>
    <n v="23.82"/>
    <n v="9"/>
    <n v="458.76"/>
    <x v="39"/>
    <x v="2"/>
    <x v="0"/>
    <x v="0"/>
    <n v="434.94"/>
    <n v="158.36000000000001"/>
  </r>
  <r>
    <s v="2024-12-09"/>
    <x v="3"/>
    <x v="1"/>
    <x v="47"/>
    <n v="30.71"/>
    <n v="6"/>
    <n v="20.010000000000002"/>
    <x v="40"/>
    <x v="0"/>
    <x v="5"/>
    <x v="0"/>
    <n v="-10.7"/>
    <n v="123.68"/>
  </r>
  <r>
    <s v="2025-02-05"/>
    <x v="5"/>
    <x v="1"/>
    <x v="48"/>
    <n v="10.78"/>
    <n v="5"/>
    <n v="243.58"/>
    <x v="41"/>
    <x v="1"/>
    <x v="1"/>
    <x v="0"/>
    <n v="232.8"/>
    <n v="121.57"/>
  </r>
  <r>
    <s v="2025-04-18"/>
    <x v="2"/>
    <x v="0"/>
    <x v="49"/>
    <n v="30.96"/>
    <n v="3"/>
    <n v="96.8"/>
    <x v="2"/>
    <x v="1"/>
    <x v="5"/>
    <x v="0"/>
    <n v="65.84"/>
    <n v="146.32"/>
  </r>
  <r>
    <s v="2025-02-20"/>
    <x v="5"/>
    <x v="3"/>
    <x v="50"/>
    <n v="101.87"/>
    <n v="5"/>
    <n v="21.41"/>
    <x v="42"/>
    <x v="1"/>
    <x v="1"/>
    <x v="0"/>
    <n v="-80.460000000000008"/>
    <n v="136.4"/>
  </r>
  <r>
    <s v="2024-12-23"/>
    <x v="3"/>
    <x v="1"/>
    <x v="51"/>
    <n v="42.49"/>
    <n v="3"/>
    <n v="441.2"/>
    <x v="43"/>
    <x v="1"/>
    <x v="2"/>
    <x v="0"/>
    <n v="398.71"/>
    <n v="130.33000000000001"/>
  </r>
  <r>
    <s v="2025-02-14"/>
    <x v="5"/>
    <x v="1"/>
    <x v="52"/>
    <n v="143.59"/>
    <n v="3"/>
    <n v="164.67"/>
    <x v="44"/>
    <x v="0"/>
    <x v="2"/>
    <x v="0"/>
    <n v="21.079999999999984"/>
    <n v="93.42"/>
  </r>
  <r>
    <s v="2025-02-26"/>
    <x v="5"/>
    <x v="1"/>
    <x v="53"/>
    <n v="136.01"/>
    <n v="7"/>
    <n v="379.22"/>
    <x v="45"/>
    <x v="1"/>
    <x v="5"/>
    <x v="0"/>
    <n v="243.21000000000004"/>
    <n v="102.97"/>
  </r>
  <r>
    <s v="2025-03-16"/>
    <x v="1"/>
    <x v="2"/>
    <x v="54"/>
    <n v="140.25"/>
    <n v="2"/>
    <n v="106.53"/>
    <x v="46"/>
    <x v="0"/>
    <x v="3"/>
    <x v="0"/>
    <n v="-33.72"/>
    <n v="68.040000000000006"/>
  </r>
  <r>
    <s v="2024-12-15"/>
    <x v="3"/>
    <x v="1"/>
    <x v="55"/>
    <n v="8.08"/>
    <n v="4"/>
    <n v="166.95"/>
    <x v="47"/>
    <x v="0"/>
    <x v="5"/>
    <x v="0"/>
    <n v="158.86999999999998"/>
    <n v="132"/>
  </r>
  <r>
    <s v="2024-11-24"/>
    <x v="4"/>
    <x v="0"/>
    <x v="56"/>
    <n v="19.760000000000002"/>
    <n v="5"/>
    <n v="411.32"/>
    <x v="48"/>
    <x v="0"/>
    <x v="5"/>
    <x v="0"/>
    <n v="391.56"/>
    <n v="183.96"/>
  </r>
  <r>
    <s v="2025-03-11"/>
    <x v="1"/>
    <x v="3"/>
    <x v="57"/>
    <n v="26"/>
    <n v="0"/>
    <n v="400.16"/>
    <x v="49"/>
    <x v="0"/>
    <x v="2"/>
    <x v="1"/>
    <n v="374.16"/>
    <n v="127.46"/>
  </r>
  <r>
    <s v="2025-01-27"/>
    <x v="0"/>
    <x v="1"/>
    <x v="58"/>
    <n v="123.65"/>
    <n v="4"/>
    <n v="331.77"/>
    <x v="9"/>
    <x v="1"/>
    <x v="2"/>
    <x v="0"/>
    <n v="208.11999999999998"/>
    <n v="122.4"/>
  </r>
  <r>
    <s v="2025-02-15"/>
    <x v="5"/>
    <x v="2"/>
    <x v="59"/>
    <n v="132.61000000000001"/>
    <n v="6"/>
    <n v="366.92"/>
    <x v="33"/>
    <x v="2"/>
    <x v="1"/>
    <x v="0"/>
    <n v="234.31"/>
    <n v="137.07"/>
  </r>
  <r>
    <s v="2024-11-09"/>
    <x v="4"/>
    <x v="2"/>
    <x v="60"/>
    <n v="89.96"/>
    <n v="0"/>
    <n v="28.7"/>
    <x v="50"/>
    <x v="1"/>
    <x v="2"/>
    <x v="1"/>
    <n v="-61.259999999999991"/>
    <n v="39.83"/>
  </r>
  <r>
    <s v="2024-11-16"/>
    <x v="4"/>
    <x v="3"/>
    <x v="61"/>
    <n v="84.01"/>
    <n v="8"/>
    <n v="438.36"/>
    <x v="51"/>
    <x v="2"/>
    <x v="1"/>
    <x v="0"/>
    <n v="354.35"/>
    <n v="145.28"/>
  </r>
  <r>
    <s v="2025-02-26"/>
    <x v="5"/>
    <x v="1"/>
    <x v="62"/>
    <n v="100.01"/>
    <n v="0"/>
    <n v="364.71"/>
    <x v="52"/>
    <x v="0"/>
    <x v="5"/>
    <x v="1"/>
    <n v="264.7"/>
    <n v="116.05"/>
  </r>
  <r>
    <s v="2025-04-04"/>
    <x v="2"/>
    <x v="1"/>
    <x v="28"/>
    <n v="21.52"/>
    <n v="2"/>
    <n v="186.94"/>
    <x v="0"/>
    <x v="1"/>
    <x v="4"/>
    <x v="0"/>
    <n v="165.42"/>
    <n v="113.51"/>
  </r>
  <r>
    <s v="2025-01-28"/>
    <x v="0"/>
    <x v="1"/>
    <x v="63"/>
    <n v="120.26"/>
    <n v="0"/>
    <n v="92.57"/>
    <x v="53"/>
    <x v="0"/>
    <x v="1"/>
    <x v="1"/>
    <n v="-27.690000000000012"/>
    <n v="105.31"/>
  </r>
  <r>
    <s v="2025-03-15"/>
    <x v="1"/>
    <x v="0"/>
    <x v="64"/>
    <n v="97.42"/>
    <n v="8"/>
    <n v="187.23"/>
    <x v="54"/>
    <x v="2"/>
    <x v="4"/>
    <x v="0"/>
    <n v="89.809999999999988"/>
    <n v="134.82"/>
  </r>
  <r>
    <s v="2025-02-11"/>
    <x v="5"/>
    <x v="2"/>
    <x v="65"/>
    <n v="122.35"/>
    <n v="0"/>
    <n v="423"/>
    <x v="55"/>
    <x v="2"/>
    <x v="4"/>
    <x v="1"/>
    <n v="300.64999999999998"/>
    <n v="166.35"/>
  </r>
  <r>
    <s v="2024-11-26"/>
    <x v="4"/>
    <x v="3"/>
    <x v="66"/>
    <n v="131.99"/>
    <n v="6"/>
    <n v="116.16"/>
    <x v="56"/>
    <x v="0"/>
    <x v="0"/>
    <x v="0"/>
    <n v="-15.830000000000013"/>
    <n v="160.78"/>
  </r>
  <r>
    <s v="2025-02-19"/>
    <x v="5"/>
    <x v="1"/>
    <x v="67"/>
    <n v="99.67"/>
    <n v="2"/>
    <n v="286.56"/>
    <x v="57"/>
    <x v="1"/>
    <x v="4"/>
    <x v="0"/>
    <n v="186.89"/>
    <n v="113.07"/>
  </r>
  <r>
    <s v="2025-03-10"/>
    <x v="1"/>
    <x v="0"/>
    <x v="68"/>
    <n v="88.12"/>
    <n v="8"/>
    <n v="195.29"/>
    <x v="40"/>
    <x v="2"/>
    <x v="1"/>
    <x v="0"/>
    <n v="107.16999999999999"/>
    <n v="121.42"/>
  </r>
  <r>
    <s v="2025-02-06"/>
    <x v="5"/>
    <x v="1"/>
    <x v="69"/>
    <n v="143.88"/>
    <n v="3"/>
    <n v="48.51"/>
    <x v="43"/>
    <x v="1"/>
    <x v="3"/>
    <x v="0"/>
    <n v="-95.37"/>
    <n v="140.52000000000001"/>
  </r>
  <r>
    <s v="2024-12-30"/>
    <x v="3"/>
    <x v="3"/>
    <x v="70"/>
    <n v="114.1"/>
    <n v="5"/>
    <n v="428.31"/>
    <x v="58"/>
    <x v="1"/>
    <x v="2"/>
    <x v="0"/>
    <n v="314.21000000000004"/>
    <n v="149.15"/>
  </r>
  <r>
    <s v="2024-12-04"/>
    <x v="3"/>
    <x v="2"/>
    <x v="71"/>
    <n v="82.29"/>
    <n v="2"/>
    <n v="183.48"/>
    <x v="59"/>
    <x v="0"/>
    <x v="4"/>
    <x v="0"/>
    <n v="101.18999999999998"/>
    <n v="142.51"/>
  </r>
  <r>
    <s v="2025-03-25"/>
    <x v="1"/>
    <x v="3"/>
    <x v="72"/>
    <n v="68.790000000000006"/>
    <n v="9"/>
    <n v="440.06"/>
    <x v="7"/>
    <x v="1"/>
    <x v="3"/>
    <x v="0"/>
    <n v="371.27"/>
    <n v="120.69"/>
  </r>
  <r>
    <s v="2025-01-20"/>
    <x v="0"/>
    <x v="2"/>
    <x v="73"/>
    <n v="36.28"/>
    <n v="4"/>
    <n v="99.14"/>
    <x v="60"/>
    <x v="0"/>
    <x v="2"/>
    <x v="0"/>
    <n v="62.86"/>
    <n v="124.34"/>
  </r>
  <r>
    <s v="2025-02-27"/>
    <x v="5"/>
    <x v="0"/>
    <x v="74"/>
    <n v="37.700000000000003"/>
    <n v="2"/>
    <n v="71.900000000000006"/>
    <x v="27"/>
    <x v="2"/>
    <x v="1"/>
    <x v="0"/>
    <n v="34.200000000000003"/>
    <n v="103.31"/>
  </r>
  <r>
    <s v="2024-11-26"/>
    <x v="4"/>
    <x v="2"/>
    <x v="75"/>
    <n v="134.38"/>
    <n v="1"/>
    <n v="289.77999999999997"/>
    <x v="61"/>
    <x v="0"/>
    <x v="5"/>
    <x v="0"/>
    <n v="155.39999999999998"/>
    <n v="97.01"/>
  </r>
  <r>
    <s v="2025-01-16"/>
    <x v="0"/>
    <x v="0"/>
    <x v="76"/>
    <n v="38.08"/>
    <n v="4"/>
    <n v="262.55"/>
    <x v="62"/>
    <x v="0"/>
    <x v="0"/>
    <x v="0"/>
    <n v="224.47000000000003"/>
    <n v="132.03"/>
  </r>
  <r>
    <s v="2025-03-31"/>
    <x v="1"/>
    <x v="3"/>
    <x v="77"/>
    <n v="105.4"/>
    <n v="10"/>
    <n v="301.43"/>
    <x v="63"/>
    <x v="0"/>
    <x v="1"/>
    <x v="0"/>
    <n v="196.03"/>
    <n v="130.88"/>
  </r>
  <r>
    <s v="2025-04-12"/>
    <x v="2"/>
    <x v="2"/>
    <x v="22"/>
    <n v="37.92"/>
    <n v="2"/>
    <n v="196.55"/>
    <x v="64"/>
    <x v="2"/>
    <x v="2"/>
    <x v="0"/>
    <n v="158.63"/>
    <n v="137.46"/>
  </r>
  <r>
    <s v="2025-03-20"/>
    <x v="1"/>
    <x v="0"/>
    <x v="78"/>
    <n v="5.13"/>
    <n v="10"/>
    <n v="415.83"/>
    <x v="65"/>
    <x v="0"/>
    <x v="3"/>
    <x v="0"/>
    <n v="410.7"/>
    <n v="146.03"/>
  </r>
  <r>
    <s v="2024-12-01"/>
    <x v="3"/>
    <x v="1"/>
    <x v="79"/>
    <n v="126.29"/>
    <n v="3"/>
    <n v="309.7"/>
    <x v="66"/>
    <x v="2"/>
    <x v="4"/>
    <x v="0"/>
    <n v="183.40999999999997"/>
    <n v="127.97"/>
  </r>
  <r>
    <s v="2025-02-18"/>
    <x v="5"/>
    <x v="3"/>
    <x v="80"/>
    <n v="6.31"/>
    <n v="9"/>
    <n v="208.17"/>
    <x v="67"/>
    <x v="2"/>
    <x v="1"/>
    <x v="0"/>
    <n v="201.85999999999999"/>
    <n v="112.38"/>
  </r>
  <r>
    <s v="2025-03-22"/>
    <x v="1"/>
    <x v="2"/>
    <x v="81"/>
    <n v="46.75"/>
    <n v="5"/>
    <n v="74.8"/>
    <x v="68"/>
    <x v="2"/>
    <x v="1"/>
    <x v="0"/>
    <n v="28.049999999999997"/>
    <n v="112.24"/>
  </r>
  <r>
    <s v="2024-12-08"/>
    <x v="3"/>
    <x v="3"/>
    <x v="82"/>
    <n v="140.62"/>
    <n v="6"/>
    <n v="57.4"/>
    <x v="3"/>
    <x v="1"/>
    <x v="5"/>
    <x v="0"/>
    <n v="-83.22"/>
    <n v="134.87"/>
  </r>
  <r>
    <s v="2024-11-25"/>
    <x v="4"/>
    <x v="2"/>
    <x v="83"/>
    <n v="49.76"/>
    <n v="7"/>
    <n v="105.34"/>
    <x v="21"/>
    <x v="1"/>
    <x v="0"/>
    <x v="0"/>
    <n v="55.580000000000005"/>
    <n v="131.62"/>
  </r>
  <r>
    <s v="2024-11-21"/>
    <x v="4"/>
    <x v="0"/>
    <x v="84"/>
    <n v="15.42"/>
    <n v="2"/>
    <n v="411.67"/>
    <x v="33"/>
    <x v="2"/>
    <x v="5"/>
    <x v="0"/>
    <n v="396.25"/>
    <n v="131.77000000000001"/>
  </r>
  <r>
    <s v="2025-01-16"/>
    <x v="0"/>
    <x v="2"/>
    <x v="85"/>
    <n v="98.6"/>
    <n v="1"/>
    <n v="290.66000000000003"/>
    <x v="69"/>
    <x v="0"/>
    <x v="1"/>
    <x v="0"/>
    <n v="192.06000000000003"/>
    <n v="144.41"/>
  </r>
  <r>
    <s v="2025-02-13"/>
    <x v="5"/>
    <x v="3"/>
    <x v="86"/>
    <n v="121.31"/>
    <n v="7"/>
    <n v="217.35"/>
    <x v="70"/>
    <x v="0"/>
    <x v="5"/>
    <x v="0"/>
    <n v="96.039999999999992"/>
    <n v="128.61000000000001"/>
  </r>
  <r>
    <s v="2024-10-31"/>
    <x v="6"/>
    <x v="0"/>
    <x v="87"/>
    <n v="82.01"/>
    <n v="0"/>
    <n v="400.95"/>
    <x v="6"/>
    <x v="1"/>
    <x v="5"/>
    <x v="1"/>
    <n v="318.94"/>
    <n v="118.53"/>
  </r>
  <r>
    <s v="2025-02-26"/>
    <x v="5"/>
    <x v="2"/>
    <x v="88"/>
    <n v="122.92"/>
    <n v="5"/>
    <n v="252.24"/>
    <x v="71"/>
    <x v="0"/>
    <x v="4"/>
    <x v="0"/>
    <n v="129.32"/>
    <n v="131.26"/>
  </r>
  <r>
    <s v="2024-11-21"/>
    <x v="4"/>
    <x v="1"/>
    <x v="89"/>
    <n v="50.45"/>
    <n v="9"/>
    <n v="224.19"/>
    <x v="9"/>
    <x v="0"/>
    <x v="4"/>
    <x v="0"/>
    <n v="173.74"/>
    <n v="118.14"/>
  </r>
  <r>
    <s v="2024-12-08"/>
    <x v="3"/>
    <x v="0"/>
    <x v="90"/>
    <n v="15.87"/>
    <n v="2"/>
    <n v="249.63"/>
    <x v="72"/>
    <x v="0"/>
    <x v="3"/>
    <x v="0"/>
    <n v="233.76"/>
    <n v="123.12"/>
  </r>
  <r>
    <s v="2025-02-19"/>
    <x v="5"/>
    <x v="2"/>
    <x v="91"/>
    <n v="36.869999999999997"/>
    <n v="9"/>
    <n v="53.51"/>
    <x v="41"/>
    <x v="2"/>
    <x v="2"/>
    <x v="0"/>
    <n v="16.64"/>
    <n v="116.13"/>
  </r>
  <r>
    <s v="2024-12-24"/>
    <x v="3"/>
    <x v="1"/>
    <x v="92"/>
    <n v="89.77"/>
    <n v="4"/>
    <n v="359.23"/>
    <x v="72"/>
    <x v="2"/>
    <x v="1"/>
    <x v="0"/>
    <n v="269.46000000000004"/>
    <n v="118.12"/>
  </r>
  <r>
    <s v="2025-01-18"/>
    <x v="0"/>
    <x v="2"/>
    <x v="93"/>
    <n v="123.64"/>
    <n v="3"/>
    <n v="54.56"/>
    <x v="7"/>
    <x v="0"/>
    <x v="5"/>
    <x v="0"/>
    <n v="-69.08"/>
    <n v="120.84"/>
  </r>
  <r>
    <s v="2024-11-17"/>
    <x v="4"/>
    <x v="1"/>
    <x v="78"/>
    <n v="102.04"/>
    <n v="6"/>
    <n v="288.77999999999997"/>
    <x v="69"/>
    <x v="0"/>
    <x v="4"/>
    <x v="0"/>
    <n v="186.73999999999995"/>
    <n v="140.54"/>
  </r>
  <r>
    <s v="2024-12-07"/>
    <x v="3"/>
    <x v="3"/>
    <x v="94"/>
    <n v="57.81"/>
    <n v="7"/>
    <n v="141.16999999999999"/>
    <x v="73"/>
    <x v="1"/>
    <x v="1"/>
    <x v="0"/>
    <n v="83.359999999999985"/>
    <n v="55.03"/>
  </r>
  <r>
    <s v="2025-02-28"/>
    <x v="5"/>
    <x v="2"/>
    <x v="95"/>
    <n v="149.51"/>
    <n v="0"/>
    <n v="187.59"/>
    <x v="74"/>
    <x v="1"/>
    <x v="4"/>
    <x v="1"/>
    <n v="38.080000000000013"/>
    <n v="138.13999999999999"/>
  </r>
  <r>
    <s v="2025-02-12"/>
    <x v="5"/>
    <x v="2"/>
    <x v="96"/>
    <n v="145.94"/>
    <n v="7"/>
    <n v="360.33"/>
    <x v="75"/>
    <x v="0"/>
    <x v="4"/>
    <x v="0"/>
    <n v="214.39"/>
    <n v="184.68"/>
  </r>
  <r>
    <s v="2024-11-28"/>
    <x v="4"/>
    <x v="1"/>
    <x v="66"/>
    <n v="93.84"/>
    <n v="6"/>
    <n v="226.64"/>
    <x v="76"/>
    <x v="0"/>
    <x v="1"/>
    <x v="0"/>
    <n v="132.79999999999998"/>
    <n v="125.79"/>
  </r>
  <r>
    <s v="2024-12-24"/>
    <x v="3"/>
    <x v="1"/>
    <x v="97"/>
    <n v="98.28"/>
    <n v="4"/>
    <n v="364.06"/>
    <x v="77"/>
    <x v="2"/>
    <x v="1"/>
    <x v="0"/>
    <n v="265.77999999999997"/>
    <n v="114.16"/>
  </r>
  <r>
    <s v="2025-02-16"/>
    <x v="5"/>
    <x v="2"/>
    <x v="34"/>
    <n v="118.22"/>
    <n v="10"/>
    <n v="215.42"/>
    <x v="24"/>
    <x v="1"/>
    <x v="4"/>
    <x v="0"/>
    <n v="97.199999999999989"/>
    <n v="115.56"/>
  </r>
  <r>
    <s v="2025-03-05"/>
    <x v="1"/>
    <x v="3"/>
    <x v="98"/>
    <n v="139.09"/>
    <n v="3"/>
    <n v="43.79"/>
    <x v="78"/>
    <x v="2"/>
    <x v="5"/>
    <x v="0"/>
    <n v="-95.300000000000011"/>
    <n v="165.42"/>
  </r>
  <r>
    <s v="2025-01-30"/>
    <x v="0"/>
    <x v="3"/>
    <x v="99"/>
    <n v="83.76"/>
    <n v="9"/>
    <n v="35.799999999999997"/>
    <x v="45"/>
    <x v="1"/>
    <x v="4"/>
    <x v="0"/>
    <n v="-47.960000000000008"/>
    <n v="103.06"/>
  </r>
  <r>
    <s v="2024-12-08"/>
    <x v="3"/>
    <x v="3"/>
    <x v="100"/>
    <n v="55.81"/>
    <n v="9"/>
    <n v="34.74"/>
    <x v="12"/>
    <x v="0"/>
    <x v="1"/>
    <x v="0"/>
    <n v="-21.07"/>
    <n v="120.43"/>
  </r>
  <r>
    <s v="2024-11-12"/>
    <x v="4"/>
    <x v="2"/>
    <x v="101"/>
    <n v="77.95"/>
    <n v="5"/>
    <n v="51.36"/>
    <x v="6"/>
    <x v="2"/>
    <x v="0"/>
    <x v="0"/>
    <n v="-26.590000000000003"/>
    <n v="114.82"/>
  </r>
  <r>
    <s v="2024-12-13"/>
    <x v="3"/>
    <x v="1"/>
    <x v="102"/>
    <n v="90.7"/>
    <n v="2"/>
    <n v="450.81"/>
    <x v="79"/>
    <x v="1"/>
    <x v="2"/>
    <x v="0"/>
    <n v="360.11"/>
    <n v="137.08000000000001"/>
  </r>
  <r>
    <s v="2025-01-10"/>
    <x v="0"/>
    <x v="0"/>
    <x v="103"/>
    <n v="141.59"/>
    <n v="10"/>
    <n v="452.42"/>
    <x v="3"/>
    <x v="0"/>
    <x v="1"/>
    <x v="0"/>
    <n v="310.83000000000004"/>
    <n v="141.55000000000001"/>
  </r>
  <r>
    <s v="2025-04-17"/>
    <x v="2"/>
    <x v="3"/>
    <x v="104"/>
    <n v="62.45"/>
    <n v="0"/>
    <n v="471.85"/>
    <x v="80"/>
    <x v="1"/>
    <x v="1"/>
    <x v="1"/>
    <n v="409.40000000000003"/>
    <n v="151.01"/>
  </r>
  <r>
    <s v="2025-01-27"/>
    <x v="0"/>
    <x v="0"/>
    <x v="105"/>
    <n v="11.32"/>
    <n v="4"/>
    <n v="194.04"/>
    <x v="81"/>
    <x v="0"/>
    <x v="1"/>
    <x v="0"/>
    <n v="182.72"/>
    <n v="102.63"/>
  </r>
  <r>
    <s v="2024-12-25"/>
    <x v="3"/>
    <x v="1"/>
    <x v="106"/>
    <n v="75.39"/>
    <n v="7"/>
    <n v="282.32"/>
    <x v="82"/>
    <x v="2"/>
    <x v="4"/>
    <x v="0"/>
    <n v="206.93"/>
    <n v="150.37"/>
  </r>
  <r>
    <s v="2024-11-30"/>
    <x v="4"/>
    <x v="0"/>
    <x v="107"/>
    <n v="87.27"/>
    <n v="6"/>
    <n v="447.69"/>
    <x v="83"/>
    <x v="2"/>
    <x v="2"/>
    <x v="0"/>
    <n v="360.42"/>
    <n v="172.17"/>
  </r>
  <r>
    <s v="2025-04-09"/>
    <x v="2"/>
    <x v="3"/>
    <x v="85"/>
    <n v="125.48"/>
    <n v="2"/>
    <n v="271.74"/>
    <x v="84"/>
    <x v="0"/>
    <x v="5"/>
    <x v="0"/>
    <n v="146.26"/>
    <n v="109.47"/>
  </r>
  <r>
    <s v="2025-02-06"/>
    <x v="5"/>
    <x v="2"/>
    <x v="108"/>
    <n v="121.82"/>
    <n v="1"/>
    <n v="389.48"/>
    <x v="74"/>
    <x v="1"/>
    <x v="2"/>
    <x v="0"/>
    <n v="267.66000000000003"/>
    <n v="127.2"/>
  </r>
  <r>
    <s v="2025-03-07"/>
    <x v="1"/>
    <x v="1"/>
    <x v="59"/>
    <n v="45.84"/>
    <n v="6"/>
    <n v="316.42"/>
    <x v="85"/>
    <x v="0"/>
    <x v="4"/>
    <x v="0"/>
    <n v="270.58000000000004"/>
    <n v="120.53"/>
  </r>
  <r>
    <s v="2025-02-26"/>
    <x v="5"/>
    <x v="2"/>
    <x v="109"/>
    <n v="25.47"/>
    <n v="3"/>
    <n v="30.32"/>
    <x v="86"/>
    <x v="1"/>
    <x v="1"/>
    <x v="0"/>
    <n v="4.8500000000000014"/>
    <n v="112.74"/>
  </r>
  <r>
    <s v="2024-10-30"/>
    <x v="6"/>
    <x v="1"/>
    <x v="110"/>
    <n v="61.85"/>
    <n v="5"/>
    <n v="223.9"/>
    <x v="87"/>
    <x v="2"/>
    <x v="2"/>
    <x v="0"/>
    <n v="162.05000000000001"/>
    <n v="156.15"/>
  </r>
  <r>
    <s v="2025-02-14"/>
    <x v="5"/>
    <x v="2"/>
    <x v="111"/>
    <n v="35.22"/>
    <n v="1"/>
    <n v="321.73"/>
    <x v="88"/>
    <x v="2"/>
    <x v="0"/>
    <x v="0"/>
    <n v="286.51"/>
    <n v="151.22"/>
  </r>
  <r>
    <s v="2025-04-05"/>
    <x v="2"/>
    <x v="3"/>
    <x v="14"/>
    <n v="48.5"/>
    <n v="4"/>
    <n v="27.87"/>
    <x v="89"/>
    <x v="1"/>
    <x v="2"/>
    <x v="0"/>
    <n v="-20.63"/>
    <n v="83.18"/>
  </r>
  <r>
    <s v="2024-11-10"/>
    <x v="4"/>
    <x v="2"/>
    <x v="112"/>
    <n v="139.65"/>
    <n v="8"/>
    <n v="237.4"/>
    <x v="49"/>
    <x v="2"/>
    <x v="2"/>
    <x v="0"/>
    <n v="97.75"/>
    <n v="131.88999999999999"/>
  </r>
  <r>
    <s v="2025-03-12"/>
    <x v="1"/>
    <x v="2"/>
    <x v="113"/>
    <n v="50.02"/>
    <n v="8"/>
    <n v="461.47"/>
    <x v="90"/>
    <x v="2"/>
    <x v="2"/>
    <x v="0"/>
    <n v="411.45000000000005"/>
    <n v="153.06"/>
  </r>
  <r>
    <s v="2024-11-05"/>
    <x v="4"/>
    <x v="2"/>
    <x v="114"/>
    <n v="73.89"/>
    <n v="0"/>
    <n v="368.57"/>
    <x v="91"/>
    <x v="1"/>
    <x v="5"/>
    <x v="1"/>
    <n v="294.68"/>
    <n v="134.87"/>
  </r>
  <r>
    <s v="2025-04-12"/>
    <x v="2"/>
    <x v="1"/>
    <x v="115"/>
    <n v="106.7"/>
    <n v="9"/>
    <n v="171.15"/>
    <x v="92"/>
    <x v="1"/>
    <x v="4"/>
    <x v="0"/>
    <n v="64.45"/>
    <n v="127.84"/>
  </r>
  <r>
    <s v="2024-12-07"/>
    <x v="3"/>
    <x v="1"/>
    <x v="96"/>
    <n v="58.62"/>
    <n v="0"/>
    <n v="487.48"/>
    <x v="61"/>
    <x v="2"/>
    <x v="2"/>
    <x v="1"/>
    <n v="428.86"/>
    <n v="94.25"/>
  </r>
  <r>
    <s v="2025-02-18"/>
    <x v="5"/>
    <x v="0"/>
    <x v="116"/>
    <n v="30.94"/>
    <n v="10"/>
    <n v="406"/>
    <x v="93"/>
    <x v="2"/>
    <x v="1"/>
    <x v="0"/>
    <n v="375.06"/>
    <n v="159.52000000000001"/>
  </r>
  <r>
    <s v="2024-11-26"/>
    <x v="4"/>
    <x v="1"/>
    <x v="108"/>
    <n v="21.2"/>
    <n v="0"/>
    <n v="240.71"/>
    <x v="94"/>
    <x v="2"/>
    <x v="1"/>
    <x v="1"/>
    <n v="219.51000000000002"/>
    <n v="118.6"/>
  </r>
  <r>
    <s v="2024-11-09"/>
    <x v="4"/>
    <x v="3"/>
    <x v="117"/>
    <n v="49.02"/>
    <n v="2"/>
    <n v="441.04"/>
    <x v="91"/>
    <x v="1"/>
    <x v="1"/>
    <x v="0"/>
    <n v="392.02000000000004"/>
    <n v="138.06"/>
  </r>
  <r>
    <s v="2024-11-29"/>
    <x v="4"/>
    <x v="3"/>
    <x v="118"/>
    <n v="9.73"/>
    <n v="0"/>
    <n v="181.97"/>
    <x v="95"/>
    <x v="0"/>
    <x v="0"/>
    <x v="1"/>
    <n v="172.24"/>
    <n v="151.44999999999999"/>
  </r>
  <r>
    <s v="2025-04-26"/>
    <x v="2"/>
    <x v="3"/>
    <x v="119"/>
    <n v="81.95"/>
    <n v="1"/>
    <n v="200.02"/>
    <x v="80"/>
    <x v="0"/>
    <x v="0"/>
    <x v="0"/>
    <n v="118.07000000000001"/>
    <n v="151.21"/>
  </r>
  <r>
    <s v="2024-11-08"/>
    <x v="4"/>
    <x v="2"/>
    <x v="120"/>
    <n v="111.62"/>
    <n v="3"/>
    <n v="405.9"/>
    <x v="40"/>
    <x v="2"/>
    <x v="1"/>
    <x v="0"/>
    <n v="294.27999999999997"/>
    <n v="124.89"/>
  </r>
  <r>
    <s v="2025-03-08"/>
    <x v="1"/>
    <x v="0"/>
    <x v="121"/>
    <n v="41.81"/>
    <n v="8"/>
    <n v="187.26"/>
    <x v="84"/>
    <x v="1"/>
    <x v="2"/>
    <x v="0"/>
    <n v="145.44999999999999"/>
    <n v="100.43"/>
  </r>
  <r>
    <s v="2025-01-25"/>
    <x v="0"/>
    <x v="1"/>
    <x v="122"/>
    <n v="66.94"/>
    <n v="2"/>
    <n v="100.56"/>
    <x v="96"/>
    <x v="1"/>
    <x v="5"/>
    <x v="0"/>
    <n v="33.620000000000005"/>
    <n v="79.59"/>
  </r>
  <r>
    <s v="2025-04-12"/>
    <x v="2"/>
    <x v="2"/>
    <x v="123"/>
    <n v="47.95"/>
    <n v="1"/>
    <n v="402.52"/>
    <x v="16"/>
    <x v="1"/>
    <x v="2"/>
    <x v="0"/>
    <n v="354.57"/>
    <n v="150.94999999999999"/>
  </r>
  <r>
    <s v="2025-02-03"/>
    <x v="5"/>
    <x v="3"/>
    <x v="10"/>
    <n v="36.22"/>
    <n v="6"/>
    <n v="217.13"/>
    <x v="97"/>
    <x v="1"/>
    <x v="0"/>
    <x v="0"/>
    <n v="180.91"/>
    <n v="129.69"/>
  </r>
  <r>
    <s v="2024-11-08"/>
    <x v="4"/>
    <x v="3"/>
    <x v="124"/>
    <n v="144.63"/>
    <n v="9"/>
    <n v="405.95"/>
    <x v="98"/>
    <x v="2"/>
    <x v="1"/>
    <x v="0"/>
    <n v="261.32"/>
    <n v="186.11"/>
  </r>
  <r>
    <s v="2024-12-15"/>
    <x v="3"/>
    <x v="1"/>
    <x v="125"/>
    <n v="54.69"/>
    <n v="4"/>
    <n v="410.63"/>
    <x v="12"/>
    <x v="2"/>
    <x v="0"/>
    <x v="0"/>
    <n v="355.94"/>
    <n v="124.35"/>
  </r>
  <r>
    <s v="2025-04-01"/>
    <x v="2"/>
    <x v="2"/>
    <x v="126"/>
    <n v="109.66"/>
    <n v="8"/>
    <n v="412.68"/>
    <x v="23"/>
    <x v="0"/>
    <x v="0"/>
    <x v="0"/>
    <n v="303.02"/>
    <n v="125.97"/>
  </r>
  <r>
    <s v="2025-01-07"/>
    <x v="0"/>
    <x v="0"/>
    <x v="127"/>
    <n v="140.85"/>
    <n v="7"/>
    <n v="258.64999999999998"/>
    <x v="99"/>
    <x v="1"/>
    <x v="5"/>
    <x v="0"/>
    <n v="117.79999999999998"/>
    <n v="133.58000000000001"/>
  </r>
  <r>
    <s v="2025-03-09"/>
    <x v="1"/>
    <x v="1"/>
    <x v="128"/>
    <n v="49.22"/>
    <n v="4"/>
    <n v="326.75"/>
    <x v="80"/>
    <x v="1"/>
    <x v="5"/>
    <x v="0"/>
    <n v="277.52999999999997"/>
    <n v="148.33000000000001"/>
  </r>
  <r>
    <s v="2024-11-06"/>
    <x v="4"/>
    <x v="1"/>
    <x v="129"/>
    <n v="82.56"/>
    <n v="3"/>
    <n v="205.52"/>
    <x v="100"/>
    <x v="2"/>
    <x v="2"/>
    <x v="0"/>
    <n v="122.96000000000001"/>
    <n v="141.49"/>
  </r>
  <r>
    <s v="2025-01-14"/>
    <x v="0"/>
    <x v="0"/>
    <x v="130"/>
    <n v="66.44"/>
    <n v="10"/>
    <n v="206.93"/>
    <x v="101"/>
    <x v="1"/>
    <x v="2"/>
    <x v="0"/>
    <n v="140.49"/>
    <n v="110.07"/>
  </r>
  <r>
    <s v="2025-02-03"/>
    <x v="5"/>
    <x v="3"/>
    <x v="131"/>
    <n v="121.46"/>
    <n v="0"/>
    <n v="280.08999999999997"/>
    <x v="102"/>
    <x v="1"/>
    <x v="2"/>
    <x v="1"/>
    <n v="158.63"/>
    <n v="124.35"/>
  </r>
  <r>
    <s v="2024-11-20"/>
    <x v="4"/>
    <x v="1"/>
    <x v="132"/>
    <n v="25.7"/>
    <n v="2"/>
    <n v="393.2"/>
    <x v="103"/>
    <x v="2"/>
    <x v="2"/>
    <x v="0"/>
    <n v="367.5"/>
    <n v="159.58000000000001"/>
  </r>
  <r>
    <s v="2025-03-02"/>
    <x v="1"/>
    <x v="0"/>
    <x v="133"/>
    <n v="40.11"/>
    <n v="8"/>
    <n v="59.07"/>
    <x v="104"/>
    <x v="0"/>
    <x v="2"/>
    <x v="0"/>
    <n v="18.96"/>
    <n v="102.39"/>
  </r>
  <r>
    <s v="2025-04-21"/>
    <x v="2"/>
    <x v="1"/>
    <x v="134"/>
    <n v="117.69"/>
    <n v="5"/>
    <n v="191.01"/>
    <x v="105"/>
    <x v="1"/>
    <x v="2"/>
    <x v="0"/>
    <n v="73.319999999999993"/>
    <n v="115.16"/>
  </r>
  <r>
    <s v="2024-10-30"/>
    <x v="6"/>
    <x v="2"/>
    <x v="135"/>
    <n v="104.48"/>
    <n v="4"/>
    <n v="58.41"/>
    <x v="106"/>
    <x v="2"/>
    <x v="5"/>
    <x v="0"/>
    <n v="-46.070000000000007"/>
    <n v="128.09"/>
  </r>
  <r>
    <s v="2024-12-26"/>
    <x v="3"/>
    <x v="1"/>
    <x v="136"/>
    <n v="139.61000000000001"/>
    <n v="6"/>
    <n v="496.92"/>
    <x v="68"/>
    <x v="0"/>
    <x v="5"/>
    <x v="0"/>
    <n v="357.31"/>
    <n v="113.22"/>
  </r>
  <r>
    <s v="2025-04-23"/>
    <x v="2"/>
    <x v="1"/>
    <x v="137"/>
    <n v="148.52000000000001"/>
    <n v="7"/>
    <n v="52.59"/>
    <x v="9"/>
    <x v="1"/>
    <x v="2"/>
    <x v="0"/>
    <n v="-95.93"/>
    <n v="127.77"/>
  </r>
  <r>
    <s v="2024-11-09"/>
    <x v="4"/>
    <x v="0"/>
    <x v="86"/>
    <n v="114.49"/>
    <n v="6"/>
    <n v="425.03"/>
    <x v="58"/>
    <x v="2"/>
    <x v="1"/>
    <x v="0"/>
    <n v="310.53999999999996"/>
    <n v="150.63"/>
  </r>
  <r>
    <s v="2024-11-14"/>
    <x v="4"/>
    <x v="0"/>
    <x v="138"/>
    <n v="33.840000000000003"/>
    <n v="9"/>
    <n v="257.29000000000002"/>
    <x v="107"/>
    <x v="2"/>
    <x v="1"/>
    <x v="0"/>
    <n v="223.45000000000002"/>
    <n v="122.44"/>
  </r>
  <r>
    <s v="2025-02-23"/>
    <x v="5"/>
    <x v="1"/>
    <x v="139"/>
    <n v="79.81"/>
    <n v="5"/>
    <n v="491.42"/>
    <x v="3"/>
    <x v="2"/>
    <x v="1"/>
    <x v="0"/>
    <n v="411.61"/>
    <n v="141.51"/>
  </r>
  <r>
    <s v="2024-11-06"/>
    <x v="4"/>
    <x v="0"/>
    <x v="140"/>
    <n v="27.33"/>
    <n v="9"/>
    <n v="436.97"/>
    <x v="60"/>
    <x v="2"/>
    <x v="5"/>
    <x v="0"/>
    <n v="409.64000000000004"/>
    <n v="127.46"/>
  </r>
  <r>
    <s v="2024-12-31"/>
    <x v="3"/>
    <x v="3"/>
    <x v="141"/>
    <n v="19.489999999999998"/>
    <n v="1"/>
    <n v="292.18"/>
    <x v="74"/>
    <x v="2"/>
    <x v="2"/>
    <x v="0"/>
    <n v="272.69"/>
    <n v="133.18"/>
  </r>
  <r>
    <s v="2024-12-23"/>
    <x v="3"/>
    <x v="1"/>
    <x v="142"/>
    <n v="24"/>
    <n v="7"/>
    <n v="218.68"/>
    <x v="108"/>
    <x v="1"/>
    <x v="0"/>
    <x v="0"/>
    <n v="194.68"/>
    <n v="156.28"/>
  </r>
  <r>
    <s v="2025-02-25"/>
    <x v="5"/>
    <x v="2"/>
    <x v="143"/>
    <n v="112.63"/>
    <n v="8"/>
    <n v="118.91"/>
    <x v="109"/>
    <x v="2"/>
    <x v="3"/>
    <x v="0"/>
    <n v="6.2800000000000011"/>
    <n v="115.73"/>
  </r>
  <r>
    <s v="2025-03-27"/>
    <x v="1"/>
    <x v="1"/>
    <x v="144"/>
    <n v="125.75"/>
    <n v="4"/>
    <n v="297.5"/>
    <x v="110"/>
    <x v="1"/>
    <x v="0"/>
    <x v="0"/>
    <n v="171.75"/>
    <n v="91.91"/>
  </r>
  <r>
    <s v="2025-01-21"/>
    <x v="0"/>
    <x v="2"/>
    <x v="145"/>
    <n v="102.47"/>
    <n v="6"/>
    <n v="382.06"/>
    <x v="111"/>
    <x v="1"/>
    <x v="3"/>
    <x v="0"/>
    <n v="279.59000000000003"/>
    <n v="126.67"/>
  </r>
  <r>
    <s v="2025-04-12"/>
    <x v="2"/>
    <x v="2"/>
    <x v="137"/>
    <n v="119.93"/>
    <n v="4"/>
    <n v="100.7"/>
    <x v="112"/>
    <x v="0"/>
    <x v="1"/>
    <x v="0"/>
    <n v="-19.230000000000004"/>
    <n v="144.44"/>
  </r>
  <r>
    <s v="2024-12-08"/>
    <x v="3"/>
    <x v="3"/>
    <x v="146"/>
    <n v="85.68"/>
    <n v="2"/>
    <n v="294.74"/>
    <x v="113"/>
    <x v="2"/>
    <x v="2"/>
    <x v="0"/>
    <n v="209.06"/>
    <n v="146.82"/>
  </r>
  <r>
    <s v="2025-02-25"/>
    <x v="5"/>
    <x v="2"/>
    <x v="147"/>
    <n v="142.12"/>
    <n v="9"/>
    <n v="91.03"/>
    <x v="24"/>
    <x v="1"/>
    <x v="2"/>
    <x v="0"/>
    <n v="-51.09"/>
    <n v="118.67"/>
  </r>
  <r>
    <s v="2025-02-15"/>
    <x v="5"/>
    <x v="0"/>
    <x v="148"/>
    <n v="39.61"/>
    <n v="1"/>
    <n v="143.69999999999999"/>
    <x v="10"/>
    <x v="1"/>
    <x v="5"/>
    <x v="0"/>
    <n v="104.08999999999999"/>
    <n v="136.19"/>
  </r>
  <r>
    <s v="2025-02-07"/>
    <x v="5"/>
    <x v="2"/>
    <x v="147"/>
    <n v="117.82"/>
    <n v="0"/>
    <n v="150.57"/>
    <x v="114"/>
    <x v="0"/>
    <x v="1"/>
    <x v="1"/>
    <n v="32.75"/>
    <n v="136.97"/>
  </r>
  <r>
    <s v="2025-03-06"/>
    <x v="1"/>
    <x v="0"/>
    <x v="149"/>
    <n v="131.69"/>
    <n v="3"/>
    <n v="249.33"/>
    <x v="11"/>
    <x v="0"/>
    <x v="2"/>
    <x v="0"/>
    <n v="117.64000000000001"/>
    <n v="140.9"/>
  </r>
  <r>
    <s v="2025-03-13"/>
    <x v="1"/>
    <x v="0"/>
    <x v="150"/>
    <n v="20.09"/>
    <n v="8"/>
    <n v="121.04"/>
    <x v="109"/>
    <x v="0"/>
    <x v="0"/>
    <x v="0"/>
    <n v="100.95"/>
    <n v="106.67"/>
  </r>
  <r>
    <s v="2025-01-13"/>
    <x v="0"/>
    <x v="0"/>
    <x v="151"/>
    <n v="123.73"/>
    <n v="9"/>
    <n v="335.89"/>
    <x v="115"/>
    <x v="1"/>
    <x v="3"/>
    <x v="0"/>
    <n v="212.15999999999997"/>
    <n v="154.57"/>
  </r>
  <r>
    <s v="2025-03-25"/>
    <x v="1"/>
    <x v="3"/>
    <x v="49"/>
    <n v="63.41"/>
    <n v="5"/>
    <n v="172.17"/>
    <x v="0"/>
    <x v="2"/>
    <x v="2"/>
    <x v="0"/>
    <n v="108.75999999999999"/>
    <n v="121.17"/>
  </r>
  <r>
    <s v="2024-11-23"/>
    <x v="4"/>
    <x v="1"/>
    <x v="152"/>
    <n v="89.17"/>
    <n v="4"/>
    <n v="221.51"/>
    <x v="116"/>
    <x v="0"/>
    <x v="0"/>
    <x v="0"/>
    <n v="132.33999999999997"/>
    <n v="161.02000000000001"/>
  </r>
  <r>
    <s v="2024-11-09"/>
    <x v="4"/>
    <x v="1"/>
    <x v="153"/>
    <n v="31.29"/>
    <n v="0"/>
    <n v="102.95"/>
    <x v="117"/>
    <x v="1"/>
    <x v="1"/>
    <x v="1"/>
    <n v="71.66"/>
    <n v="125.84"/>
  </r>
  <r>
    <s v="2025-03-29"/>
    <x v="1"/>
    <x v="1"/>
    <x v="154"/>
    <n v="31.13"/>
    <n v="6"/>
    <n v="259.47000000000003"/>
    <x v="11"/>
    <x v="0"/>
    <x v="5"/>
    <x v="0"/>
    <n v="228.34000000000003"/>
    <n v="139.82"/>
  </r>
  <r>
    <s v="2025-04-08"/>
    <x v="2"/>
    <x v="0"/>
    <x v="155"/>
    <n v="71.319999999999993"/>
    <n v="8"/>
    <n v="352.25"/>
    <x v="12"/>
    <x v="2"/>
    <x v="2"/>
    <x v="0"/>
    <n v="280.93"/>
    <n v="122.33"/>
  </r>
  <r>
    <s v="2024-11-16"/>
    <x v="4"/>
    <x v="1"/>
    <x v="156"/>
    <n v="111.67"/>
    <n v="7"/>
    <n v="218.67"/>
    <x v="118"/>
    <x v="2"/>
    <x v="2"/>
    <x v="0"/>
    <n v="106.99999999999999"/>
    <n v="112.24"/>
  </r>
  <r>
    <s v="2025-02-13"/>
    <x v="5"/>
    <x v="3"/>
    <x v="157"/>
    <n v="75.86"/>
    <n v="6"/>
    <n v="345.76"/>
    <x v="25"/>
    <x v="2"/>
    <x v="5"/>
    <x v="0"/>
    <n v="269.89999999999998"/>
    <n v="138.31"/>
  </r>
  <r>
    <s v="2024-10-30"/>
    <x v="6"/>
    <x v="2"/>
    <x v="158"/>
    <n v="37.979999999999997"/>
    <n v="1"/>
    <n v="297.58999999999997"/>
    <x v="27"/>
    <x v="1"/>
    <x v="2"/>
    <x v="0"/>
    <n v="259.60999999999996"/>
    <n v="111.28"/>
  </r>
  <r>
    <s v="2025-01-21"/>
    <x v="0"/>
    <x v="3"/>
    <x v="58"/>
    <n v="49.9"/>
    <n v="6"/>
    <n v="122.81"/>
    <x v="80"/>
    <x v="2"/>
    <x v="1"/>
    <x v="0"/>
    <n v="72.91"/>
    <n v="144.13999999999999"/>
  </r>
  <r>
    <s v="2024-11-15"/>
    <x v="4"/>
    <x v="3"/>
    <x v="145"/>
    <n v="119.44"/>
    <n v="1"/>
    <n v="386.94"/>
    <x v="10"/>
    <x v="0"/>
    <x v="1"/>
    <x v="0"/>
    <n v="267.5"/>
    <n v="131.87"/>
  </r>
  <r>
    <s v="2024-11-06"/>
    <x v="4"/>
    <x v="1"/>
    <x v="15"/>
    <n v="86.17"/>
    <n v="3"/>
    <n v="233.29"/>
    <x v="119"/>
    <x v="2"/>
    <x v="5"/>
    <x v="0"/>
    <n v="147.12"/>
    <n v="140.08000000000001"/>
  </r>
  <r>
    <s v="2025-04-05"/>
    <x v="2"/>
    <x v="1"/>
    <x v="159"/>
    <n v="131.75"/>
    <n v="8"/>
    <n v="82.76"/>
    <x v="120"/>
    <x v="2"/>
    <x v="3"/>
    <x v="0"/>
    <n v="-48.989999999999995"/>
    <n v="95.41"/>
  </r>
  <r>
    <s v="2025-03-05"/>
    <x v="1"/>
    <x v="2"/>
    <x v="3"/>
    <n v="115.66"/>
    <n v="9"/>
    <n v="212.01"/>
    <x v="41"/>
    <x v="1"/>
    <x v="2"/>
    <x v="0"/>
    <n v="96.35"/>
    <n v="116.81"/>
  </r>
  <r>
    <s v="2025-04-04"/>
    <x v="2"/>
    <x v="0"/>
    <x v="160"/>
    <n v="35.42"/>
    <n v="1"/>
    <n v="279.99"/>
    <x v="84"/>
    <x v="1"/>
    <x v="2"/>
    <x v="0"/>
    <n v="244.57"/>
    <n v="100"/>
  </r>
  <r>
    <s v="2025-03-05"/>
    <x v="1"/>
    <x v="1"/>
    <x v="161"/>
    <n v="126.28"/>
    <n v="4"/>
    <n v="431.3"/>
    <x v="121"/>
    <x v="1"/>
    <x v="4"/>
    <x v="0"/>
    <n v="305.02"/>
    <n v="133.79"/>
  </r>
  <r>
    <s v="2025-03-18"/>
    <x v="1"/>
    <x v="3"/>
    <x v="78"/>
    <n v="69.8"/>
    <n v="1"/>
    <n v="184.64"/>
    <x v="122"/>
    <x v="1"/>
    <x v="3"/>
    <x v="0"/>
    <n v="114.83999999999999"/>
    <n v="173.43"/>
  </r>
  <r>
    <s v="2025-02-07"/>
    <x v="5"/>
    <x v="3"/>
    <x v="162"/>
    <n v="37.74"/>
    <n v="3"/>
    <n v="284.52"/>
    <x v="105"/>
    <x v="2"/>
    <x v="4"/>
    <x v="0"/>
    <n v="246.77999999999997"/>
    <n v="117.2"/>
  </r>
  <r>
    <s v="2024-12-11"/>
    <x v="3"/>
    <x v="0"/>
    <x v="163"/>
    <n v="11.6"/>
    <n v="3"/>
    <n v="153.41999999999999"/>
    <x v="123"/>
    <x v="0"/>
    <x v="2"/>
    <x v="0"/>
    <n v="141.82"/>
    <n v="164.03"/>
  </r>
  <r>
    <s v="2025-01-01"/>
    <x v="0"/>
    <x v="1"/>
    <x v="164"/>
    <n v="87.63"/>
    <n v="0"/>
    <n v="394.35"/>
    <x v="41"/>
    <x v="1"/>
    <x v="4"/>
    <x v="1"/>
    <n v="306.72000000000003"/>
    <n v="124.16"/>
  </r>
  <r>
    <s v="2025-03-22"/>
    <x v="1"/>
    <x v="2"/>
    <x v="165"/>
    <n v="75.010000000000005"/>
    <n v="0"/>
    <n v="99.05"/>
    <x v="40"/>
    <x v="0"/>
    <x v="5"/>
    <x v="1"/>
    <n v="24.039999999999992"/>
    <n v="120.65"/>
  </r>
  <r>
    <s v="2025-03-13"/>
    <x v="1"/>
    <x v="0"/>
    <x v="166"/>
    <n v="79.849999999999994"/>
    <n v="1"/>
    <n v="368.3"/>
    <x v="124"/>
    <x v="0"/>
    <x v="2"/>
    <x v="0"/>
    <n v="288.45000000000005"/>
    <n v="124.37"/>
  </r>
  <r>
    <s v="2025-04-27"/>
    <x v="2"/>
    <x v="3"/>
    <x v="167"/>
    <n v="116.48"/>
    <n v="7"/>
    <n v="87.81"/>
    <x v="74"/>
    <x v="1"/>
    <x v="2"/>
    <x v="0"/>
    <n v="-28.67"/>
    <n v="128.66"/>
  </r>
  <r>
    <s v="2025-04-08"/>
    <x v="2"/>
    <x v="0"/>
    <x v="168"/>
    <n v="11.37"/>
    <n v="2"/>
    <n v="377.83"/>
    <x v="125"/>
    <x v="0"/>
    <x v="3"/>
    <x v="0"/>
    <n v="366.46"/>
    <n v="106.34"/>
  </r>
  <r>
    <s v="2025-04-08"/>
    <x v="2"/>
    <x v="0"/>
    <x v="169"/>
    <n v="102.27"/>
    <n v="3"/>
    <n v="244.56"/>
    <x v="36"/>
    <x v="0"/>
    <x v="1"/>
    <x v="0"/>
    <n v="142.29000000000002"/>
    <n v="135.81"/>
  </r>
  <r>
    <s v="2025-04-18"/>
    <x v="2"/>
    <x v="2"/>
    <x v="170"/>
    <n v="33.76"/>
    <n v="3"/>
    <n v="139.01"/>
    <x v="51"/>
    <x v="0"/>
    <x v="4"/>
    <x v="0"/>
    <n v="105.25"/>
    <n v="147.77000000000001"/>
  </r>
  <r>
    <s v="2024-12-13"/>
    <x v="3"/>
    <x v="3"/>
    <x v="171"/>
    <n v="139.83000000000001"/>
    <n v="1"/>
    <n v="269.48"/>
    <x v="54"/>
    <x v="1"/>
    <x v="2"/>
    <x v="0"/>
    <n v="129.65"/>
    <n v="132.88"/>
  </r>
  <r>
    <s v="2024-11-21"/>
    <x v="4"/>
    <x v="0"/>
    <x v="172"/>
    <n v="60.23"/>
    <n v="9"/>
    <n v="96.79"/>
    <x v="102"/>
    <x v="1"/>
    <x v="3"/>
    <x v="0"/>
    <n v="36.560000000000009"/>
    <n v="124.66"/>
  </r>
  <r>
    <s v="2025-04-27"/>
    <x v="2"/>
    <x v="3"/>
    <x v="173"/>
    <n v="33.200000000000003"/>
    <n v="5"/>
    <n v="466.71"/>
    <x v="126"/>
    <x v="1"/>
    <x v="0"/>
    <x v="0"/>
    <n v="433.51"/>
    <n v="164.62"/>
  </r>
  <r>
    <s v="2024-12-22"/>
    <x v="3"/>
    <x v="1"/>
    <x v="114"/>
    <n v="112.66"/>
    <n v="10"/>
    <n v="450.83"/>
    <x v="127"/>
    <x v="1"/>
    <x v="2"/>
    <x v="0"/>
    <n v="338.16999999999996"/>
    <n v="191.5"/>
  </r>
  <r>
    <s v="2025-03-02"/>
    <x v="1"/>
    <x v="2"/>
    <x v="174"/>
    <n v="81.87"/>
    <n v="9"/>
    <n v="370.63"/>
    <x v="128"/>
    <x v="2"/>
    <x v="2"/>
    <x v="0"/>
    <n v="288.76"/>
    <n v="141.38999999999999"/>
  </r>
  <r>
    <s v="2024-11-10"/>
    <x v="4"/>
    <x v="2"/>
    <x v="175"/>
    <n v="81.05"/>
    <n v="6"/>
    <n v="450.01"/>
    <x v="112"/>
    <x v="0"/>
    <x v="5"/>
    <x v="0"/>
    <n v="368.96"/>
    <n v="147.13999999999999"/>
  </r>
  <r>
    <s v="2025-02-06"/>
    <x v="5"/>
    <x v="0"/>
    <x v="176"/>
    <n v="100.54"/>
    <n v="0"/>
    <n v="111.23"/>
    <x v="121"/>
    <x v="2"/>
    <x v="2"/>
    <x v="1"/>
    <n v="10.689999999999998"/>
    <n v="137.91"/>
  </r>
  <r>
    <s v="2025-03-25"/>
    <x v="1"/>
    <x v="1"/>
    <x v="177"/>
    <n v="65.069999999999993"/>
    <n v="8"/>
    <n v="98.98"/>
    <x v="74"/>
    <x v="1"/>
    <x v="3"/>
    <x v="0"/>
    <n v="33.910000000000011"/>
    <n v="135.21"/>
  </r>
  <r>
    <s v="2025-01-20"/>
    <x v="0"/>
    <x v="0"/>
    <x v="178"/>
    <n v="53.74"/>
    <n v="2"/>
    <n v="97.54"/>
    <x v="10"/>
    <x v="2"/>
    <x v="3"/>
    <x v="0"/>
    <n v="43.800000000000004"/>
    <n v="134.44"/>
  </r>
  <r>
    <s v="2025-04-17"/>
    <x v="2"/>
    <x v="3"/>
    <x v="179"/>
    <n v="32.26"/>
    <n v="2"/>
    <n v="440.02"/>
    <x v="129"/>
    <x v="2"/>
    <x v="0"/>
    <x v="0"/>
    <n v="407.76"/>
    <n v="143.47999999999999"/>
  </r>
  <r>
    <s v="2025-02-03"/>
    <x v="5"/>
    <x v="0"/>
    <x v="180"/>
    <n v="18.600000000000001"/>
    <n v="7"/>
    <n v="212.75"/>
    <x v="97"/>
    <x v="1"/>
    <x v="2"/>
    <x v="0"/>
    <n v="194.15"/>
    <n v="128.21"/>
  </r>
  <r>
    <s v="2025-04-17"/>
    <x v="2"/>
    <x v="1"/>
    <x v="26"/>
    <n v="71.48"/>
    <n v="5"/>
    <n v="65.42"/>
    <x v="60"/>
    <x v="1"/>
    <x v="1"/>
    <x v="0"/>
    <n v="-6.0600000000000023"/>
    <n v="123.69"/>
  </r>
  <r>
    <s v="2025-04-13"/>
    <x v="2"/>
    <x v="1"/>
    <x v="181"/>
    <n v="29.54"/>
    <n v="10"/>
    <n v="45.41"/>
    <x v="130"/>
    <x v="2"/>
    <x v="2"/>
    <x v="0"/>
    <n v="15.869999999999997"/>
    <n v="143.75"/>
  </r>
  <r>
    <s v="2025-03-16"/>
    <x v="1"/>
    <x v="2"/>
    <x v="182"/>
    <n v="54.04"/>
    <n v="10"/>
    <n v="307.23"/>
    <x v="58"/>
    <x v="1"/>
    <x v="0"/>
    <x v="0"/>
    <n v="253.19000000000003"/>
    <n v="151.75"/>
  </r>
  <r>
    <s v="2025-03-19"/>
    <x v="1"/>
    <x v="0"/>
    <x v="183"/>
    <n v="12.08"/>
    <n v="3"/>
    <n v="295.43"/>
    <x v="131"/>
    <x v="2"/>
    <x v="2"/>
    <x v="0"/>
    <n v="283.35000000000002"/>
    <n v="159.06"/>
  </r>
  <r>
    <s v="2025-02-28"/>
    <x v="5"/>
    <x v="0"/>
    <x v="184"/>
    <n v="61.1"/>
    <n v="1"/>
    <n v="409.87"/>
    <x v="132"/>
    <x v="2"/>
    <x v="3"/>
    <x v="0"/>
    <n v="348.77"/>
    <n v="145.09"/>
  </r>
  <r>
    <s v="2025-03-19"/>
    <x v="1"/>
    <x v="2"/>
    <x v="185"/>
    <n v="32.65"/>
    <n v="7"/>
    <n v="419"/>
    <x v="27"/>
    <x v="2"/>
    <x v="2"/>
    <x v="0"/>
    <n v="386.35"/>
    <n v="112.48"/>
  </r>
  <r>
    <s v="2025-04-15"/>
    <x v="2"/>
    <x v="0"/>
    <x v="61"/>
    <n v="5.15"/>
    <n v="6"/>
    <n v="400.52"/>
    <x v="133"/>
    <x v="1"/>
    <x v="2"/>
    <x v="0"/>
    <n v="395.37"/>
    <n v="112.67"/>
  </r>
  <r>
    <s v="2024-12-24"/>
    <x v="3"/>
    <x v="0"/>
    <x v="186"/>
    <n v="148.66999999999999"/>
    <n v="10"/>
    <n v="260.33999999999997"/>
    <x v="134"/>
    <x v="0"/>
    <x v="1"/>
    <x v="0"/>
    <n v="111.66999999999999"/>
    <n v="124.15"/>
  </r>
  <r>
    <s v="2025-04-14"/>
    <x v="2"/>
    <x v="2"/>
    <x v="187"/>
    <n v="119.64"/>
    <n v="7"/>
    <n v="339.11"/>
    <x v="135"/>
    <x v="1"/>
    <x v="2"/>
    <x v="0"/>
    <n v="219.47000000000003"/>
    <n v="117.76"/>
  </r>
  <r>
    <s v="2025-03-03"/>
    <x v="1"/>
    <x v="1"/>
    <x v="188"/>
    <n v="138.13"/>
    <n v="1"/>
    <n v="386.23"/>
    <x v="136"/>
    <x v="0"/>
    <x v="1"/>
    <x v="0"/>
    <n v="248.10000000000002"/>
    <n v="140.46"/>
  </r>
  <r>
    <s v="2024-11-15"/>
    <x v="4"/>
    <x v="2"/>
    <x v="48"/>
    <n v="139.65"/>
    <n v="9"/>
    <n v="87.37"/>
    <x v="18"/>
    <x v="0"/>
    <x v="5"/>
    <x v="0"/>
    <n v="-52.28"/>
    <n v="108.49"/>
  </r>
  <r>
    <s v="2025-03-14"/>
    <x v="1"/>
    <x v="0"/>
    <x v="189"/>
    <n v="49.01"/>
    <n v="10"/>
    <n v="21.52"/>
    <x v="105"/>
    <x v="0"/>
    <x v="1"/>
    <x v="0"/>
    <n v="-27.49"/>
    <n v="114.5"/>
  </r>
  <r>
    <s v="2025-04-26"/>
    <x v="2"/>
    <x v="0"/>
    <x v="190"/>
    <n v="31.84"/>
    <n v="2"/>
    <n v="460.57"/>
    <x v="137"/>
    <x v="1"/>
    <x v="3"/>
    <x v="0"/>
    <n v="428.73"/>
    <n v="122.43"/>
  </r>
  <r>
    <s v="2025-02-05"/>
    <x v="5"/>
    <x v="0"/>
    <x v="191"/>
    <n v="10.46"/>
    <n v="7"/>
    <n v="477.61"/>
    <x v="78"/>
    <x v="2"/>
    <x v="2"/>
    <x v="0"/>
    <n v="467.15000000000003"/>
    <n v="170.02"/>
  </r>
  <r>
    <s v="2025-04-29"/>
    <x v="2"/>
    <x v="2"/>
    <x v="192"/>
    <n v="98.45"/>
    <n v="7"/>
    <n v="247.79"/>
    <x v="16"/>
    <x v="1"/>
    <x v="4"/>
    <x v="0"/>
    <n v="149.33999999999997"/>
    <n v="150.77000000000001"/>
  </r>
  <r>
    <s v="2024-12-20"/>
    <x v="3"/>
    <x v="2"/>
    <x v="193"/>
    <n v="10.41"/>
    <n v="8"/>
    <n v="376.2"/>
    <x v="3"/>
    <x v="0"/>
    <x v="1"/>
    <x v="0"/>
    <n v="365.78999999999996"/>
    <n v="135.61000000000001"/>
  </r>
  <r>
    <s v="2024-11-29"/>
    <x v="4"/>
    <x v="1"/>
    <x v="194"/>
    <n v="42.8"/>
    <n v="8"/>
    <n v="64.97"/>
    <x v="138"/>
    <x v="2"/>
    <x v="2"/>
    <x v="0"/>
    <n v="22.17"/>
    <n v="98.96"/>
  </r>
  <r>
    <s v="2024-12-03"/>
    <x v="3"/>
    <x v="2"/>
    <x v="32"/>
    <n v="20.170000000000002"/>
    <n v="7"/>
    <n v="22.84"/>
    <x v="0"/>
    <x v="1"/>
    <x v="3"/>
    <x v="0"/>
    <n v="2.6699999999999982"/>
    <n v="122.17"/>
  </r>
  <r>
    <s v="2025-01-28"/>
    <x v="0"/>
    <x v="3"/>
    <x v="94"/>
    <n v="9.94"/>
    <n v="3"/>
    <n v="41.37"/>
    <x v="139"/>
    <x v="0"/>
    <x v="3"/>
    <x v="0"/>
    <n v="31.43"/>
    <n v="148.15"/>
  </r>
  <r>
    <s v="2025-02-05"/>
    <x v="5"/>
    <x v="2"/>
    <x v="195"/>
    <n v="78.73"/>
    <n v="2"/>
    <n v="381.25"/>
    <x v="140"/>
    <x v="0"/>
    <x v="2"/>
    <x v="0"/>
    <n v="302.52"/>
    <n v="130.6"/>
  </r>
  <r>
    <s v="2025-04-15"/>
    <x v="2"/>
    <x v="2"/>
    <x v="196"/>
    <n v="50.77"/>
    <n v="2"/>
    <n v="216.82"/>
    <x v="141"/>
    <x v="0"/>
    <x v="4"/>
    <x v="0"/>
    <n v="166.04999999999998"/>
    <n v="92.84"/>
  </r>
  <r>
    <s v="2025-02-12"/>
    <x v="5"/>
    <x v="2"/>
    <x v="197"/>
    <n v="51.48"/>
    <n v="10"/>
    <n v="307.92"/>
    <x v="68"/>
    <x v="1"/>
    <x v="0"/>
    <x v="0"/>
    <n v="256.44"/>
    <n v="114.15"/>
  </r>
  <r>
    <s v="2024-11-05"/>
    <x v="4"/>
    <x v="0"/>
    <x v="198"/>
    <n v="61.77"/>
    <n v="7"/>
    <n v="316.54000000000002"/>
    <x v="130"/>
    <x v="2"/>
    <x v="1"/>
    <x v="0"/>
    <n v="254.77"/>
    <n v="139.38999999999999"/>
  </r>
  <r>
    <s v="2025-01-19"/>
    <x v="0"/>
    <x v="0"/>
    <x v="199"/>
    <n v="95.16"/>
    <n v="5"/>
    <n v="74.28"/>
    <x v="142"/>
    <x v="2"/>
    <x v="4"/>
    <x v="0"/>
    <n v="-20.879999999999995"/>
    <n v="98.93"/>
  </r>
  <r>
    <s v="2025-04-19"/>
    <x v="2"/>
    <x v="0"/>
    <x v="200"/>
    <n v="110.29"/>
    <n v="9"/>
    <n v="449.99"/>
    <x v="143"/>
    <x v="1"/>
    <x v="2"/>
    <x v="0"/>
    <n v="339.7"/>
    <n v="150.13"/>
  </r>
  <r>
    <s v="2024-12-23"/>
    <x v="3"/>
    <x v="2"/>
    <x v="2"/>
    <n v="8.18"/>
    <n v="10"/>
    <n v="63.91"/>
    <x v="130"/>
    <x v="0"/>
    <x v="1"/>
    <x v="0"/>
    <n v="55.73"/>
    <n v="143.13"/>
  </r>
  <r>
    <s v="2024-12-29"/>
    <x v="3"/>
    <x v="2"/>
    <x v="201"/>
    <n v="114.98"/>
    <n v="5"/>
    <n v="90.59"/>
    <x v="3"/>
    <x v="1"/>
    <x v="2"/>
    <x v="0"/>
    <n v="-24.39"/>
    <n v="136.30000000000001"/>
  </r>
  <r>
    <s v="2024-12-14"/>
    <x v="3"/>
    <x v="1"/>
    <x v="202"/>
    <n v="55.58"/>
    <n v="5"/>
    <n v="404.85"/>
    <x v="144"/>
    <x v="0"/>
    <x v="1"/>
    <x v="0"/>
    <n v="349.27000000000004"/>
    <n v="152.30000000000001"/>
  </r>
  <r>
    <s v="2025-04-26"/>
    <x v="2"/>
    <x v="1"/>
    <x v="203"/>
    <n v="127.73"/>
    <n v="9"/>
    <n v="473.31"/>
    <x v="145"/>
    <x v="0"/>
    <x v="5"/>
    <x v="0"/>
    <n v="345.58"/>
    <n v="212.05"/>
  </r>
  <r>
    <s v="2025-04-08"/>
    <x v="2"/>
    <x v="3"/>
    <x v="204"/>
    <n v="24.62"/>
    <n v="3"/>
    <n v="361.91"/>
    <x v="146"/>
    <x v="0"/>
    <x v="1"/>
    <x v="0"/>
    <n v="337.29"/>
    <n v="150.11000000000001"/>
  </r>
  <r>
    <s v="2024-12-16"/>
    <x v="3"/>
    <x v="1"/>
    <x v="205"/>
    <n v="119.07"/>
    <n v="10"/>
    <n v="82.85"/>
    <x v="134"/>
    <x v="2"/>
    <x v="0"/>
    <x v="0"/>
    <n v="-36.22"/>
    <n v="121.17"/>
  </r>
  <r>
    <s v="2025-04-13"/>
    <x v="2"/>
    <x v="0"/>
    <x v="206"/>
    <n v="141.38"/>
    <n v="1"/>
    <n v="285.87"/>
    <x v="47"/>
    <x v="2"/>
    <x v="1"/>
    <x v="0"/>
    <n v="144.49"/>
    <n v="141.86000000000001"/>
  </r>
  <r>
    <s v="2025-01-16"/>
    <x v="0"/>
    <x v="0"/>
    <x v="207"/>
    <n v="9.2899999999999991"/>
    <n v="1"/>
    <n v="316.56"/>
    <x v="147"/>
    <x v="2"/>
    <x v="5"/>
    <x v="0"/>
    <n v="307.27"/>
    <n v="188.12"/>
  </r>
  <r>
    <s v="2025-03-26"/>
    <x v="1"/>
    <x v="2"/>
    <x v="208"/>
    <n v="73.459999999999994"/>
    <n v="8"/>
    <n v="147.27000000000001"/>
    <x v="105"/>
    <x v="0"/>
    <x v="1"/>
    <x v="0"/>
    <n v="73.810000000000016"/>
    <n v="117.48"/>
  </r>
  <r>
    <s v="2025-02-19"/>
    <x v="5"/>
    <x v="3"/>
    <x v="209"/>
    <n v="56.08"/>
    <n v="3"/>
    <n v="304.73"/>
    <x v="105"/>
    <x v="2"/>
    <x v="3"/>
    <x v="0"/>
    <n v="248.65000000000003"/>
    <n v="113.52"/>
  </r>
  <r>
    <s v="2025-03-14"/>
    <x v="1"/>
    <x v="3"/>
    <x v="210"/>
    <n v="7.07"/>
    <n v="10"/>
    <n v="292.92"/>
    <x v="0"/>
    <x v="2"/>
    <x v="3"/>
    <x v="0"/>
    <n v="285.85000000000002"/>
    <n v="112.04"/>
  </r>
  <r>
    <s v="2025-04-22"/>
    <x v="2"/>
    <x v="0"/>
    <x v="40"/>
    <n v="146.62"/>
    <n v="4"/>
    <n v="280.66000000000003"/>
    <x v="148"/>
    <x v="0"/>
    <x v="2"/>
    <x v="0"/>
    <n v="134.04000000000002"/>
    <n v="135.28"/>
  </r>
  <r>
    <s v="2025-03-14"/>
    <x v="1"/>
    <x v="3"/>
    <x v="211"/>
    <n v="44.98"/>
    <n v="2"/>
    <n v="424.1"/>
    <x v="8"/>
    <x v="0"/>
    <x v="2"/>
    <x v="0"/>
    <n v="379.12"/>
    <n v="128.97"/>
  </r>
  <r>
    <s v="2025-01-29"/>
    <x v="0"/>
    <x v="3"/>
    <x v="212"/>
    <n v="107.4"/>
    <n v="6"/>
    <n v="393.44"/>
    <x v="149"/>
    <x v="0"/>
    <x v="2"/>
    <x v="0"/>
    <n v="286.03999999999996"/>
    <n v="178.19"/>
  </r>
  <r>
    <s v="2025-01-21"/>
    <x v="0"/>
    <x v="0"/>
    <x v="213"/>
    <n v="90"/>
    <n v="3"/>
    <n v="195.18"/>
    <x v="47"/>
    <x v="0"/>
    <x v="0"/>
    <x v="0"/>
    <n v="105.18"/>
    <n v="134.61000000000001"/>
  </r>
  <r>
    <s v="2024-12-28"/>
    <x v="3"/>
    <x v="1"/>
    <x v="214"/>
    <n v="92.06"/>
    <n v="1"/>
    <n v="226.1"/>
    <x v="143"/>
    <x v="0"/>
    <x v="4"/>
    <x v="0"/>
    <n v="134.04"/>
    <n v="146.44"/>
  </r>
  <r>
    <s v="2025-01-04"/>
    <x v="0"/>
    <x v="3"/>
    <x v="215"/>
    <n v="56.45"/>
    <n v="8"/>
    <n v="485.02"/>
    <x v="139"/>
    <x v="0"/>
    <x v="2"/>
    <x v="0"/>
    <n v="428.57"/>
    <n v="138.49"/>
  </r>
  <r>
    <s v="2024-11-06"/>
    <x v="4"/>
    <x v="3"/>
    <x v="124"/>
    <n v="55.34"/>
    <n v="8"/>
    <n v="270.92"/>
    <x v="150"/>
    <x v="1"/>
    <x v="1"/>
    <x v="0"/>
    <n v="215.58"/>
    <n v="140.35"/>
  </r>
  <r>
    <s v="2025-02-26"/>
    <x v="5"/>
    <x v="1"/>
    <x v="216"/>
    <n v="136.55000000000001"/>
    <n v="4"/>
    <n v="215.75"/>
    <x v="114"/>
    <x v="2"/>
    <x v="2"/>
    <x v="0"/>
    <n v="79.199999999999989"/>
    <n v="135.47"/>
  </r>
  <r>
    <s v="2025-01-07"/>
    <x v="0"/>
    <x v="2"/>
    <x v="217"/>
    <n v="37.67"/>
    <n v="3"/>
    <n v="47.7"/>
    <x v="74"/>
    <x v="1"/>
    <x v="2"/>
    <x v="0"/>
    <n v="10.030000000000001"/>
    <n v="132.12"/>
  </r>
  <r>
    <s v="2025-02-24"/>
    <x v="5"/>
    <x v="1"/>
    <x v="179"/>
    <n v="37.369999999999997"/>
    <n v="5"/>
    <n v="214.75"/>
    <x v="142"/>
    <x v="1"/>
    <x v="3"/>
    <x v="0"/>
    <n v="177.38"/>
    <n v="99.72"/>
  </r>
  <r>
    <s v="2024-11-14"/>
    <x v="4"/>
    <x v="3"/>
    <x v="218"/>
    <n v="95.41"/>
    <n v="4"/>
    <n v="116.07"/>
    <x v="96"/>
    <x v="2"/>
    <x v="5"/>
    <x v="0"/>
    <n v="20.659999999999997"/>
    <n v="79.09"/>
  </r>
  <r>
    <s v="2025-04-14"/>
    <x v="2"/>
    <x v="2"/>
    <x v="219"/>
    <n v="78.849999999999994"/>
    <n v="4"/>
    <n v="218.47"/>
    <x v="151"/>
    <x v="0"/>
    <x v="1"/>
    <x v="0"/>
    <n v="139.62"/>
    <n v="119.79"/>
  </r>
  <r>
    <s v="2025-02-19"/>
    <x v="5"/>
    <x v="3"/>
    <x v="220"/>
    <n v="88.36"/>
    <n v="4"/>
    <n v="195.58"/>
    <x v="6"/>
    <x v="0"/>
    <x v="2"/>
    <x v="0"/>
    <n v="107.22000000000001"/>
    <n v="120.73"/>
  </r>
  <r>
    <s v="2024-12-15"/>
    <x v="3"/>
    <x v="1"/>
    <x v="221"/>
    <n v="143.46"/>
    <n v="6"/>
    <n v="360.26"/>
    <x v="134"/>
    <x v="2"/>
    <x v="2"/>
    <x v="0"/>
    <n v="216.79999999999998"/>
    <n v="125.19"/>
  </r>
  <r>
    <s v="2024-10-30"/>
    <x v="6"/>
    <x v="0"/>
    <x v="222"/>
    <n v="38.24"/>
    <n v="0"/>
    <n v="54.84"/>
    <x v="150"/>
    <x v="2"/>
    <x v="2"/>
    <x v="1"/>
    <n v="16.600000000000001"/>
    <n v="148.13"/>
  </r>
  <r>
    <s v="2024-12-25"/>
    <x v="3"/>
    <x v="2"/>
    <x v="223"/>
    <n v="66.290000000000006"/>
    <n v="6"/>
    <n v="280.18"/>
    <x v="152"/>
    <x v="1"/>
    <x v="1"/>
    <x v="0"/>
    <n v="213.89"/>
    <n v="102.84"/>
  </r>
  <r>
    <s v="2024-12-16"/>
    <x v="3"/>
    <x v="2"/>
    <x v="224"/>
    <n v="77.23"/>
    <n v="9"/>
    <n v="274.36"/>
    <x v="87"/>
    <x v="2"/>
    <x v="4"/>
    <x v="0"/>
    <n v="197.13"/>
    <n v="150.69999999999999"/>
  </r>
  <r>
    <s v="2025-01-19"/>
    <x v="0"/>
    <x v="3"/>
    <x v="225"/>
    <n v="32.909999999999997"/>
    <n v="10"/>
    <n v="498.06"/>
    <x v="21"/>
    <x v="0"/>
    <x v="5"/>
    <x v="0"/>
    <n v="465.15"/>
    <n v="133.83000000000001"/>
  </r>
  <r>
    <s v="2025-04-07"/>
    <x v="2"/>
    <x v="0"/>
    <x v="226"/>
    <n v="109.37"/>
    <n v="2"/>
    <n v="179.96"/>
    <x v="66"/>
    <x v="2"/>
    <x v="1"/>
    <x v="0"/>
    <n v="70.59"/>
    <n v="122.04"/>
  </r>
  <r>
    <s v="2024-10-30"/>
    <x v="6"/>
    <x v="2"/>
    <x v="227"/>
    <n v="112.6"/>
    <n v="3"/>
    <n v="105.26"/>
    <x v="62"/>
    <x v="1"/>
    <x v="2"/>
    <x v="0"/>
    <n v="-7.3399999999999892"/>
    <n v="131"/>
  </r>
  <r>
    <s v="2024-12-22"/>
    <x v="3"/>
    <x v="1"/>
    <x v="228"/>
    <n v="120.06"/>
    <n v="5"/>
    <n v="226.29"/>
    <x v="17"/>
    <x v="1"/>
    <x v="1"/>
    <x v="0"/>
    <n v="106.22999999999999"/>
    <n v="133.09"/>
  </r>
  <r>
    <s v="2024-12-09"/>
    <x v="3"/>
    <x v="1"/>
    <x v="49"/>
    <n v="133.32"/>
    <n v="0"/>
    <n v="337.91"/>
    <x v="9"/>
    <x v="2"/>
    <x v="1"/>
    <x v="1"/>
    <n v="204.59000000000003"/>
    <n v="118.4"/>
  </r>
  <r>
    <s v="2025-02-17"/>
    <x v="5"/>
    <x v="3"/>
    <x v="229"/>
    <n v="25.87"/>
    <n v="5"/>
    <n v="403.4"/>
    <x v="2"/>
    <x v="2"/>
    <x v="2"/>
    <x v="0"/>
    <n v="377.53"/>
    <n v="147.63"/>
  </r>
  <r>
    <s v="2024-10-31"/>
    <x v="6"/>
    <x v="2"/>
    <x v="230"/>
    <n v="132.07"/>
    <n v="5"/>
    <n v="208.59"/>
    <x v="153"/>
    <x v="0"/>
    <x v="4"/>
    <x v="0"/>
    <n v="76.52000000000001"/>
    <n v="104.85"/>
  </r>
  <r>
    <s v="2024-12-17"/>
    <x v="3"/>
    <x v="3"/>
    <x v="231"/>
    <n v="97.3"/>
    <n v="7"/>
    <n v="192.54"/>
    <x v="154"/>
    <x v="2"/>
    <x v="3"/>
    <x v="0"/>
    <n v="95.24"/>
    <n v="140.83000000000001"/>
  </r>
  <r>
    <s v="2025-01-06"/>
    <x v="0"/>
    <x v="2"/>
    <x v="227"/>
    <n v="61.34"/>
    <n v="2"/>
    <n v="208.02"/>
    <x v="112"/>
    <x v="1"/>
    <x v="4"/>
    <x v="0"/>
    <n v="146.68"/>
    <n v="144.59"/>
  </r>
  <r>
    <s v="2024-11-18"/>
    <x v="4"/>
    <x v="1"/>
    <x v="232"/>
    <n v="53.17"/>
    <n v="4"/>
    <n v="480.81"/>
    <x v="43"/>
    <x v="2"/>
    <x v="2"/>
    <x v="0"/>
    <n v="427.64"/>
    <n v="130.29"/>
  </r>
  <r>
    <s v="2025-04-15"/>
    <x v="2"/>
    <x v="1"/>
    <x v="233"/>
    <n v="75.489999999999995"/>
    <n v="5"/>
    <n v="486.17"/>
    <x v="106"/>
    <x v="2"/>
    <x v="2"/>
    <x v="0"/>
    <n v="410.68"/>
    <n v="119.17"/>
  </r>
  <r>
    <s v="2024-12-07"/>
    <x v="3"/>
    <x v="3"/>
    <x v="234"/>
    <n v="9.1999999999999993"/>
    <n v="4"/>
    <n v="482.11"/>
    <x v="155"/>
    <x v="1"/>
    <x v="2"/>
    <x v="0"/>
    <n v="472.91"/>
    <n v="149.43"/>
  </r>
  <r>
    <s v="2024-11-18"/>
    <x v="4"/>
    <x v="1"/>
    <x v="235"/>
    <n v="38.72"/>
    <n v="4"/>
    <n v="117.98"/>
    <x v="156"/>
    <x v="1"/>
    <x v="2"/>
    <x v="0"/>
    <n v="79.260000000000005"/>
    <n v="126.71"/>
  </r>
  <r>
    <s v="2025-02-15"/>
    <x v="5"/>
    <x v="3"/>
    <x v="236"/>
    <n v="130.16999999999999"/>
    <n v="3"/>
    <n v="463.5"/>
    <x v="12"/>
    <x v="2"/>
    <x v="2"/>
    <x v="0"/>
    <n v="333.33000000000004"/>
    <n v="124.06"/>
  </r>
  <r>
    <s v="2025-01-01"/>
    <x v="0"/>
    <x v="2"/>
    <x v="237"/>
    <n v="44.66"/>
    <n v="5"/>
    <n v="113.88"/>
    <x v="157"/>
    <x v="2"/>
    <x v="0"/>
    <x v="0"/>
    <n v="69.22"/>
    <n v="64.650000000000006"/>
  </r>
  <r>
    <s v="2025-02-04"/>
    <x v="5"/>
    <x v="0"/>
    <x v="238"/>
    <n v="52.93"/>
    <n v="6"/>
    <n v="133.49"/>
    <x v="3"/>
    <x v="0"/>
    <x v="3"/>
    <x v="0"/>
    <n v="80.56"/>
    <n v="132.97"/>
  </r>
  <r>
    <s v="2024-12-26"/>
    <x v="3"/>
    <x v="3"/>
    <x v="239"/>
    <n v="81.209999999999994"/>
    <n v="1"/>
    <n v="466"/>
    <x v="60"/>
    <x v="0"/>
    <x v="5"/>
    <x v="0"/>
    <n v="384.79"/>
    <n v="121.77"/>
  </r>
  <r>
    <s v="2025-01-24"/>
    <x v="0"/>
    <x v="1"/>
    <x v="240"/>
    <n v="105.67"/>
    <n v="4"/>
    <n v="325.39"/>
    <x v="11"/>
    <x v="1"/>
    <x v="1"/>
    <x v="0"/>
    <n v="219.71999999999997"/>
    <n v="135.88"/>
  </r>
  <r>
    <s v="2025-04-29"/>
    <x v="2"/>
    <x v="1"/>
    <x v="241"/>
    <n v="98.96"/>
    <n v="5"/>
    <n v="299.55"/>
    <x v="8"/>
    <x v="2"/>
    <x v="2"/>
    <x v="0"/>
    <n v="200.59000000000003"/>
    <n v="120.78"/>
  </r>
  <r>
    <s v="2024-12-30"/>
    <x v="3"/>
    <x v="3"/>
    <x v="225"/>
    <n v="110.24"/>
    <n v="1"/>
    <n v="256.35000000000002"/>
    <x v="158"/>
    <x v="2"/>
    <x v="4"/>
    <x v="0"/>
    <n v="146.11000000000001"/>
    <n v="118.43"/>
  </r>
  <r>
    <s v="2025-03-13"/>
    <x v="1"/>
    <x v="0"/>
    <x v="80"/>
    <n v="37.46"/>
    <n v="0"/>
    <n v="303.42"/>
    <x v="159"/>
    <x v="0"/>
    <x v="4"/>
    <x v="1"/>
    <n v="265.96000000000004"/>
    <n v="117.72"/>
  </r>
  <r>
    <s v="2025-03-15"/>
    <x v="1"/>
    <x v="2"/>
    <x v="242"/>
    <n v="18.489999999999998"/>
    <n v="3"/>
    <n v="436.91"/>
    <x v="160"/>
    <x v="0"/>
    <x v="2"/>
    <x v="0"/>
    <n v="418.42"/>
    <n v="120.37"/>
  </r>
  <r>
    <s v="2025-01-04"/>
    <x v="0"/>
    <x v="0"/>
    <x v="48"/>
    <n v="40.98"/>
    <n v="2"/>
    <n v="487.19"/>
    <x v="161"/>
    <x v="2"/>
    <x v="1"/>
    <x v="0"/>
    <n v="446.21"/>
    <n v="213.51"/>
  </r>
  <r>
    <s v="2025-01-10"/>
    <x v="0"/>
    <x v="0"/>
    <x v="143"/>
    <n v="49.65"/>
    <n v="1"/>
    <n v="265.49"/>
    <x v="24"/>
    <x v="2"/>
    <x v="0"/>
    <x v="0"/>
    <n v="215.84"/>
    <n v="115.23"/>
  </r>
  <r>
    <s v="2025-03-12"/>
    <x v="1"/>
    <x v="0"/>
    <x v="243"/>
    <n v="8.08"/>
    <n v="3"/>
    <n v="304.08"/>
    <x v="7"/>
    <x v="1"/>
    <x v="1"/>
    <x v="0"/>
    <n v="296"/>
    <n v="127.54"/>
  </r>
  <r>
    <s v="2024-11-14"/>
    <x v="4"/>
    <x v="0"/>
    <x v="244"/>
    <n v="80.77"/>
    <n v="3"/>
    <n v="311.45999999999998"/>
    <x v="10"/>
    <x v="1"/>
    <x v="5"/>
    <x v="0"/>
    <n v="230.69"/>
    <n v="137.22999999999999"/>
  </r>
  <r>
    <s v="2025-01-17"/>
    <x v="0"/>
    <x v="1"/>
    <x v="245"/>
    <n v="72.7"/>
    <n v="0"/>
    <n v="396.35"/>
    <x v="112"/>
    <x v="1"/>
    <x v="5"/>
    <x v="1"/>
    <n v="323.65000000000003"/>
    <n v="152.21"/>
  </r>
  <r>
    <s v="2025-03-23"/>
    <x v="1"/>
    <x v="2"/>
    <x v="246"/>
    <n v="132.1"/>
    <n v="6"/>
    <n v="109.69"/>
    <x v="162"/>
    <x v="0"/>
    <x v="5"/>
    <x v="0"/>
    <n v="-22.409999999999997"/>
    <n v="115.95"/>
  </r>
  <r>
    <s v="2025-04-27"/>
    <x v="2"/>
    <x v="1"/>
    <x v="247"/>
    <n v="108.44"/>
    <n v="8"/>
    <n v="304.72000000000003"/>
    <x v="4"/>
    <x v="2"/>
    <x v="1"/>
    <x v="0"/>
    <n v="196.28000000000003"/>
    <n v="125.42"/>
  </r>
  <r>
    <s v="2025-01-05"/>
    <x v="0"/>
    <x v="3"/>
    <x v="226"/>
    <n v="54.78"/>
    <n v="4"/>
    <n v="212.64"/>
    <x v="163"/>
    <x v="2"/>
    <x v="4"/>
    <x v="0"/>
    <n v="157.85999999999999"/>
    <n v="126.85"/>
  </r>
  <r>
    <s v="2025-02-26"/>
    <x v="5"/>
    <x v="1"/>
    <x v="248"/>
    <n v="129.72"/>
    <n v="3"/>
    <n v="278.64"/>
    <x v="3"/>
    <x v="1"/>
    <x v="3"/>
    <x v="0"/>
    <n v="148.91999999999999"/>
    <n v="136.87"/>
  </r>
  <r>
    <s v="2025-04-17"/>
    <x v="2"/>
    <x v="2"/>
    <x v="249"/>
    <n v="98.55"/>
    <n v="10"/>
    <n v="479.99"/>
    <x v="52"/>
    <x v="1"/>
    <x v="2"/>
    <x v="0"/>
    <n v="381.44"/>
    <n v="111.56"/>
  </r>
  <r>
    <s v="2025-01-17"/>
    <x v="0"/>
    <x v="3"/>
    <x v="250"/>
    <n v="116.76"/>
    <n v="1"/>
    <n v="272.08999999999997"/>
    <x v="18"/>
    <x v="0"/>
    <x v="2"/>
    <x v="0"/>
    <n v="155.32999999999998"/>
    <n v="117.65"/>
  </r>
  <r>
    <s v="2025-01-24"/>
    <x v="0"/>
    <x v="1"/>
    <x v="251"/>
    <n v="64.55"/>
    <n v="8"/>
    <n v="291.19"/>
    <x v="134"/>
    <x v="1"/>
    <x v="5"/>
    <x v="0"/>
    <n v="226.64"/>
    <n v="118.59"/>
  </r>
  <r>
    <s v="2025-01-14"/>
    <x v="0"/>
    <x v="1"/>
    <x v="252"/>
    <n v="145.38999999999999"/>
    <n v="0"/>
    <n v="250.33"/>
    <x v="164"/>
    <x v="2"/>
    <x v="2"/>
    <x v="1"/>
    <n v="104.94000000000003"/>
    <n v="113.37"/>
  </r>
  <r>
    <s v="2025-04-23"/>
    <x v="2"/>
    <x v="2"/>
    <x v="253"/>
    <n v="20.37"/>
    <n v="10"/>
    <n v="87.34"/>
    <x v="49"/>
    <x v="0"/>
    <x v="1"/>
    <x v="0"/>
    <n v="66.97"/>
    <n v="123.2"/>
  </r>
  <r>
    <s v="2024-10-30"/>
    <x v="6"/>
    <x v="0"/>
    <x v="254"/>
    <n v="106.67"/>
    <n v="1"/>
    <n v="475.21"/>
    <x v="40"/>
    <x v="0"/>
    <x v="1"/>
    <x v="0"/>
    <n v="368.53999999999996"/>
    <n v="124.34"/>
  </r>
  <r>
    <s v="2024-12-02"/>
    <x v="3"/>
    <x v="3"/>
    <x v="20"/>
    <n v="28.81"/>
    <n v="2"/>
    <n v="128.22"/>
    <x v="57"/>
    <x v="0"/>
    <x v="2"/>
    <x v="0"/>
    <n v="99.41"/>
    <n v="121.28"/>
  </r>
  <r>
    <s v="2025-03-21"/>
    <x v="1"/>
    <x v="2"/>
    <x v="255"/>
    <n v="75.91"/>
    <n v="3"/>
    <n v="358.03"/>
    <x v="165"/>
    <x v="1"/>
    <x v="1"/>
    <x v="0"/>
    <n v="282.12"/>
    <n v="161.13"/>
  </r>
  <r>
    <s v="2025-01-12"/>
    <x v="0"/>
    <x v="3"/>
    <x v="256"/>
    <n v="36.94"/>
    <n v="3"/>
    <n v="175.4"/>
    <x v="92"/>
    <x v="1"/>
    <x v="2"/>
    <x v="0"/>
    <n v="138.46"/>
    <n v="130.69999999999999"/>
  </r>
  <r>
    <s v="2025-04-23"/>
    <x v="2"/>
    <x v="3"/>
    <x v="257"/>
    <n v="123.48"/>
    <n v="3"/>
    <n v="461.59"/>
    <x v="3"/>
    <x v="1"/>
    <x v="1"/>
    <x v="0"/>
    <n v="338.10999999999996"/>
    <n v="133.91999999999999"/>
  </r>
  <r>
    <s v="2025-03-01"/>
    <x v="1"/>
    <x v="2"/>
    <x v="258"/>
    <n v="78.63"/>
    <n v="8"/>
    <n v="123.71"/>
    <x v="166"/>
    <x v="0"/>
    <x v="1"/>
    <x v="0"/>
    <n v="45.08"/>
    <n v="120.93"/>
  </r>
  <r>
    <s v="2025-02-12"/>
    <x v="5"/>
    <x v="1"/>
    <x v="259"/>
    <n v="131.03"/>
    <n v="2"/>
    <n v="442.75"/>
    <x v="167"/>
    <x v="0"/>
    <x v="5"/>
    <x v="0"/>
    <n v="311.72000000000003"/>
    <n v="125.89"/>
  </r>
  <r>
    <s v="2025-02-26"/>
    <x v="5"/>
    <x v="3"/>
    <x v="203"/>
    <n v="89.63"/>
    <n v="3"/>
    <n v="169.55"/>
    <x v="168"/>
    <x v="0"/>
    <x v="4"/>
    <x v="0"/>
    <n v="79.920000000000016"/>
    <n v="96.5"/>
  </r>
  <r>
    <s v="2025-02-07"/>
    <x v="5"/>
    <x v="1"/>
    <x v="260"/>
    <n v="65.599999999999994"/>
    <n v="4"/>
    <n v="47.47"/>
    <x v="90"/>
    <x v="2"/>
    <x v="0"/>
    <x v="0"/>
    <n v="-18.129999999999995"/>
    <n v="145.80000000000001"/>
  </r>
  <r>
    <s v="2025-01-27"/>
    <x v="0"/>
    <x v="1"/>
    <x v="261"/>
    <n v="51.36"/>
    <n v="1"/>
    <n v="148.69999999999999"/>
    <x v="169"/>
    <x v="1"/>
    <x v="1"/>
    <x v="0"/>
    <n v="97.339999999999989"/>
    <n v="78.61"/>
  </r>
  <r>
    <s v="2025-01-07"/>
    <x v="0"/>
    <x v="1"/>
    <x v="115"/>
    <n v="8.3800000000000008"/>
    <n v="3"/>
    <n v="459.24"/>
    <x v="91"/>
    <x v="2"/>
    <x v="5"/>
    <x v="0"/>
    <n v="450.86"/>
    <n v="137"/>
  </r>
  <r>
    <s v="2025-01-04"/>
    <x v="0"/>
    <x v="2"/>
    <x v="262"/>
    <n v="5.62"/>
    <n v="2"/>
    <n v="305.64"/>
    <x v="170"/>
    <x v="1"/>
    <x v="1"/>
    <x v="0"/>
    <n v="300.02"/>
    <n v="131.82"/>
  </r>
  <r>
    <s v="2025-04-24"/>
    <x v="2"/>
    <x v="2"/>
    <x v="72"/>
    <n v="44.72"/>
    <n v="10"/>
    <n v="151.30000000000001"/>
    <x v="12"/>
    <x v="0"/>
    <x v="3"/>
    <x v="0"/>
    <n v="106.58000000000001"/>
    <n v="122.13"/>
  </r>
  <r>
    <s v="2025-03-19"/>
    <x v="1"/>
    <x v="0"/>
    <x v="263"/>
    <n v="149.79"/>
    <n v="8"/>
    <n v="199.32"/>
    <x v="171"/>
    <x v="0"/>
    <x v="2"/>
    <x v="0"/>
    <n v="49.53"/>
    <n v="124.74"/>
  </r>
  <r>
    <s v="2024-12-22"/>
    <x v="3"/>
    <x v="3"/>
    <x v="223"/>
    <n v="42.72"/>
    <n v="0"/>
    <n v="123.54"/>
    <x v="84"/>
    <x v="1"/>
    <x v="1"/>
    <x v="1"/>
    <n v="80.820000000000007"/>
    <n v="103.62"/>
  </r>
  <r>
    <s v="2025-03-16"/>
    <x v="1"/>
    <x v="1"/>
    <x v="178"/>
    <n v="66.77"/>
    <n v="7"/>
    <n v="266.87"/>
    <x v="172"/>
    <x v="0"/>
    <x v="2"/>
    <x v="0"/>
    <n v="200.10000000000002"/>
    <n v="171.94"/>
  </r>
  <r>
    <s v="2025-02-15"/>
    <x v="5"/>
    <x v="1"/>
    <x v="264"/>
    <n v="124.7"/>
    <n v="10"/>
    <n v="25.17"/>
    <x v="22"/>
    <x v="2"/>
    <x v="2"/>
    <x v="0"/>
    <n v="-99.53"/>
    <n v="93.34"/>
  </r>
  <r>
    <s v="2025-01-30"/>
    <x v="0"/>
    <x v="1"/>
    <x v="136"/>
    <n v="29.79"/>
    <n v="4"/>
    <n v="395.44"/>
    <x v="41"/>
    <x v="2"/>
    <x v="1"/>
    <x v="0"/>
    <n v="365.65"/>
    <n v="125.88"/>
  </r>
  <r>
    <s v="2024-11-27"/>
    <x v="4"/>
    <x v="0"/>
    <x v="265"/>
    <n v="112.98"/>
    <n v="6"/>
    <n v="415.17"/>
    <x v="173"/>
    <x v="0"/>
    <x v="5"/>
    <x v="0"/>
    <n v="302.19"/>
    <n v="169.41"/>
  </r>
  <r>
    <s v="2025-04-29"/>
    <x v="2"/>
    <x v="2"/>
    <x v="144"/>
    <n v="27.63"/>
    <n v="1"/>
    <n v="261.98"/>
    <x v="52"/>
    <x v="1"/>
    <x v="1"/>
    <x v="0"/>
    <n v="234.35000000000002"/>
    <n v="106.46"/>
  </r>
  <r>
    <s v="2025-03-24"/>
    <x v="1"/>
    <x v="0"/>
    <x v="266"/>
    <n v="55.09"/>
    <n v="6"/>
    <n v="29.57"/>
    <x v="174"/>
    <x v="1"/>
    <x v="2"/>
    <x v="0"/>
    <n v="-25.520000000000003"/>
    <n v="60.28"/>
  </r>
  <r>
    <s v="2025-02-26"/>
    <x v="5"/>
    <x v="3"/>
    <x v="141"/>
    <n v="58.27"/>
    <n v="2"/>
    <n v="220.57"/>
    <x v="175"/>
    <x v="2"/>
    <x v="4"/>
    <x v="0"/>
    <n v="162.29999999999998"/>
    <n v="106.13"/>
  </r>
  <r>
    <s v="2024-11-17"/>
    <x v="4"/>
    <x v="2"/>
    <x v="267"/>
    <n v="126.92"/>
    <n v="0"/>
    <n v="22.92"/>
    <x v="68"/>
    <x v="1"/>
    <x v="2"/>
    <x v="1"/>
    <n v="-104"/>
    <n v="116.33"/>
  </r>
  <r>
    <s v="2024-12-18"/>
    <x v="3"/>
    <x v="3"/>
    <x v="268"/>
    <n v="141.25"/>
    <n v="0"/>
    <n v="459.77"/>
    <x v="176"/>
    <x v="1"/>
    <x v="2"/>
    <x v="1"/>
    <n v="318.52"/>
    <n v="132.93"/>
  </r>
  <r>
    <s v="2025-01-11"/>
    <x v="0"/>
    <x v="1"/>
    <x v="269"/>
    <n v="113.03"/>
    <n v="6"/>
    <n v="417.7"/>
    <x v="177"/>
    <x v="1"/>
    <x v="0"/>
    <x v="0"/>
    <n v="304.66999999999996"/>
    <n v="192.04"/>
  </r>
  <r>
    <s v="2025-04-14"/>
    <x v="2"/>
    <x v="3"/>
    <x v="270"/>
    <n v="78.92"/>
    <n v="9"/>
    <n v="486.46"/>
    <x v="33"/>
    <x v="1"/>
    <x v="0"/>
    <x v="0"/>
    <n v="407.53999999999996"/>
    <n v="134.6"/>
  </r>
  <r>
    <s v="2025-02-28"/>
    <x v="5"/>
    <x v="0"/>
    <x v="216"/>
    <n v="142.34"/>
    <n v="10"/>
    <n v="219.44"/>
    <x v="9"/>
    <x v="0"/>
    <x v="2"/>
    <x v="0"/>
    <n v="77.099999999999994"/>
    <n v="124.43"/>
  </r>
  <r>
    <s v="2025-01-15"/>
    <x v="0"/>
    <x v="1"/>
    <x v="271"/>
    <n v="105.52"/>
    <n v="3"/>
    <n v="62.94"/>
    <x v="178"/>
    <x v="1"/>
    <x v="5"/>
    <x v="0"/>
    <n v="-42.58"/>
    <n v="113.81"/>
  </r>
  <r>
    <s v="2025-01-02"/>
    <x v="0"/>
    <x v="1"/>
    <x v="272"/>
    <n v="74.94"/>
    <n v="3"/>
    <n v="42.16"/>
    <x v="22"/>
    <x v="0"/>
    <x v="2"/>
    <x v="0"/>
    <n v="-32.78"/>
    <n v="89.05"/>
  </r>
  <r>
    <s v="2025-01-07"/>
    <x v="0"/>
    <x v="1"/>
    <x v="273"/>
    <n v="45.24"/>
    <n v="9"/>
    <n v="348.93"/>
    <x v="106"/>
    <x v="1"/>
    <x v="4"/>
    <x v="0"/>
    <n v="303.69"/>
    <n v="128.55000000000001"/>
  </r>
  <r>
    <s v="2025-03-04"/>
    <x v="1"/>
    <x v="1"/>
    <x v="44"/>
    <n v="15.15"/>
    <n v="2"/>
    <n v="483.96"/>
    <x v="60"/>
    <x v="1"/>
    <x v="1"/>
    <x v="0"/>
    <n v="468.81"/>
    <n v="118.41"/>
  </r>
  <r>
    <s v="2024-11-09"/>
    <x v="4"/>
    <x v="0"/>
    <x v="274"/>
    <n v="145.6"/>
    <n v="9"/>
    <n v="262.14999999999998"/>
    <x v="23"/>
    <x v="1"/>
    <x v="3"/>
    <x v="0"/>
    <n v="116.54999999999998"/>
    <n v="128.46"/>
  </r>
  <r>
    <s v="2024-12-29"/>
    <x v="3"/>
    <x v="3"/>
    <x v="275"/>
    <n v="147.91"/>
    <n v="8"/>
    <n v="293.83999999999997"/>
    <x v="60"/>
    <x v="1"/>
    <x v="4"/>
    <x v="0"/>
    <n v="145.92999999999998"/>
    <n v="116.55"/>
  </r>
  <r>
    <s v="2025-03-06"/>
    <x v="1"/>
    <x v="1"/>
    <x v="276"/>
    <n v="25.89"/>
    <n v="1"/>
    <n v="314.07"/>
    <x v="119"/>
    <x v="0"/>
    <x v="2"/>
    <x v="0"/>
    <n v="288.18"/>
    <n v="131.06"/>
  </r>
  <r>
    <s v="2025-01-11"/>
    <x v="0"/>
    <x v="2"/>
    <x v="277"/>
    <n v="143.47"/>
    <n v="1"/>
    <n v="57.66"/>
    <x v="119"/>
    <x v="1"/>
    <x v="4"/>
    <x v="0"/>
    <n v="-85.81"/>
    <n v="132.36000000000001"/>
  </r>
  <r>
    <s v="2025-04-05"/>
    <x v="2"/>
    <x v="3"/>
    <x v="278"/>
    <n v="16.11"/>
    <n v="2"/>
    <n v="413.29"/>
    <x v="85"/>
    <x v="0"/>
    <x v="5"/>
    <x v="0"/>
    <n v="397.18"/>
    <n v="122.34"/>
  </r>
  <r>
    <s v="2024-12-04"/>
    <x v="3"/>
    <x v="3"/>
    <x v="279"/>
    <n v="16.82"/>
    <n v="10"/>
    <n v="249.68"/>
    <x v="179"/>
    <x v="0"/>
    <x v="2"/>
    <x v="0"/>
    <n v="232.86"/>
    <n v="123.67"/>
  </r>
  <r>
    <s v="2024-11-28"/>
    <x v="4"/>
    <x v="0"/>
    <x v="280"/>
    <n v="92.02"/>
    <n v="5"/>
    <n v="331.51"/>
    <x v="158"/>
    <x v="0"/>
    <x v="3"/>
    <x v="0"/>
    <n v="239.49"/>
    <n v="124.35"/>
  </r>
  <r>
    <s v="2025-02-23"/>
    <x v="5"/>
    <x v="2"/>
    <x v="281"/>
    <n v="29.76"/>
    <n v="3"/>
    <n v="460.26"/>
    <x v="2"/>
    <x v="2"/>
    <x v="4"/>
    <x v="0"/>
    <n v="430.5"/>
    <n v="138.16999999999999"/>
  </r>
  <r>
    <s v="2025-01-06"/>
    <x v="0"/>
    <x v="1"/>
    <x v="282"/>
    <n v="16.79"/>
    <n v="1"/>
    <n v="416"/>
    <x v="2"/>
    <x v="1"/>
    <x v="2"/>
    <x v="0"/>
    <n v="399.21"/>
    <n v="142.63"/>
  </r>
  <r>
    <s v="2025-01-08"/>
    <x v="0"/>
    <x v="1"/>
    <x v="283"/>
    <n v="67.14"/>
    <n v="4"/>
    <n v="54.49"/>
    <x v="61"/>
    <x v="0"/>
    <x v="2"/>
    <x v="0"/>
    <n v="-12.649999999999999"/>
    <n v="100.01"/>
  </r>
  <r>
    <s v="2024-12-30"/>
    <x v="3"/>
    <x v="1"/>
    <x v="166"/>
    <n v="17.75"/>
    <n v="3"/>
    <n v="173.57"/>
    <x v="180"/>
    <x v="1"/>
    <x v="3"/>
    <x v="0"/>
    <n v="155.82"/>
    <n v="92.47"/>
  </r>
  <r>
    <s v="2025-01-04"/>
    <x v="0"/>
    <x v="2"/>
    <x v="284"/>
    <n v="130.61000000000001"/>
    <n v="2"/>
    <n v="439.36"/>
    <x v="181"/>
    <x v="0"/>
    <x v="4"/>
    <x v="0"/>
    <n v="308.75"/>
    <n v="194.6"/>
  </r>
  <r>
    <s v="2025-02-22"/>
    <x v="5"/>
    <x v="2"/>
    <x v="285"/>
    <n v="148.31"/>
    <n v="6"/>
    <n v="429.08"/>
    <x v="71"/>
    <x v="1"/>
    <x v="2"/>
    <x v="0"/>
    <n v="280.77"/>
    <n v="124.57"/>
  </r>
  <r>
    <s v="2025-03-27"/>
    <x v="1"/>
    <x v="3"/>
    <x v="286"/>
    <n v="66.66"/>
    <n v="4"/>
    <n v="354.04"/>
    <x v="182"/>
    <x v="0"/>
    <x v="1"/>
    <x v="0"/>
    <n v="287.38"/>
    <n v="169.53"/>
  </r>
  <r>
    <s v="2024-11-04"/>
    <x v="4"/>
    <x v="1"/>
    <x v="287"/>
    <n v="132.19"/>
    <n v="6"/>
    <n v="485.01"/>
    <x v="122"/>
    <x v="2"/>
    <x v="5"/>
    <x v="0"/>
    <n v="352.82"/>
    <n v="179.67"/>
  </r>
  <r>
    <s v="2025-01-26"/>
    <x v="0"/>
    <x v="0"/>
    <x v="66"/>
    <n v="83.71"/>
    <n v="5"/>
    <n v="436.1"/>
    <x v="183"/>
    <x v="0"/>
    <x v="0"/>
    <x v="0"/>
    <n v="352.39000000000004"/>
    <n v="145.97"/>
  </r>
  <r>
    <s v="2024-12-25"/>
    <x v="3"/>
    <x v="2"/>
    <x v="288"/>
    <n v="11.52"/>
    <n v="2"/>
    <n v="262.56"/>
    <x v="184"/>
    <x v="1"/>
    <x v="2"/>
    <x v="0"/>
    <n v="251.04"/>
    <n v="110.04"/>
  </r>
  <r>
    <s v="2025-04-26"/>
    <x v="2"/>
    <x v="1"/>
    <x v="289"/>
    <n v="145.75"/>
    <n v="0"/>
    <n v="274.25"/>
    <x v="41"/>
    <x v="2"/>
    <x v="2"/>
    <x v="1"/>
    <n v="128.5"/>
    <n v="124.91"/>
  </r>
  <r>
    <s v="2025-01-14"/>
    <x v="0"/>
    <x v="1"/>
    <x v="277"/>
    <n v="126.12"/>
    <n v="10"/>
    <n v="204.39"/>
    <x v="185"/>
    <x v="2"/>
    <x v="2"/>
    <x v="0"/>
    <n v="78.269999999999982"/>
    <n v="110.09"/>
  </r>
  <r>
    <s v="2024-12-16"/>
    <x v="3"/>
    <x v="1"/>
    <x v="131"/>
    <n v="92.87"/>
    <n v="8"/>
    <n v="379.51"/>
    <x v="76"/>
    <x v="1"/>
    <x v="3"/>
    <x v="0"/>
    <n v="286.64"/>
    <n v="133.07"/>
  </r>
  <r>
    <s v="2025-03-22"/>
    <x v="1"/>
    <x v="0"/>
    <x v="290"/>
    <n v="9.09"/>
    <n v="0"/>
    <n v="95.43"/>
    <x v="24"/>
    <x v="0"/>
    <x v="2"/>
    <x v="1"/>
    <n v="86.34"/>
    <n v="115"/>
  </r>
  <r>
    <s v="2025-04-10"/>
    <x v="2"/>
    <x v="3"/>
    <x v="291"/>
    <n v="140.93"/>
    <n v="1"/>
    <n v="51.15"/>
    <x v="3"/>
    <x v="1"/>
    <x v="4"/>
    <x v="0"/>
    <n v="-89.78"/>
    <n v="140.5"/>
  </r>
  <r>
    <s v="2025-03-20"/>
    <x v="1"/>
    <x v="0"/>
    <x v="292"/>
    <n v="13.26"/>
    <n v="5"/>
    <n v="456.77"/>
    <x v="3"/>
    <x v="1"/>
    <x v="2"/>
    <x v="0"/>
    <n v="443.51"/>
    <n v="132.09"/>
  </r>
  <r>
    <s v="2025-04-20"/>
    <x v="2"/>
    <x v="2"/>
    <x v="293"/>
    <n v="59.72"/>
    <n v="7"/>
    <n v="405.81"/>
    <x v="45"/>
    <x v="1"/>
    <x v="2"/>
    <x v="0"/>
    <n v="346.09000000000003"/>
    <n v="102.57"/>
  </r>
  <r>
    <s v="2024-10-31"/>
    <x v="6"/>
    <x v="2"/>
    <x v="294"/>
    <n v="7.94"/>
    <n v="3"/>
    <n v="413.56"/>
    <x v="186"/>
    <x v="1"/>
    <x v="2"/>
    <x v="0"/>
    <n v="405.62"/>
    <n v="193.46"/>
  </r>
  <r>
    <s v="2024-11-15"/>
    <x v="4"/>
    <x v="1"/>
    <x v="295"/>
    <n v="74.430000000000007"/>
    <n v="10"/>
    <n v="489.99"/>
    <x v="187"/>
    <x v="1"/>
    <x v="1"/>
    <x v="0"/>
    <n v="415.56"/>
    <n v="160.59"/>
  </r>
  <r>
    <s v="2025-04-14"/>
    <x v="2"/>
    <x v="3"/>
    <x v="296"/>
    <n v="64.91"/>
    <n v="4"/>
    <n v="52.74"/>
    <x v="6"/>
    <x v="2"/>
    <x v="1"/>
    <x v="0"/>
    <n v="-12.169999999999995"/>
    <n v="119.22"/>
  </r>
  <r>
    <s v="2025-04-26"/>
    <x v="2"/>
    <x v="0"/>
    <x v="297"/>
    <n v="131"/>
    <n v="5"/>
    <n v="124.33"/>
    <x v="188"/>
    <x v="0"/>
    <x v="1"/>
    <x v="0"/>
    <n v="-6.6700000000000017"/>
    <n v="167.6"/>
  </r>
  <r>
    <s v="2024-12-18"/>
    <x v="3"/>
    <x v="0"/>
    <x v="298"/>
    <n v="60.87"/>
    <n v="7"/>
    <n v="183.67"/>
    <x v="26"/>
    <x v="2"/>
    <x v="5"/>
    <x v="0"/>
    <n v="122.79999999999998"/>
    <n v="117.64"/>
  </r>
  <r>
    <s v="2025-01-10"/>
    <x v="0"/>
    <x v="3"/>
    <x v="299"/>
    <n v="128.16"/>
    <n v="4"/>
    <n v="455"/>
    <x v="189"/>
    <x v="1"/>
    <x v="5"/>
    <x v="0"/>
    <n v="326.84000000000003"/>
    <n v="211"/>
  </r>
  <r>
    <s v="2024-12-20"/>
    <x v="3"/>
    <x v="0"/>
    <x v="300"/>
    <n v="146.88999999999999"/>
    <n v="4"/>
    <n v="263.27"/>
    <x v="190"/>
    <x v="0"/>
    <x v="5"/>
    <x v="0"/>
    <n v="116.38"/>
    <n v="117.4"/>
  </r>
  <r>
    <s v="2024-12-19"/>
    <x v="3"/>
    <x v="0"/>
    <x v="301"/>
    <n v="120.42"/>
    <n v="1"/>
    <n v="369.97"/>
    <x v="154"/>
    <x v="0"/>
    <x v="4"/>
    <x v="0"/>
    <n v="249.55"/>
    <n v="140.63999999999999"/>
  </r>
  <r>
    <s v="2025-01-21"/>
    <x v="0"/>
    <x v="0"/>
    <x v="302"/>
    <n v="37.36"/>
    <n v="6"/>
    <n v="364.63"/>
    <x v="0"/>
    <x v="0"/>
    <x v="2"/>
    <x v="0"/>
    <n v="327.27"/>
    <n v="113.09"/>
  </r>
  <r>
    <s v="2025-04-02"/>
    <x v="2"/>
    <x v="2"/>
    <x v="303"/>
    <n v="17.79"/>
    <n v="9"/>
    <n v="214.83"/>
    <x v="41"/>
    <x v="0"/>
    <x v="1"/>
    <x v="0"/>
    <n v="197.04000000000002"/>
    <n v="121.05"/>
  </r>
  <r>
    <s v="2024-12-04"/>
    <x v="3"/>
    <x v="2"/>
    <x v="47"/>
    <n v="49.54"/>
    <n v="3"/>
    <n v="82.31"/>
    <x v="36"/>
    <x v="1"/>
    <x v="4"/>
    <x v="0"/>
    <n v="32.770000000000003"/>
    <n v="136.43"/>
  </r>
  <r>
    <s v="2025-03-05"/>
    <x v="1"/>
    <x v="3"/>
    <x v="304"/>
    <n v="116.79"/>
    <n v="4"/>
    <n v="135.62"/>
    <x v="86"/>
    <x v="0"/>
    <x v="5"/>
    <x v="0"/>
    <n v="18.829999999999998"/>
    <n v="104.41"/>
  </r>
  <r>
    <s v="2025-04-21"/>
    <x v="2"/>
    <x v="1"/>
    <x v="305"/>
    <n v="80.59"/>
    <n v="3"/>
    <n v="410.65"/>
    <x v="41"/>
    <x v="2"/>
    <x v="5"/>
    <x v="0"/>
    <n v="330.05999999999995"/>
    <n v="119.43"/>
  </r>
  <r>
    <s v="2024-11-27"/>
    <x v="4"/>
    <x v="2"/>
    <x v="306"/>
    <n v="134.1"/>
    <n v="4"/>
    <n v="413.62"/>
    <x v="191"/>
    <x v="2"/>
    <x v="2"/>
    <x v="0"/>
    <n v="279.52"/>
    <n v="153.66999999999999"/>
  </r>
  <r>
    <s v="2025-02-25"/>
    <x v="5"/>
    <x v="0"/>
    <x v="307"/>
    <n v="29.43"/>
    <n v="9"/>
    <n v="120.85"/>
    <x v="60"/>
    <x v="0"/>
    <x v="3"/>
    <x v="0"/>
    <n v="91.419999999999987"/>
    <n v="116.03"/>
  </r>
  <r>
    <s v="2024-11-22"/>
    <x v="4"/>
    <x v="2"/>
    <x v="308"/>
    <n v="91.05"/>
    <n v="3"/>
    <n v="499.87"/>
    <x v="192"/>
    <x v="1"/>
    <x v="1"/>
    <x v="0"/>
    <n v="408.82"/>
    <n v="222.64"/>
  </r>
  <r>
    <s v="2025-04-26"/>
    <x v="2"/>
    <x v="3"/>
    <x v="309"/>
    <n v="149.22999999999999"/>
    <n v="7"/>
    <n v="411.84"/>
    <x v="36"/>
    <x v="0"/>
    <x v="5"/>
    <x v="0"/>
    <n v="262.61"/>
    <n v="145.68"/>
  </r>
  <r>
    <s v="2025-03-23"/>
    <x v="1"/>
    <x v="1"/>
    <x v="310"/>
    <n v="18.52"/>
    <n v="0"/>
    <n v="222.41"/>
    <x v="9"/>
    <x v="1"/>
    <x v="0"/>
    <x v="1"/>
    <n v="203.89"/>
    <n v="128.08000000000001"/>
  </r>
  <r>
    <s v="2025-03-17"/>
    <x v="1"/>
    <x v="1"/>
    <x v="311"/>
    <n v="36.24"/>
    <n v="1"/>
    <n v="173.04"/>
    <x v="76"/>
    <x v="0"/>
    <x v="3"/>
    <x v="0"/>
    <n v="136.79999999999998"/>
    <n v="124.99"/>
  </r>
  <r>
    <s v="2025-01-10"/>
    <x v="0"/>
    <x v="2"/>
    <x v="203"/>
    <n v="98.13"/>
    <n v="3"/>
    <n v="241.44"/>
    <x v="193"/>
    <x v="0"/>
    <x v="4"/>
    <x v="0"/>
    <n v="143.31"/>
    <n v="123.4"/>
  </r>
  <r>
    <s v="2025-02-10"/>
    <x v="5"/>
    <x v="3"/>
    <x v="230"/>
    <n v="33.65"/>
    <n v="3"/>
    <n v="416.15"/>
    <x v="191"/>
    <x v="0"/>
    <x v="4"/>
    <x v="0"/>
    <n v="382.5"/>
    <n v="154.27000000000001"/>
  </r>
  <r>
    <s v="2024-11-14"/>
    <x v="4"/>
    <x v="0"/>
    <x v="312"/>
    <n v="138.49"/>
    <n v="6"/>
    <n v="172.9"/>
    <x v="159"/>
    <x v="0"/>
    <x v="0"/>
    <x v="0"/>
    <n v="34.409999999999997"/>
    <n v="118.06"/>
  </r>
  <r>
    <s v="2025-01-25"/>
    <x v="0"/>
    <x v="3"/>
    <x v="313"/>
    <n v="24.47"/>
    <n v="3"/>
    <n v="403.76"/>
    <x v="77"/>
    <x v="1"/>
    <x v="1"/>
    <x v="0"/>
    <n v="379.28999999999996"/>
    <n v="117.65"/>
  </r>
  <r>
    <s v="2025-03-15"/>
    <x v="1"/>
    <x v="3"/>
    <x v="314"/>
    <n v="92.39"/>
    <n v="4"/>
    <n v="329.53"/>
    <x v="54"/>
    <x v="1"/>
    <x v="4"/>
    <x v="0"/>
    <n v="237.14"/>
    <n v="138.69999999999999"/>
  </r>
  <r>
    <s v="2025-02-15"/>
    <x v="5"/>
    <x v="2"/>
    <x v="40"/>
    <n v="138.62"/>
    <n v="5"/>
    <n v="37.090000000000003"/>
    <x v="194"/>
    <x v="2"/>
    <x v="2"/>
    <x v="0"/>
    <n v="-101.53"/>
    <n v="126.87"/>
  </r>
  <r>
    <s v="2025-01-09"/>
    <x v="0"/>
    <x v="1"/>
    <x v="315"/>
    <n v="71.790000000000006"/>
    <n v="10"/>
    <n v="474.82"/>
    <x v="10"/>
    <x v="2"/>
    <x v="2"/>
    <x v="0"/>
    <n v="403.03"/>
    <n v="138.83000000000001"/>
  </r>
  <r>
    <s v="2025-02-19"/>
    <x v="5"/>
    <x v="0"/>
    <x v="271"/>
    <n v="90.22"/>
    <n v="0"/>
    <n v="342.9"/>
    <x v="195"/>
    <x v="2"/>
    <x v="2"/>
    <x v="1"/>
    <n v="252.67999999999998"/>
    <n v="195.41"/>
  </r>
  <r>
    <s v="2024-12-14"/>
    <x v="3"/>
    <x v="3"/>
    <x v="278"/>
    <n v="111.96"/>
    <n v="2"/>
    <n v="331.95"/>
    <x v="17"/>
    <x v="0"/>
    <x v="2"/>
    <x v="0"/>
    <n v="219.99"/>
    <n v="125.33"/>
  </r>
  <r>
    <s v="2024-11-05"/>
    <x v="4"/>
    <x v="2"/>
    <x v="316"/>
    <n v="102.45"/>
    <n v="8"/>
    <n v="268.97000000000003"/>
    <x v="143"/>
    <x v="2"/>
    <x v="1"/>
    <x v="0"/>
    <n v="166.52000000000004"/>
    <n v="155.18"/>
  </r>
  <r>
    <s v="2025-04-05"/>
    <x v="2"/>
    <x v="1"/>
    <x v="317"/>
    <n v="139.72999999999999"/>
    <n v="2"/>
    <n v="204.17"/>
    <x v="57"/>
    <x v="2"/>
    <x v="1"/>
    <x v="0"/>
    <n v="64.44"/>
    <n v="111.37"/>
  </r>
  <r>
    <s v="2024-11-09"/>
    <x v="4"/>
    <x v="3"/>
    <x v="318"/>
    <n v="148.66"/>
    <n v="8"/>
    <n v="464.11"/>
    <x v="96"/>
    <x v="0"/>
    <x v="2"/>
    <x v="0"/>
    <n v="315.45000000000005"/>
    <n v="89.69"/>
  </r>
  <r>
    <s v="2025-04-07"/>
    <x v="2"/>
    <x v="2"/>
    <x v="319"/>
    <n v="26.26"/>
    <n v="8"/>
    <n v="430.21"/>
    <x v="196"/>
    <x v="1"/>
    <x v="4"/>
    <x v="0"/>
    <n v="403.95"/>
    <n v="198.11"/>
  </r>
  <r>
    <s v="2025-02-28"/>
    <x v="5"/>
    <x v="0"/>
    <x v="192"/>
    <n v="12.41"/>
    <n v="10"/>
    <n v="210.25"/>
    <x v="117"/>
    <x v="0"/>
    <x v="3"/>
    <x v="0"/>
    <n v="197.84"/>
    <n v="129.19999999999999"/>
  </r>
  <r>
    <s v="2025-04-05"/>
    <x v="2"/>
    <x v="3"/>
    <x v="320"/>
    <n v="72.900000000000006"/>
    <n v="1"/>
    <n v="394.31"/>
    <x v="197"/>
    <x v="0"/>
    <x v="0"/>
    <x v="0"/>
    <n v="321.40999999999997"/>
    <n v="133.24"/>
  </r>
  <r>
    <s v="2024-12-20"/>
    <x v="3"/>
    <x v="2"/>
    <x v="321"/>
    <n v="100.55"/>
    <n v="6"/>
    <n v="28.04"/>
    <x v="24"/>
    <x v="1"/>
    <x v="2"/>
    <x v="0"/>
    <n v="-72.509999999999991"/>
    <n v="114.91"/>
  </r>
  <r>
    <s v="2024-10-31"/>
    <x v="6"/>
    <x v="2"/>
    <x v="222"/>
    <n v="141.04"/>
    <n v="7"/>
    <n v="153.99"/>
    <x v="198"/>
    <x v="1"/>
    <x v="3"/>
    <x v="0"/>
    <n v="12.950000000000017"/>
    <n v="129.46"/>
  </r>
  <r>
    <s v="2024-12-09"/>
    <x v="3"/>
    <x v="3"/>
    <x v="322"/>
    <n v="107.04"/>
    <n v="10"/>
    <n v="323.18"/>
    <x v="199"/>
    <x v="1"/>
    <x v="5"/>
    <x v="0"/>
    <n v="216.14"/>
    <n v="122.71"/>
  </r>
  <r>
    <s v="2025-01-13"/>
    <x v="0"/>
    <x v="2"/>
    <x v="323"/>
    <n v="29.24"/>
    <n v="9"/>
    <n v="455.94"/>
    <x v="200"/>
    <x v="0"/>
    <x v="2"/>
    <x v="0"/>
    <n v="426.7"/>
    <n v="175.87"/>
  </r>
  <r>
    <s v="2025-03-02"/>
    <x v="1"/>
    <x v="1"/>
    <x v="324"/>
    <n v="79.83"/>
    <n v="6"/>
    <n v="280.36"/>
    <x v="36"/>
    <x v="0"/>
    <x v="5"/>
    <x v="0"/>
    <n v="200.53000000000003"/>
    <n v="140.97"/>
  </r>
  <r>
    <s v="2025-01-30"/>
    <x v="0"/>
    <x v="2"/>
    <x v="325"/>
    <n v="18.309999999999999"/>
    <n v="10"/>
    <n v="153.84"/>
    <x v="143"/>
    <x v="0"/>
    <x v="2"/>
    <x v="0"/>
    <n v="135.53"/>
    <n v="147.02000000000001"/>
  </r>
  <r>
    <s v="2024-11-25"/>
    <x v="4"/>
    <x v="2"/>
    <x v="326"/>
    <n v="58.89"/>
    <n v="2"/>
    <n v="477.65"/>
    <x v="150"/>
    <x v="0"/>
    <x v="2"/>
    <x v="0"/>
    <n v="418.76"/>
    <n v="139.62"/>
  </r>
  <r>
    <s v="2025-02-27"/>
    <x v="5"/>
    <x v="1"/>
    <x v="327"/>
    <n v="13.03"/>
    <n v="3"/>
    <n v="445.31"/>
    <x v="201"/>
    <x v="2"/>
    <x v="4"/>
    <x v="0"/>
    <n v="432.28000000000003"/>
    <n v="178.01"/>
  </r>
  <r>
    <s v="2024-12-25"/>
    <x v="3"/>
    <x v="3"/>
    <x v="328"/>
    <n v="77.81"/>
    <n v="3"/>
    <n v="490.66"/>
    <x v="202"/>
    <x v="0"/>
    <x v="1"/>
    <x v="0"/>
    <n v="412.85"/>
    <n v="207.55"/>
  </r>
  <r>
    <s v="2025-01-20"/>
    <x v="0"/>
    <x v="2"/>
    <x v="329"/>
    <n v="82.11"/>
    <n v="0"/>
    <n v="187.8"/>
    <x v="119"/>
    <x v="0"/>
    <x v="5"/>
    <x v="1"/>
    <n v="105.69000000000001"/>
    <n v="133.66999999999999"/>
  </r>
  <r>
    <s v="2024-11-16"/>
    <x v="4"/>
    <x v="3"/>
    <x v="120"/>
    <n v="41.09"/>
    <n v="8"/>
    <n v="244.07"/>
    <x v="150"/>
    <x v="2"/>
    <x v="2"/>
    <x v="0"/>
    <n v="202.98"/>
    <n v="136.18"/>
  </r>
  <r>
    <s v="2025-04-19"/>
    <x v="2"/>
    <x v="3"/>
    <x v="330"/>
    <n v="78.260000000000005"/>
    <n v="10"/>
    <n v="432.44"/>
    <x v="117"/>
    <x v="1"/>
    <x v="3"/>
    <x v="0"/>
    <n v="354.18"/>
    <n v="127.23"/>
  </r>
  <r>
    <s v="2025-02-27"/>
    <x v="5"/>
    <x v="2"/>
    <x v="317"/>
    <n v="5.74"/>
    <n v="2"/>
    <n v="327.94"/>
    <x v="203"/>
    <x v="1"/>
    <x v="1"/>
    <x v="0"/>
    <n v="322.2"/>
    <n v="96.2"/>
  </r>
  <r>
    <s v="2024-11-16"/>
    <x v="4"/>
    <x v="3"/>
    <x v="118"/>
    <n v="138.51"/>
    <n v="1"/>
    <n v="406.35"/>
    <x v="143"/>
    <x v="1"/>
    <x v="1"/>
    <x v="0"/>
    <n v="267.84000000000003"/>
    <n v="143.44999999999999"/>
  </r>
  <r>
    <s v="2025-02-11"/>
    <x v="5"/>
    <x v="3"/>
    <x v="305"/>
    <n v="129.1"/>
    <n v="9"/>
    <n v="287.48"/>
    <x v="204"/>
    <x v="1"/>
    <x v="3"/>
    <x v="0"/>
    <n v="158.38000000000002"/>
    <n v="132.46"/>
  </r>
  <r>
    <s v="2024-11-04"/>
    <x v="4"/>
    <x v="0"/>
    <x v="329"/>
    <n v="117.81"/>
    <n v="5"/>
    <n v="447.07"/>
    <x v="139"/>
    <x v="2"/>
    <x v="1"/>
    <x v="0"/>
    <n v="329.26"/>
    <n v="143.91"/>
  </r>
  <r>
    <s v="2024-12-27"/>
    <x v="3"/>
    <x v="0"/>
    <x v="331"/>
    <n v="91.37"/>
    <n v="6"/>
    <n v="61.79"/>
    <x v="205"/>
    <x v="0"/>
    <x v="2"/>
    <x v="0"/>
    <n v="-29.580000000000005"/>
    <n v="140.71"/>
  </r>
  <r>
    <s v="2025-01-25"/>
    <x v="0"/>
    <x v="1"/>
    <x v="332"/>
    <n v="29.03"/>
    <n v="3"/>
    <n v="94.89"/>
    <x v="41"/>
    <x v="1"/>
    <x v="2"/>
    <x v="0"/>
    <n v="65.86"/>
    <n v="115.11"/>
  </r>
  <r>
    <s v="2024-11-15"/>
    <x v="4"/>
    <x v="2"/>
    <x v="333"/>
    <n v="71.12"/>
    <n v="0"/>
    <n v="211.76"/>
    <x v="10"/>
    <x v="1"/>
    <x v="4"/>
    <x v="1"/>
    <n v="140.63999999999999"/>
    <n v="134.91999999999999"/>
  </r>
  <r>
    <s v="2025-04-11"/>
    <x v="2"/>
    <x v="3"/>
    <x v="334"/>
    <n v="69.790000000000006"/>
    <n v="3"/>
    <n v="120.13"/>
    <x v="109"/>
    <x v="0"/>
    <x v="2"/>
    <x v="0"/>
    <n v="50.339999999999989"/>
    <n v="114.87"/>
  </r>
  <r>
    <s v="2025-03-31"/>
    <x v="1"/>
    <x v="2"/>
    <x v="335"/>
    <n v="142.96"/>
    <n v="7"/>
    <n v="241.81"/>
    <x v="206"/>
    <x v="0"/>
    <x v="3"/>
    <x v="0"/>
    <n v="98.85"/>
    <n v="125.17"/>
  </r>
  <r>
    <s v="2024-11-10"/>
    <x v="4"/>
    <x v="3"/>
    <x v="180"/>
    <n v="14.03"/>
    <n v="4"/>
    <n v="222.45"/>
    <x v="188"/>
    <x v="1"/>
    <x v="0"/>
    <x v="0"/>
    <n v="208.42"/>
    <n v="162"/>
  </r>
  <r>
    <s v="2025-01-02"/>
    <x v="0"/>
    <x v="2"/>
    <x v="336"/>
    <n v="117.01"/>
    <n v="5"/>
    <n v="267.64"/>
    <x v="207"/>
    <x v="1"/>
    <x v="2"/>
    <x v="0"/>
    <n v="150.63"/>
    <n v="128.69999999999999"/>
  </r>
  <r>
    <s v="2025-03-01"/>
    <x v="1"/>
    <x v="0"/>
    <x v="337"/>
    <n v="68.36"/>
    <n v="1"/>
    <n v="426.41"/>
    <x v="2"/>
    <x v="2"/>
    <x v="1"/>
    <x v="0"/>
    <n v="358.05"/>
    <n v="147.43"/>
  </r>
  <r>
    <s v="2025-03-19"/>
    <x v="1"/>
    <x v="2"/>
    <x v="338"/>
    <n v="58.7"/>
    <n v="8"/>
    <n v="225.48"/>
    <x v="113"/>
    <x v="2"/>
    <x v="1"/>
    <x v="0"/>
    <n v="166.77999999999997"/>
    <n v="138.22999999999999"/>
  </r>
  <r>
    <s v="2025-02-12"/>
    <x v="5"/>
    <x v="0"/>
    <x v="339"/>
    <n v="97.48"/>
    <n v="3"/>
    <n v="230.16"/>
    <x v="57"/>
    <x v="1"/>
    <x v="5"/>
    <x v="0"/>
    <n v="132.68"/>
    <n v="113.01"/>
  </r>
  <r>
    <s v="2025-02-19"/>
    <x v="5"/>
    <x v="3"/>
    <x v="340"/>
    <n v="40.46"/>
    <n v="5"/>
    <n v="383.74"/>
    <x v="208"/>
    <x v="1"/>
    <x v="2"/>
    <x v="0"/>
    <n v="343.28000000000003"/>
    <n v="158.68"/>
  </r>
  <r>
    <s v="2025-02-25"/>
    <x v="5"/>
    <x v="2"/>
    <x v="51"/>
    <n v="50.51"/>
    <n v="8"/>
    <n v="257.16000000000003"/>
    <x v="0"/>
    <x v="0"/>
    <x v="5"/>
    <x v="0"/>
    <n v="206.65000000000003"/>
    <n v="111.03"/>
  </r>
  <r>
    <s v="2025-03-21"/>
    <x v="1"/>
    <x v="0"/>
    <x v="341"/>
    <n v="126.47"/>
    <n v="0"/>
    <n v="126.97"/>
    <x v="60"/>
    <x v="2"/>
    <x v="2"/>
    <x v="1"/>
    <n v="0.5"/>
    <n v="125.79"/>
  </r>
  <r>
    <s v="2024-11-14"/>
    <x v="4"/>
    <x v="0"/>
    <x v="57"/>
    <n v="18.489999999999998"/>
    <n v="5"/>
    <n v="321.85000000000002"/>
    <x v="17"/>
    <x v="1"/>
    <x v="2"/>
    <x v="0"/>
    <n v="303.36"/>
    <n v="132.19"/>
  </r>
  <r>
    <s v="2024-11-04"/>
    <x v="4"/>
    <x v="1"/>
    <x v="342"/>
    <n v="48.38"/>
    <n v="4"/>
    <n v="271.7"/>
    <x v="23"/>
    <x v="2"/>
    <x v="3"/>
    <x v="0"/>
    <n v="223.32"/>
    <n v="126.81"/>
  </r>
  <r>
    <s v="2025-04-23"/>
    <x v="2"/>
    <x v="1"/>
    <x v="343"/>
    <n v="8.11"/>
    <n v="10"/>
    <n v="223.48"/>
    <x v="209"/>
    <x v="2"/>
    <x v="1"/>
    <x v="0"/>
    <n v="215.37"/>
    <n v="93.51"/>
  </r>
  <r>
    <s v="2025-04-29"/>
    <x v="2"/>
    <x v="0"/>
    <x v="344"/>
    <n v="28.42"/>
    <n v="10"/>
    <n v="159.25"/>
    <x v="33"/>
    <x v="2"/>
    <x v="5"/>
    <x v="0"/>
    <n v="130.82999999999998"/>
    <n v="133.26"/>
  </r>
  <r>
    <s v="2025-02-10"/>
    <x v="5"/>
    <x v="2"/>
    <x v="46"/>
    <n v="6.85"/>
    <n v="4"/>
    <n v="213.08"/>
    <x v="210"/>
    <x v="0"/>
    <x v="1"/>
    <x v="0"/>
    <n v="206.23000000000002"/>
    <n v="131.47999999999999"/>
  </r>
  <r>
    <s v="2024-11-16"/>
    <x v="4"/>
    <x v="2"/>
    <x v="345"/>
    <n v="107.48"/>
    <n v="0"/>
    <n v="273.73"/>
    <x v="16"/>
    <x v="2"/>
    <x v="5"/>
    <x v="1"/>
    <n v="166.25"/>
    <n v="148.9"/>
  </r>
  <r>
    <s v="2024-11-20"/>
    <x v="4"/>
    <x v="0"/>
    <x v="346"/>
    <n v="124.32"/>
    <n v="8"/>
    <n v="219.89"/>
    <x v="139"/>
    <x v="1"/>
    <x v="1"/>
    <x v="0"/>
    <n v="95.57"/>
    <n v="146.47999999999999"/>
  </r>
  <r>
    <s v="2024-12-14"/>
    <x v="3"/>
    <x v="0"/>
    <x v="347"/>
    <n v="15.15"/>
    <n v="0"/>
    <n v="38.9"/>
    <x v="3"/>
    <x v="1"/>
    <x v="1"/>
    <x v="1"/>
    <n v="23.75"/>
    <n v="136.72"/>
  </r>
  <r>
    <s v="2024-12-07"/>
    <x v="3"/>
    <x v="1"/>
    <x v="348"/>
    <n v="143.04"/>
    <n v="3"/>
    <n v="55.9"/>
    <x v="211"/>
    <x v="2"/>
    <x v="3"/>
    <x v="0"/>
    <n v="-87.139999999999986"/>
    <n v="138.26"/>
  </r>
  <r>
    <s v="2025-03-01"/>
    <x v="1"/>
    <x v="0"/>
    <x v="349"/>
    <n v="137.15"/>
    <n v="7"/>
    <n v="237.96"/>
    <x v="212"/>
    <x v="2"/>
    <x v="1"/>
    <x v="0"/>
    <n v="100.81"/>
    <n v="115.71"/>
  </r>
  <r>
    <s v="2024-12-24"/>
    <x v="3"/>
    <x v="2"/>
    <x v="350"/>
    <n v="96.26"/>
    <n v="9"/>
    <n v="376.5"/>
    <x v="42"/>
    <x v="0"/>
    <x v="5"/>
    <x v="0"/>
    <n v="280.24"/>
    <n v="136.56"/>
  </r>
  <r>
    <s v="2024-11-02"/>
    <x v="4"/>
    <x v="2"/>
    <x v="180"/>
    <n v="87.1"/>
    <n v="0"/>
    <n v="386.71"/>
    <x v="10"/>
    <x v="1"/>
    <x v="1"/>
    <x v="1"/>
    <n v="299.61"/>
    <n v="133.65"/>
  </r>
  <r>
    <s v="2025-02-07"/>
    <x v="5"/>
    <x v="0"/>
    <x v="70"/>
    <n v="8.4"/>
    <n v="9"/>
    <n v="441.31"/>
    <x v="80"/>
    <x v="2"/>
    <x v="3"/>
    <x v="0"/>
    <n v="432.91"/>
    <n v="147.81"/>
  </r>
  <r>
    <s v="2025-04-20"/>
    <x v="2"/>
    <x v="2"/>
    <x v="234"/>
    <n v="89.52"/>
    <n v="8"/>
    <n v="103.79"/>
    <x v="213"/>
    <x v="2"/>
    <x v="3"/>
    <x v="0"/>
    <n v="14.27000000000001"/>
    <n v="66.739999999999995"/>
  </r>
  <r>
    <s v="2025-02-05"/>
    <x v="5"/>
    <x v="1"/>
    <x v="122"/>
    <n v="36.35"/>
    <n v="5"/>
    <n v="30.39"/>
    <x v="10"/>
    <x v="2"/>
    <x v="2"/>
    <x v="0"/>
    <n v="-5.9600000000000009"/>
    <n v="136.91999999999999"/>
  </r>
  <r>
    <s v="2025-04-05"/>
    <x v="2"/>
    <x v="1"/>
    <x v="150"/>
    <n v="16.95"/>
    <n v="0"/>
    <n v="445.36"/>
    <x v="33"/>
    <x v="0"/>
    <x v="2"/>
    <x v="1"/>
    <n v="428.41"/>
    <n v="139.09"/>
  </r>
  <r>
    <s v="2025-02-08"/>
    <x v="5"/>
    <x v="3"/>
    <x v="351"/>
    <n v="28.02"/>
    <n v="5"/>
    <n v="252.95"/>
    <x v="214"/>
    <x v="1"/>
    <x v="3"/>
    <x v="0"/>
    <n v="224.92999999999998"/>
    <n v="78.13"/>
  </r>
  <r>
    <s v="2025-01-25"/>
    <x v="0"/>
    <x v="3"/>
    <x v="352"/>
    <n v="131.88999999999999"/>
    <n v="3"/>
    <n v="180.21"/>
    <x v="140"/>
    <x v="0"/>
    <x v="5"/>
    <x v="0"/>
    <n v="48.320000000000022"/>
    <n v="134.47"/>
  </r>
  <r>
    <s v="2025-04-08"/>
    <x v="2"/>
    <x v="2"/>
    <x v="308"/>
    <n v="101.16"/>
    <n v="7"/>
    <n v="88.6"/>
    <x v="215"/>
    <x v="0"/>
    <x v="2"/>
    <x v="0"/>
    <n v="-12.560000000000002"/>
    <n v="120.81"/>
  </r>
  <r>
    <s v="2024-12-18"/>
    <x v="3"/>
    <x v="3"/>
    <x v="353"/>
    <n v="62.1"/>
    <n v="2"/>
    <n v="86.05"/>
    <x v="216"/>
    <x v="1"/>
    <x v="3"/>
    <x v="0"/>
    <n v="23.949999999999996"/>
    <n v="119.85"/>
  </r>
  <r>
    <s v="2024-10-31"/>
    <x v="6"/>
    <x v="3"/>
    <x v="354"/>
    <n v="14.68"/>
    <n v="5"/>
    <n v="478.87"/>
    <x v="28"/>
    <x v="2"/>
    <x v="3"/>
    <x v="0"/>
    <n v="464.19"/>
    <n v="123.11"/>
  </r>
  <r>
    <s v="2024-11-19"/>
    <x v="4"/>
    <x v="1"/>
    <x v="335"/>
    <n v="69.42"/>
    <n v="3"/>
    <n v="325.37"/>
    <x v="217"/>
    <x v="0"/>
    <x v="3"/>
    <x v="0"/>
    <n v="255.95"/>
    <n v="145.16"/>
  </r>
  <r>
    <s v="2024-12-02"/>
    <x v="3"/>
    <x v="3"/>
    <x v="355"/>
    <n v="105.53"/>
    <n v="3"/>
    <n v="246.02"/>
    <x v="218"/>
    <x v="0"/>
    <x v="2"/>
    <x v="0"/>
    <n v="140.49"/>
    <n v="126.39"/>
  </r>
  <r>
    <s v="2025-04-16"/>
    <x v="2"/>
    <x v="2"/>
    <x v="39"/>
    <n v="110.47"/>
    <n v="6"/>
    <n v="150.26"/>
    <x v="36"/>
    <x v="0"/>
    <x v="2"/>
    <x v="0"/>
    <n v="39.789999999999992"/>
    <n v="140.63"/>
  </r>
  <r>
    <s v="2024-11-22"/>
    <x v="4"/>
    <x v="2"/>
    <x v="356"/>
    <n v="125.5"/>
    <n v="8"/>
    <n v="497.44"/>
    <x v="219"/>
    <x v="1"/>
    <x v="2"/>
    <x v="0"/>
    <n v="371.94"/>
    <n v="145.01"/>
  </r>
  <r>
    <s v="2024-12-14"/>
    <x v="3"/>
    <x v="1"/>
    <x v="357"/>
    <n v="146.28"/>
    <n v="6"/>
    <n v="283.01"/>
    <x v="90"/>
    <x v="0"/>
    <x v="2"/>
    <x v="0"/>
    <n v="136.72999999999999"/>
    <n v="146.9"/>
  </r>
  <r>
    <s v="2024-11-26"/>
    <x v="4"/>
    <x v="0"/>
    <x v="234"/>
    <n v="18.059999999999999"/>
    <n v="1"/>
    <n v="431.44"/>
    <x v="16"/>
    <x v="2"/>
    <x v="1"/>
    <x v="0"/>
    <n v="413.38"/>
    <n v="147.28"/>
  </r>
  <r>
    <s v="2025-02-16"/>
    <x v="5"/>
    <x v="2"/>
    <x v="358"/>
    <n v="106.19"/>
    <n v="1"/>
    <n v="272.62"/>
    <x v="53"/>
    <x v="2"/>
    <x v="1"/>
    <x v="0"/>
    <n v="166.43"/>
    <n v="109.91"/>
  </r>
  <r>
    <s v="2025-01-22"/>
    <x v="0"/>
    <x v="2"/>
    <x v="359"/>
    <n v="31.97"/>
    <n v="10"/>
    <n v="164.02"/>
    <x v="119"/>
    <x v="2"/>
    <x v="4"/>
    <x v="0"/>
    <n v="132.05000000000001"/>
    <n v="130.93"/>
  </r>
  <r>
    <s v="2025-04-07"/>
    <x v="2"/>
    <x v="1"/>
    <x v="360"/>
    <n v="72.77"/>
    <n v="7"/>
    <n v="234.78"/>
    <x v="105"/>
    <x v="1"/>
    <x v="5"/>
    <x v="0"/>
    <n v="162.01"/>
    <n v="111.95"/>
  </r>
  <r>
    <s v="2025-02-25"/>
    <x v="5"/>
    <x v="1"/>
    <x v="361"/>
    <n v="17.04"/>
    <n v="8"/>
    <n v="239.75"/>
    <x v="7"/>
    <x v="2"/>
    <x v="5"/>
    <x v="0"/>
    <n v="222.71"/>
    <n v="122.62"/>
  </r>
  <r>
    <s v="2025-01-09"/>
    <x v="0"/>
    <x v="1"/>
    <x v="362"/>
    <n v="117.03"/>
    <n v="6"/>
    <n v="262.13"/>
    <x v="106"/>
    <x v="2"/>
    <x v="2"/>
    <x v="0"/>
    <n v="145.1"/>
    <n v="127.89"/>
  </r>
  <r>
    <s v="2025-01-17"/>
    <x v="0"/>
    <x v="2"/>
    <x v="363"/>
    <n v="127.06"/>
    <n v="10"/>
    <n v="315.69"/>
    <x v="106"/>
    <x v="2"/>
    <x v="1"/>
    <x v="0"/>
    <n v="188.63"/>
    <n v="120.99"/>
  </r>
  <r>
    <s v="2025-01-22"/>
    <x v="0"/>
    <x v="2"/>
    <x v="364"/>
    <n v="143.66"/>
    <n v="9"/>
    <n v="48.97"/>
    <x v="220"/>
    <x v="2"/>
    <x v="2"/>
    <x v="0"/>
    <n v="-94.69"/>
    <n v="47.17"/>
  </r>
  <r>
    <s v="2025-04-22"/>
    <x v="2"/>
    <x v="3"/>
    <x v="365"/>
    <n v="27.28"/>
    <n v="1"/>
    <n v="273.39"/>
    <x v="128"/>
    <x v="2"/>
    <x v="2"/>
    <x v="0"/>
    <n v="246.10999999999999"/>
    <n v="146.47"/>
  </r>
  <r>
    <s v="2025-03-09"/>
    <x v="1"/>
    <x v="0"/>
    <x v="310"/>
    <n v="45.48"/>
    <n v="6"/>
    <n v="291.97000000000003"/>
    <x v="221"/>
    <x v="0"/>
    <x v="1"/>
    <x v="0"/>
    <n v="246.49000000000004"/>
    <n v="140.91999999999999"/>
  </r>
  <r>
    <s v="2024-12-14"/>
    <x v="3"/>
    <x v="0"/>
    <x v="366"/>
    <n v="36.9"/>
    <n v="4"/>
    <n v="110.35"/>
    <x v="85"/>
    <x v="2"/>
    <x v="2"/>
    <x v="0"/>
    <n v="73.449999999999989"/>
    <n v="125.9"/>
  </r>
  <r>
    <s v="2024-12-23"/>
    <x v="3"/>
    <x v="0"/>
    <x v="231"/>
    <n v="108.48"/>
    <n v="9"/>
    <n v="76.040000000000006"/>
    <x v="222"/>
    <x v="1"/>
    <x v="2"/>
    <x v="0"/>
    <n v="-32.44"/>
    <n v="110.19"/>
  </r>
  <r>
    <s v="2025-01-25"/>
    <x v="0"/>
    <x v="2"/>
    <x v="367"/>
    <n v="83"/>
    <n v="8"/>
    <n v="253.42"/>
    <x v="210"/>
    <x v="1"/>
    <x v="3"/>
    <x v="0"/>
    <n v="170.42"/>
    <n v="126.73"/>
  </r>
  <r>
    <s v="2025-01-23"/>
    <x v="0"/>
    <x v="3"/>
    <x v="368"/>
    <n v="35.020000000000003"/>
    <n v="1"/>
    <n v="399.11"/>
    <x v="222"/>
    <x v="0"/>
    <x v="0"/>
    <x v="0"/>
    <n v="364.09000000000003"/>
    <n v="107.84"/>
  </r>
  <r>
    <s v="2025-01-31"/>
    <x v="0"/>
    <x v="1"/>
    <x v="369"/>
    <n v="147.16"/>
    <n v="2"/>
    <n v="198.49"/>
    <x v="0"/>
    <x v="2"/>
    <x v="0"/>
    <x v="0"/>
    <n v="51.330000000000013"/>
    <n v="112.03"/>
  </r>
  <r>
    <s v="2024-11-28"/>
    <x v="4"/>
    <x v="1"/>
    <x v="370"/>
    <n v="16.29"/>
    <n v="6"/>
    <n v="445.33"/>
    <x v="202"/>
    <x v="2"/>
    <x v="5"/>
    <x v="0"/>
    <n v="429.03999999999996"/>
    <n v="206.96"/>
  </r>
  <r>
    <s v="2025-03-02"/>
    <x v="1"/>
    <x v="0"/>
    <x v="371"/>
    <n v="94.49"/>
    <n v="9"/>
    <n v="240.2"/>
    <x v="42"/>
    <x v="0"/>
    <x v="2"/>
    <x v="0"/>
    <n v="145.70999999999998"/>
    <n v="135.47"/>
  </r>
  <r>
    <s v="2025-04-24"/>
    <x v="2"/>
    <x v="1"/>
    <x v="297"/>
    <n v="29.89"/>
    <n v="1"/>
    <n v="125.85"/>
    <x v="80"/>
    <x v="0"/>
    <x v="2"/>
    <x v="0"/>
    <n v="95.96"/>
    <n v="142.01"/>
  </r>
  <r>
    <s v="2024-11-23"/>
    <x v="4"/>
    <x v="2"/>
    <x v="372"/>
    <n v="46.74"/>
    <n v="5"/>
    <n v="454.11"/>
    <x v="9"/>
    <x v="2"/>
    <x v="5"/>
    <x v="0"/>
    <n v="407.37"/>
    <n v="121.79"/>
  </r>
  <r>
    <s v="2025-01-29"/>
    <x v="0"/>
    <x v="2"/>
    <x v="373"/>
    <n v="113.86"/>
    <n v="0"/>
    <n v="115.3"/>
    <x v="17"/>
    <x v="2"/>
    <x v="3"/>
    <x v="1"/>
    <n v="1.4399999999999977"/>
    <n v="125.57"/>
  </r>
  <r>
    <s v="2025-03-19"/>
    <x v="1"/>
    <x v="3"/>
    <x v="94"/>
    <n v="130.26"/>
    <n v="10"/>
    <n v="337.75"/>
    <x v="223"/>
    <x v="0"/>
    <x v="1"/>
    <x v="0"/>
    <n v="207.49"/>
    <n v="159.59"/>
  </r>
  <r>
    <s v="2025-02-21"/>
    <x v="5"/>
    <x v="3"/>
    <x v="374"/>
    <n v="49.32"/>
    <n v="3"/>
    <n v="248.27"/>
    <x v="224"/>
    <x v="2"/>
    <x v="2"/>
    <x v="0"/>
    <n v="198.95000000000002"/>
    <n v="120.56"/>
  </r>
  <r>
    <s v="2025-03-11"/>
    <x v="1"/>
    <x v="3"/>
    <x v="375"/>
    <n v="42.28"/>
    <n v="3"/>
    <n v="147.72"/>
    <x v="57"/>
    <x v="0"/>
    <x v="2"/>
    <x v="0"/>
    <n v="105.44"/>
    <n v="114"/>
  </r>
  <r>
    <s v="2025-03-20"/>
    <x v="1"/>
    <x v="2"/>
    <x v="68"/>
    <n v="63.86"/>
    <n v="2"/>
    <n v="403.26"/>
    <x v="78"/>
    <x v="1"/>
    <x v="2"/>
    <x v="0"/>
    <n v="339.4"/>
    <n v="166.85"/>
  </r>
  <r>
    <s v="2025-01-09"/>
    <x v="0"/>
    <x v="0"/>
    <x v="376"/>
    <n v="61"/>
    <n v="3"/>
    <n v="69.61"/>
    <x v="106"/>
    <x v="1"/>
    <x v="0"/>
    <x v="0"/>
    <n v="8.61"/>
    <n v="124.64"/>
  </r>
  <r>
    <s v="2024-11-28"/>
    <x v="4"/>
    <x v="2"/>
    <x v="330"/>
    <n v="31.59"/>
    <n v="2"/>
    <n v="49.37"/>
    <x v="84"/>
    <x v="2"/>
    <x v="2"/>
    <x v="0"/>
    <n v="17.779999999999998"/>
    <n v="103.36"/>
  </r>
  <r>
    <s v="2024-11-22"/>
    <x v="4"/>
    <x v="2"/>
    <x v="377"/>
    <n v="40.450000000000003"/>
    <n v="2"/>
    <n v="334.99"/>
    <x v="2"/>
    <x v="2"/>
    <x v="0"/>
    <x v="0"/>
    <n v="294.54000000000002"/>
    <n v="135.9"/>
  </r>
  <r>
    <s v="2024-12-27"/>
    <x v="3"/>
    <x v="0"/>
    <x v="66"/>
    <n v="43.62"/>
    <n v="9"/>
    <n v="185.97"/>
    <x v="80"/>
    <x v="1"/>
    <x v="2"/>
    <x v="0"/>
    <n v="142.35"/>
    <n v="143.72"/>
  </r>
  <r>
    <s v="2025-03-24"/>
    <x v="1"/>
    <x v="1"/>
    <x v="378"/>
    <n v="8.2899999999999991"/>
    <n v="4"/>
    <n v="73.3"/>
    <x v="36"/>
    <x v="0"/>
    <x v="0"/>
    <x v="0"/>
    <n v="65.009999999999991"/>
    <n v="144.5"/>
  </r>
  <r>
    <s v="2025-01-03"/>
    <x v="0"/>
    <x v="0"/>
    <x v="25"/>
    <n v="87.45"/>
    <n v="2"/>
    <n v="111.73"/>
    <x v="61"/>
    <x v="1"/>
    <x v="0"/>
    <x v="0"/>
    <n v="24.28"/>
    <n v="91.39"/>
  </r>
  <r>
    <s v="2025-03-17"/>
    <x v="1"/>
    <x v="2"/>
    <x v="379"/>
    <n v="60.19"/>
    <n v="2"/>
    <n v="161.07"/>
    <x v="6"/>
    <x v="1"/>
    <x v="4"/>
    <x v="0"/>
    <n v="100.88"/>
    <n v="116.41"/>
  </r>
  <r>
    <s v="2024-12-23"/>
    <x v="3"/>
    <x v="1"/>
    <x v="195"/>
    <n v="8.07"/>
    <n v="7"/>
    <n v="333.3"/>
    <x v="142"/>
    <x v="2"/>
    <x v="2"/>
    <x v="0"/>
    <n v="325.23"/>
    <n v="103.54"/>
  </r>
  <r>
    <s v="2024-11-22"/>
    <x v="4"/>
    <x v="3"/>
    <x v="380"/>
    <n v="110.93"/>
    <n v="5"/>
    <n v="460.77"/>
    <x v="146"/>
    <x v="2"/>
    <x v="2"/>
    <x v="0"/>
    <n v="349.84"/>
    <n v="153.16999999999999"/>
  </r>
  <r>
    <s v="2025-02-20"/>
    <x v="5"/>
    <x v="3"/>
    <x v="381"/>
    <n v="75.489999999999995"/>
    <n v="10"/>
    <n v="63.34"/>
    <x v="225"/>
    <x v="2"/>
    <x v="1"/>
    <x v="0"/>
    <n v="-12.149999999999991"/>
    <n v="94.39"/>
  </r>
  <r>
    <s v="2025-04-09"/>
    <x v="2"/>
    <x v="0"/>
    <x v="279"/>
    <n v="144.5"/>
    <n v="7"/>
    <n v="444.21"/>
    <x v="200"/>
    <x v="2"/>
    <x v="2"/>
    <x v="0"/>
    <n v="299.70999999999998"/>
    <n v="174.31"/>
  </r>
  <r>
    <s v="2025-02-17"/>
    <x v="5"/>
    <x v="1"/>
    <x v="382"/>
    <n v="102.32"/>
    <n v="8"/>
    <n v="109.38"/>
    <x v="107"/>
    <x v="1"/>
    <x v="2"/>
    <x v="0"/>
    <n v="7.0600000000000023"/>
    <n v="122.5"/>
  </r>
  <r>
    <s v="2025-01-29"/>
    <x v="0"/>
    <x v="2"/>
    <x v="383"/>
    <n v="23.72"/>
    <n v="5"/>
    <n v="57.45"/>
    <x v="226"/>
    <x v="1"/>
    <x v="2"/>
    <x v="0"/>
    <n v="33.730000000000004"/>
    <n v="120.04"/>
  </r>
  <r>
    <s v="2025-02-25"/>
    <x v="5"/>
    <x v="3"/>
    <x v="384"/>
    <n v="46.79"/>
    <n v="5"/>
    <n v="451.84"/>
    <x v="74"/>
    <x v="1"/>
    <x v="2"/>
    <x v="0"/>
    <n v="405.04999999999995"/>
    <n v="127.47"/>
  </r>
  <r>
    <s v="2025-02-06"/>
    <x v="5"/>
    <x v="0"/>
    <x v="385"/>
    <n v="129.01"/>
    <n v="10"/>
    <n v="376.6"/>
    <x v="227"/>
    <x v="2"/>
    <x v="1"/>
    <x v="0"/>
    <n v="247.59000000000003"/>
    <n v="175.04"/>
  </r>
  <r>
    <s v="2024-11-17"/>
    <x v="4"/>
    <x v="3"/>
    <x v="386"/>
    <n v="111.85"/>
    <n v="6"/>
    <n v="117.39"/>
    <x v="228"/>
    <x v="2"/>
    <x v="4"/>
    <x v="0"/>
    <n v="5.5400000000000063"/>
    <n v="150.88"/>
  </r>
  <r>
    <s v="2024-12-21"/>
    <x v="3"/>
    <x v="3"/>
    <x v="387"/>
    <n v="132.01"/>
    <n v="3"/>
    <n v="118.82"/>
    <x v="229"/>
    <x v="0"/>
    <x v="1"/>
    <x v="0"/>
    <n v="-13.189999999999998"/>
    <n v="70.56"/>
  </r>
  <r>
    <s v="2025-03-23"/>
    <x v="1"/>
    <x v="0"/>
    <x v="388"/>
    <n v="89.16"/>
    <n v="8"/>
    <n v="327.63"/>
    <x v="31"/>
    <x v="1"/>
    <x v="5"/>
    <x v="0"/>
    <n v="238.47"/>
    <n v="174.86"/>
  </r>
  <r>
    <s v="2025-02-08"/>
    <x v="5"/>
    <x v="0"/>
    <x v="104"/>
    <n v="58.83"/>
    <n v="10"/>
    <n v="333.62"/>
    <x v="230"/>
    <x v="1"/>
    <x v="1"/>
    <x v="0"/>
    <n v="274.79000000000002"/>
    <n v="169.93"/>
  </r>
  <r>
    <s v="2025-03-25"/>
    <x v="1"/>
    <x v="1"/>
    <x v="193"/>
    <n v="119.37"/>
    <n v="1"/>
    <n v="217.91"/>
    <x v="9"/>
    <x v="0"/>
    <x v="0"/>
    <x v="0"/>
    <n v="98.539999999999992"/>
    <n v="119.59"/>
  </r>
  <r>
    <s v="2024-12-16"/>
    <x v="3"/>
    <x v="3"/>
    <x v="389"/>
    <n v="10.210000000000001"/>
    <n v="7"/>
    <n v="304.69"/>
    <x v="231"/>
    <x v="1"/>
    <x v="2"/>
    <x v="0"/>
    <n v="294.48"/>
    <n v="140.75"/>
  </r>
  <r>
    <s v="2025-04-05"/>
    <x v="2"/>
    <x v="1"/>
    <x v="390"/>
    <n v="143.51"/>
    <n v="7"/>
    <n v="179.47"/>
    <x v="210"/>
    <x v="2"/>
    <x v="2"/>
    <x v="0"/>
    <n v="35.960000000000008"/>
    <n v="127.39"/>
  </r>
  <r>
    <s v="2025-02-24"/>
    <x v="5"/>
    <x v="0"/>
    <x v="180"/>
    <n v="103.64"/>
    <n v="1"/>
    <n v="283.69"/>
    <x v="139"/>
    <x v="1"/>
    <x v="5"/>
    <x v="0"/>
    <n v="180.05"/>
    <n v="150.08000000000001"/>
  </r>
  <r>
    <s v="2024-11-25"/>
    <x v="4"/>
    <x v="2"/>
    <x v="146"/>
    <n v="107.13"/>
    <n v="3"/>
    <n v="91.29"/>
    <x v="105"/>
    <x v="2"/>
    <x v="0"/>
    <x v="0"/>
    <n v="-15.839999999999989"/>
    <n v="119.95"/>
  </r>
  <r>
    <s v="2024-11-08"/>
    <x v="4"/>
    <x v="3"/>
    <x v="157"/>
    <n v="122.89"/>
    <n v="3"/>
    <n v="252.48"/>
    <x v="232"/>
    <x v="0"/>
    <x v="1"/>
    <x v="0"/>
    <n v="129.58999999999997"/>
    <n v="117.87"/>
  </r>
  <r>
    <s v="2025-04-10"/>
    <x v="2"/>
    <x v="1"/>
    <x v="354"/>
    <n v="21.53"/>
    <n v="6"/>
    <n v="426.83"/>
    <x v="230"/>
    <x v="2"/>
    <x v="2"/>
    <x v="0"/>
    <n v="405.29999999999995"/>
    <n v="180.58"/>
  </r>
  <r>
    <s v="2025-02-03"/>
    <x v="5"/>
    <x v="3"/>
    <x v="391"/>
    <n v="49.72"/>
    <n v="5"/>
    <n v="44.87"/>
    <x v="233"/>
    <x v="1"/>
    <x v="1"/>
    <x v="0"/>
    <n v="-4.8500000000000014"/>
    <n v="118.64"/>
  </r>
  <r>
    <s v="2025-03-18"/>
    <x v="1"/>
    <x v="1"/>
    <x v="392"/>
    <n v="62.63"/>
    <n v="10"/>
    <n v="121.05"/>
    <x v="3"/>
    <x v="1"/>
    <x v="4"/>
    <x v="0"/>
    <n v="58.419999999999995"/>
    <n v="134.04"/>
  </r>
  <r>
    <s v="2025-04-13"/>
    <x v="2"/>
    <x v="2"/>
    <x v="193"/>
    <n v="48.01"/>
    <n v="3"/>
    <n v="292.39999999999998"/>
    <x v="72"/>
    <x v="2"/>
    <x v="1"/>
    <x v="0"/>
    <n v="244.39"/>
    <n v="126.39"/>
  </r>
  <r>
    <s v="2025-02-28"/>
    <x v="5"/>
    <x v="0"/>
    <x v="393"/>
    <n v="29.56"/>
    <n v="1"/>
    <n v="316.10000000000002"/>
    <x v="84"/>
    <x v="1"/>
    <x v="0"/>
    <x v="0"/>
    <n v="286.54000000000002"/>
    <n v="102.61"/>
  </r>
  <r>
    <s v="2024-12-09"/>
    <x v="3"/>
    <x v="0"/>
    <x v="394"/>
    <n v="48.65"/>
    <n v="1"/>
    <n v="119.3"/>
    <x v="12"/>
    <x v="2"/>
    <x v="2"/>
    <x v="0"/>
    <n v="70.650000000000006"/>
    <n v="128.53"/>
  </r>
  <r>
    <s v="2025-03-19"/>
    <x v="1"/>
    <x v="0"/>
    <x v="395"/>
    <n v="143.22999999999999"/>
    <n v="10"/>
    <n v="73.53"/>
    <x v="234"/>
    <x v="2"/>
    <x v="2"/>
    <x v="0"/>
    <n v="-69.699999999999989"/>
    <n v="88.7"/>
  </r>
  <r>
    <s v="2025-01-15"/>
    <x v="0"/>
    <x v="2"/>
    <x v="396"/>
    <n v="74.33"/>
    <n v="2"/>
    <n v="264.64999999999998"/>
    <x v="235"/>
    <x v="2"/>
    <x v="2"/>
    <x v="0"/>
    <n v="190.32"/>
    <n v="158.97"/>
  </r>
  <r>
    <s v="2025-04-27"/>
    <x v="2"/>
    <x v="3"/>
    <x v="397"/>
    <n v="129.78"/>
    <n v="6"/>
    <n v="22.86"/>
    <x v="236"/>
    <x v="2"/>
    <x v="2"/>
    <x v="0"/>
    <n v="-106.92"/>
    <n v="80.75"/>
  </r>
  <r>
    <s v="2024-11-12"/>
    <x v="4"/>
    <x v="3"/>
    <x v="398"/>
    <n v="122.86"/>
    <n v="5"/>
    <n v="189.61"/>
    <x v="128"/>
    <x v="2"/>
    <x v="2"/>
    <x v="0"/>
    <n v="66.750000000000014"/>
    <n v="141.05000000000001"/>
  </r>
  <r>
    <s v="2024-11-28"/>
    <x v="4"/>
    <x v="0"/>
    <x v="310"/>
    <n v="87.82"/>
    <n v="4"/>
    <n v="360.14"/>
    <x v="237"/>
    <x v="1"/>
    <x v="2"/>
    <x v="0"/>
    <n v="272.32"/>
    <n v="126.41"/>
  </r>
  <r>
    <s v="2024-11-01"/>
    <x v="4"/>
    <x v="0"/>
    <x v="399"/>
    <n v="83.09"/>
    <n v="3"/>
    <n v="108.34"/>
    <x v="97"/>
    <x v="1"/>
    <x v="2"/>
    <x v="0"/>
    <n v="25.25"/>
    <n v="130.18"/>
  </r>
  <r>
    <s v="2025-01-03"/>
    <x v="0"/>
    <x v="2"/>
    <x v="368"/>
    <n v="145.9"/>
    <n v="3"/>
    <n v="431.52"/>
    <x v="194"/>
    <x v="2"/>
    <x v="1"/>
    <x v="0"/>
    <n v="285.62"/>
    <n v="122.3"/>
  </r>
  <r>
    <s v="2024-11-18"/>
    <x v="4"/>
    <x v="1"/>
    <x v="101"/>
    <n v="21.88"/>
    <n v="9"/>
    <n v="346.65"/>
    <x v="142"/>
    <x v="2"/>
    <x v="3"/>
    <x v="0"/>
    <n v="324.77"/>
    <n v="97.66"/>
  </r>
  <r>
    <s v="2025-02-28"/>
    <x v="5"/>
    <x v="2"/>
    <x v="79"/>
    <n v="48.61"/>
    <n v="5"/>
    <n v="290.75"/>
    <x v="61"/>
    <x v="0"/>
    <x v="3"/>
    <x v="0"/>
    <n v="242.14"/>
    <n v="101.89"/>
  </r>
  <r>
    <s v="2024-11-11"/>
    <x v="4"/>
    <x v="3"/>
    <x v="400"/>
    <n v="71.09"/>
    <n v="5"/>
    <n v="120.58"/>
    <x v="238"/>
    <x v="1"/>
    <x v="5"/>
    <x v="0"/>
    <n v="49.489999999999995"/>
    <n v="114.18"/>
  </r>
  <r>
    <s v="2025-01-05"/>
    <x v="0"/>
    <x v="2"/>
    <x v="386"/>
    <n v="125.47"/>
    <n v="5"/>
    <n v="316.83999999999997"/>
    <x v="239"/>
    <x v="0"/>
    <x v="3"/>
    <x v="0"/>
    <n v="191.36999999999998"/>
    <n v="100.82"/>
  </r>
  <r>
    <s v="2024-12-16"/>
    <x v="3"/>
    <x v="3"/>
    <x v="401"/>
    <n v="27.26"/>
    <n v="10"/>
    <n v="38.549999999999997"/>
    <x v="77"/>
    <x v="2"/>
    <x v="4"/>
    <x v="0"/>
    <n v="11.289999999999996"/>
    <n v="117.22"/>
  </r>
  <r>
    <s v="2025-02-03"/>
    <x v="5"/>
    <x v="3"/>
    <x v="402"/>
    <n v="133.69"/>
    <n v="10"/>
    <n v="365.11"/>
    <x v="36"/>
    <x v="2"/>
    <x v="2"/>
    <x v="0"/>
    <n v="231.42000000000002"/>
    <n v="140.16999999999999"/>
  </r>
  <r>
    <s v="2025-01-31"/>
    <x v="0"/>
    <x v="1"/>
    <x v="403"/>
    <n v="134.24"/>
    <n v="0"/>
    <n v="148.68"/>
    <x v="53"/>
    <x v="0"/>
    <x v="2"/>
    <x v="1"/>
    <n v="14.439999999999998"/>
    <n v="107.99"/>
  </r>
  <r>
    <s v="2025-04-26"/>
    <x v="2"/>
    <x v="2"/>
    <x v="165"/>
    <n v="96.64"/>
    <n v="6"/>
    <n v="170.3"/>
    <x v="22"/>
    <x v="1"/>
    <x v="0"/>
    <x v="0"/>
    <n v="73.660000000000011"/>
    <n v="91.94"/>
  </r>
  <r>
    <s v="2025-04-03"/>
    <x v="2"/>
    <x v="2"/>
    <x v="404"/>
    <n v="125.52"/>
    <n v="1"/>
    <n v="187.96"/>
    <x v="105"/>
    <x v="2"/>
    <x v="1"/>
    <x v="0"/>
    <n v="62.440000000000012"/>
    <n v="120.23"/>
  </r>
  <r>
    <s v="2024-12-27"/>
    <x v="3"/>
    <x v="2"/>
    <x v="405"/>
    <n v="63.49"/>
    <n v="2"/>
    <n v="237.55"/>
    <x v="2"/>
    <x v="1"/>
    <x v="2"/>
    <x v="0"/>
    <n v="174.06"/>
    <n v="136.94999999999999"/>
  </r>
  <r>
    <s v="2024-12-27"/>
    <x v="3"/>
    <x v="0"/>
    <x v="406"/>
    <n v="66.209999999999994"/>
    <n v="5"/>
    <n v="449.18"/>
    <x v="240"/>
    <x v="1"/>
    <x v="4"/>
    <x v="0"/>
    <n v="382.97"/>
    <n v="151.02000000000001"/>
  </r>
  <r>
    <s v="2025-01-23"/>
    <x v="0"/>
    <x v="1"/>
    <x v="407"/>
    <n v="100.8"/>
    <n v="4"/>
    <n v="475.6"/>
    <x v="241"/>
    <x v="2"/>
    <x v="1"/>
    <x v="0"/>
    <n v="374.8"/>
    <n v="219.54"/>
  </r>
  <r>
    <s v="2024-11-03"/>
    <x v="4"/>
    <x v="1"/>
    <x v="408"/>
    <n v="64.989999999999995"/>
    <n v="10"/>
    <n v="461.39"/>
    <x v="232"/>
    <x v="2"/>
    <x v="2"/>
    <x v="0"/>
    <n v="396.4"/>
    <n v="118.07"/>
  </r>
  <r>
    <s v="2025-02-04"/>
    <x v="5"/>
    <x v="2"/>
    <x v="62"/>
    <n v="48.19"/>
    <n v="1"/>
    <n v="459.49"/>
    <x v="0"/>
    <x v="0"/>
    <x v="1"/>
    <x v="0"/>
    <n v="411.3"/>
    <n v="115.58"/>
  </r>
  <r>
    <s v="2025-01-02"/>
    <x v="0"/>
    <x v="0"/>
    <x v="346"/>
    <n v="49.56"/>
    <n v="6"/>
    <n v="224.07"/>
    <x v="178"/>
    <x v="1"/>
    <x v="5"/>
    <x v="0"/>
    <n v="174.51"/>
    <n v="115.45"/>
  </r>
  <r>
    <s v="2025-01-17"/>
    <x v="0"/>
    <x v="3"/>
    <x v="409"/>
    <n v="93.47"/>
    <n v="1"/>
    <n v="219.62"/>
    <x v="190"/>
    <x v="0"/>
    <x v="1"/>
    <x v="0"/>
    <n v="126.15"/>
    <n v="111.31"/>
  </r>
  <r>
    <s v="2025-01-17"/>
    <x v="0"/>
    <x v="1"/>
    <x v="410"/>
    <n v="115.25"/>
    <n v="8"/>
    <n v="251.61"/>
    <x v="242"/>
    <x v="0"/>
    <x v="5"/>
    <x v="0"/>
    <n v="136.36000000000001"/>
    <n v="146.06"/>
  </r>
  <r>
    <s v="2025-02-22"/>
    <x v="5"/>
    <x v="3"/>
    <x v="320"/>
    <n v="64.78"/>
    <n v="2"/>
    <n v="63.59"/>
    <x v="8"/>
    <x v="2"/>
    <x v="3"/>
    <x v="0"/>
    <n v="-1.1899999999999977"/>
    <n v="123"/>
  </r>
  <r>
    <s v="2024-11-11"/>
    <x v="4"/>
    <x v="1"/>
    <x v="411"/>
    <n v="81.040000000000006"/>
    <n v="0"/>
    <n v="317.07"/>
    <x v="243"/>
    <x v="1"/>
    <x v="1"/>
    <x v="1"/>
    <n v="236.02999999999997"/>
    <n v="140.63999999999999"/>
  </r>
  <r>
    <s v="2024-11-15"/>
    <x v="4"/>
    <x v="2"/>
    <x v="412"/>
    <n v="129.31"/>
    <n v="6"/>
    <n v="356.68"/>
    <x v="225"/>
    <x v="0"/>
    <x v="0"/>
    <x v="0"/>
    <n v="227.37"/>
    <n v="92.43"/>
  </r>
  <r>
    <s v="2024-12-13"/>
    <x v="3"/>
    <x v="1"/>
    <x v="413"/>
    <n v="64.83"/>
    <n v="5"/>
    <n v="332.85"/>
    <x v="244"/>
    <x v="0"/>
    <x v="4"/>
    <x v="0"/>
    <n v="268.02000000000004"/>
    <n v="172.29"/>
  </r>
  <r>
    <s v="2025-02-20"/>
    <x v="5"/>
    <x v="0"/>
    <x v="414"/>
    <n v="68.3"/>
    <n v="4"/>
    <n v="476.69"/>
    <x v="123"/>
    <x v="2"/>
    <x v="1"/>
    <x v="0"/>
    <n v="408.39"/>
    <n v="170.37"/>
  </r>
  <r>
    <s v="2025-03-22"/>
    <x v="1"/>
    <x v="0"/>
    <x v="238"/>
    <n v="91.91"/>
    <n v="5"/>
    <n v="357.91"/>
    <x v="113"/>
    <x v="0"/>
    <x v="5"/>
    <x v="0"/>
    <n v="266"/>
    <n v="135.35"/>
  </r>
  <r>
    <s v="2024-11-23"/>
    <x v="4"/>
    <x v="2"/>
    <x v="415"/>
    <n v="128.63999999999999"/>
    <n v="5"/>
    <n v="409.92"/>
    <x v="245"/>
    <x v="2"/>
    <x v="5"/>
    <x v="0"/>
    <n v="281.28000000000003"/>
    <n v="124.48"/>
  </r>
  <r>
    <s v="2025-02-12"/>
    <x v="5"/>
    <x v="0"/>
    <x v="193"/>
    <n v="119.45"/>
    <n v="1"/>
    <n v="419.14"/>
    <x v="150"/>
    <x v="2"/>
    <x v="2"/>
    <x v="0"/>
    <n v="299.69"/>
    <n v="145.5"/>
  </r>
  <r>
    <s v="2025-02-15"/>
    <x v="5"/>
    <x v="1"/>
    <x v="416"/>
    <n v="91.7"/>
    <n v="4"/>
    <n v="450.84"/>
    <x v="2"/>
    <x v="1"/>
    <x v="1"/>
    <x v="0"/>
    <n v="359.14"/>
    <n v="143.78"/>
  </r>
  <r>
    <s v="2025-04-27"/>
    <x v="2"/>
    <x v="3"/>
    <x v="417"/>
    <n v="28.71"/>
    <n v="5"/>
    <n v="213.58"/>
    <x v="246"/>
    <x v="0"/>
    <x v="5"/>
    <x v="0"/>
    <n v="184.87"/>
    <n v="150.58000000000001"/>
  </r>
  <r>
    <s v="2024-12-19"/>
    <x v="3"/>
    <x v="2"/>
    <x v="418"/>
    <n v="41.16"/>
    <n v="3"/>
    <n v="303.89"/>
    <x v="247"/>
    <x v="0"/>
    <x v="3"/>
    <x v="0"/>
    <n v="262.73"/>
    <n v="130.84"/>
  </r>
  <r>
    <s v="2025-01-07"/>
    <x v="0"/>
    <x v="0"/>
    <x v="151"/>
    <n v="121.05"/>
    <n v="1"/>
    <n v="119.74"/>
    <x v="139"/>
    <x v="1"/>
    <x v="3"/>
    <x v="0"/>
    <n v="-1.3100000000000023"/>
    <n v="145.47999999999999"/>
  </r>
  <r>
    <s v="2024-11-10"/>
    <x v="4"/>
    <x v="3"/>
    <x v="165"/>
    <n v="101.65"/>
    <n v="2"/>
    <n v="453.42"/>
    <x v="3"/>
    <x v="2"/>
    <x v="1"/>
    <x v="0"/>
    <n v="351.77"/>
    <n v="140.84"/>
  </r>
  <r>
    <s v="2025-01-19"/>
    <x v="0"/>
    <x v="2"/>
    <x v="419"/>
    <n v="91.58"/>
    <n v="10"/>
    <n v="403.63"/>
    <x v="11"/>
    <x v="1"/>
    <x v="2"/>
    <x v="0"/>
    <n v="312.05"/>
    <n v="142.15"/>
  </r>
  <r>
    <s v="2025-01-29"/>
    <x v="0"/>
    <x v="0"/>
    <x v="243"/>
    <n v="124.18"/>
    <n v="0"/>
    <n v="480.1"/>
    <x v="60"/>
    <x v="0"/>
    <x v="1"/>
    <x v="1"/>
    <n v="355.92"/>
    <n v="122.68"/>
  </r>
  <r>
    <s v="2025-03-19"/>
    <x v="1"/>
    <x v="2"/>
    <x v="420"/>
    <n v="112.75"/>
    <n v="7"/>
    <n v="211.18"/>
    <x v="133"/>
    <x v="1"/>
    <x v="1"/>
    <x v="0"/>
    <n v="98.43"/>
    <n v="114.82"/>
  </r>
  <r>
    <s v="2024-12-22"/>
    <x v="3"/>
    <x v="0"/>
    <x v="421"/>
    <n v="107.49"/>
    <n v="6"/>
    <n v="231.74"/>
    <x v="222"/>
    <x v="1"/>
    <x v="0"/>
    <x v="0"/>
    <n v="124.25000000000001"/>
    <n v="108.21"/>
  </r>
  <r>
    <s v="2025-03-13"/>
    <x v="1"/>
    <x v="1"/>
    <x v="413"/>
    <n v="91.42"/>
    <n v="7"/>
    <n v="43.45"/>
    <x v="11"/>
    <x v="2"/>
    <x v="1"/>
    <x v="0"/>
    <n v="-47.97"/>
    <n v="143.38"/>
  </r>
  <r>
    <s v="2025-03-15"/>
    <x v="1"/>
    <x v="1"/>
    <x v="422"/>
    <n v="61.47"/>
    <n v="2"/>
    <n v="189.06"/>
    <x v="114"/>
    <x v="1"/>
    <x v="3"/>
    <x v="0"/>
    <n v="127.59"/>
    <n v="141.11000000000001"/>
  </r>
  <r>
    <s v="2024-12-24"/>
    <x v="3"/>
    <x v="3"/>
    <x v="61"/>
    <n v="21.24"/>
    <n v="1"/>
    <n v="396.24"/>
    <x v="248"/>
    <x v="1"/>
    <x v="5"/>
    <x v="0"/>
    <n v="375"/>
    <n v="178.31"/>
  </r>
  <r>
    <s v="2025-02-20"/>
    <x v="5"/>
    <x v="2"/>
    <x v="423"/>
    <n v="131.29"/>
    <n v="5"/>
    <n v="142.52000000000001"/>
    <x v="40"/>
    <x v="2"/>
    <x v="1"/>
    <x v="0"/>
    <n v="11.230000000000018"/>
    <n v="125.56"/>
  </r>
  <r>
    <s v="2025-01-04"/>
    <x v="0"/>
    <x v="1"/>
    <x v="307"/>
    <n v="44.07"/>
    <n v="4"/>
    <n v="260.62"/>
    <x v="126"/>
    <x v="1"/>
    <x v="3"/>
    <x v="0"/>
    <n v="216.55"/>
    <n v="163.4"/>
  </r>
  <r>
    <s v="2025-03-27"/>
    <x v="1"/>
    <x v="2"/>
    <x v="424"/>
    <n v="147.06"/>
    <n v="4"/>
    <n v="103.18"/>
    <x v="135"/>
    <x v="1"/>
    <x v="1"/>
    <x v="0"/>
    <n v="-43.879999999999995"/>
    <n v="108.24"/>
  </r>
  <r>
    <s v="2024-12-19"/>
    <x v="3"/>
    <x v="1"/>
    <x v="425"/>
    <n v="114.63"/>
    <n v="2"/>
    <n v="294.69"/>
    <x v="74"/>
    <x v="0"/>
    <x v="2"/>
    <x v="0"/>
    <n v="180.06"/>
    <n v="133.63999999999999"/>
  </r>
  <r>
    <s v="2024-12-12"/>
    <x v="3"/>
    <x v="1"/>
    <x v="111"/>
    <n v="56.93"/>
    <n v="6"/>
    <n v="393.37"/>
    <x v="49"/>
    <x v="0"/>
    <x v="3"/>
    <x v="0"/>
    <n v="336.44"/>
    <n v="121.1"/>
  </r>
  <r>
    <s v="2025-01-04"/>
    <x v="0"/>
    <x v="0"/>
    <x v="340"/>
    <n v="114.47"/>
    <n v="0"/>
    <n v="59.18"/>
    <x v="249"/>
    <x v="0"/>
    <x v="3"/>
    <x v="1"/>
    <n v="-55.29"/>
    <n v="121.78"/>
  </r>
  <r>
    <s v="2024-12-27"/>
    <x v="3"/>
    <x v="2"/>
    <x v="353"/>
    <n v="116.25"/>
    <n v="1"/>
    <n v="205.68"/>
    <x v="21"/>
    <x v="2"/>
    <x v="0"/>
    <x v="0"/>
    <n v="89.43"/>
    <n v="136.16999999999999"/>
  </r>
  <r>
    <s v="2024-11-03"/>
    <x v="4"/>
    <x v="2"/>
    <x v="426"/>
    <n v="78.11"/>
    <n v="4"/>
    <n v="228.55"/>
    <x v="24"/>
    <x v="0"/>
    <x v="5"/>
    <x v="0"/>
    <n v="150.44"/>
    <n v="124.11"/>
  </r>
  <r>
    <s v="2024-12-02"/>
    <x v="3"/>
    <x v="0"/>
    <x v="427"/>
    <n v="123.69"/>
    <n v="8"/>
    <n v="328.53"/>
    <x v="250"/>
    <x v="0"/>
    <x v="1"/>
    <x v="0"/>
    <n v="204.83999999999997"/>
    <n v="139.66"/>
  </r>
  <r>
    <s v="2025-01-19"/>
    <x v="0"/>
    <x v="3"/>
    <x v="428"/>
    <n v="138.57"/>
    <n v="9"/>
    <n v="42.32"/>
    <x v="251"/>
    <x v="2"/>
    <x v="5"/>
    <x v="0"/>
    <n v="-96.25"/>
    <n v="40.19"/>
  </r>
  <r>
    <s v="2025-01-26"/>
    <x v="0"/>
    <x v="2"/>
    <x v="278"/>
    <n v="115.17"/>
    <n v="0"/>
    <n v="229.41"/>
    <x v="60"/>
    <x v="2"/>
    <x v="2"/>
    <x v="1"/>
    <n v="114.24"/>
    <n v="124.52"/>
  </r>
  <r>
    <s v="2024-11-28"/>
    <x v="4"/>
    <x v="1"/>
    <x v="1"/>
    <n v="36.64"/>
    <n v="3"/>
    <n v="370.25"/>
    <x v="8"/>
    <x v="1"/>
    <x v="1"/>
    <x v="0"/>
    <n v="333.61"/>
    <n v="125.05"/>
  </r>
  <r>
    <s v="2025-03-09"/>
    <x v="1"/>
    <x v="1"/>
    <x v="429"/>
    <n v="19.62"/>
    <n v="8"/>
    <n v="104.3"/>
    <x v="9"/>
    <x v="1"/>
    <x v="2"/>
    <x v="0"/>
    <n v="84.679999999999993"/>
    <n v="125.69"/>
  </r>
  <r>
    <s v="2025-04-29"/>
    <x v="2"/>
    <x v="1"/>
    <x v="430"/>
    <n v="15.03"/>
    <n v="8"/>
    <n v="433.28"/>
    <x v="252"/>
    <x v="2"/>
    <x v="2"/>
    <x v="0"/>
    <n v="418.25"/>
    <n v="190.74"/>
  </r>
  <r>
    <s v="2025-04-18"/>
    <x v="2"/>
    <x v="2"/>
    <x v="431"/>
    <n v="103.79"/>
    <n v="8"/>
    <n v="220.79"/>
    <x v="164"/>
    <x v="0"/>
    <x v="1"/>
    <x v="0"/>
    <n v="116.99999999999999"/>
    <n v="113.54"/>
  </r>
  <r>
    <s v="2025-03-12"/>
    <x v="1"/>
    <x v="2"/>
    <x v="432"/>
    <n v="89.64"/>
    <n v="3"/>
    <n v="207.78"/>
    <x v="253"/>
    <x v="0"/>
    <x v="2"/>
    <x v="0"/>
    <n v="118.14"/>
    <n v="113.33"/>
  </r>
  <r>
    <s v="2025-01-07"/>
    <x v="0"/>
    <x v="3"/>
    <x v="389"/>
    <n v="11.79"/>
    <n v="3"/>
    <n v="470.14"/>
    <x v="254"/>
    <x v="0"/>
    <x v="3"/>
    <x v="0"/>
    <n v="458.34999999999997"/>
    <n v="212.46"/>
  </r>
  <r>
    <s v="2025-04-10"/>
    <x v="2"/>
    <x v="2"/>
    <x v="433"/>
    <n v="32.909999999999997"/>
    <n v="1"/>
    <n v="225.31"/>
    <x v="247"/>
    <x v="2"/>
    <x v="3"/>
    <x v="0"/>
    <n v="192.4"/>
    <n v="124.23"/>
  </r>
  <r>
    <s v="2024-11-06"/>
    <x v="4"/>
    <x v="2"/>
    <x v="165"/>
    <n v="94.74"/>
    <n v="6"/>
    <n v="31.88"/>
    <x v="73"/>
    <x v="1"/>
    <x v="5"/>
    <x v="0"/>
    <n v="-62.86"/>
    <n v="58.22"/>
  </r>
  <r>
    <s v="2025-02-08"/>
    <x v="5"/>
    <x v="0"/>
    <x v="434"/>
    <n v="125.5"/>
    <n v="9"/>
    <n v="456.97"/>
    <x v="42"/>
    <x v="1"/>
    <x v="2"/>
    <x v="0"/>
    <n v="331.47"/>
    <n v="135.01"/>
  </r>
  <r>
    <s v="2025-01-29"/>
    <x v="0"/>
    <x v="1"/>
    <x v="435"/>
    <n v="48.71"/>
    <n v="5"/>
    <n v="404.04"/>
    <x v="188"/>
    <x v="1"/>
    <x v="1"/>
    <x v="0"/>
    <n v="355.33000000000004"/>
    <n v="157.22999999999999"/>
  </r>
  <r>
    <s v="2025-04-19"/>
    <x v="2"/>
    <x v="2"/>
    <x v="436"/>
    <n v="88.02"/>
    <n v="10"/>
    <n v="208.21"/>
    <x v="41"/>
    <x v="0"/>
    <x v="1"/>
    <x v="0"/>
    <n v="120.19000000000001"/>
    <n v="119.23"/>
  </r>
  <r>
    <s v="2025-01-20"/>
    <x v="0"/>
    <x v="3"/>
    <x v="437"/>
    <n v="88.16"/>
    <n v="9"/>
    <n v="350.25"/>
    <x v="8"/>
    <x v="1"/>
    <x v="3"/>
    <x v="0"/>
    <n v="262.09000000000003"/>
    <n v="123.82"/>
  </r>
  <r>
    <s v="2025-03-01"/>
    <x v="1"/>
    <x v="0"/>
    <x v="122"/>
    <n v="119.36"/>
    <n v="8"/>
    <n v="323.61"/>
    <x v="3"/>
    <x v="1"/>
    <x v="3"/>
    <x v="0"/>
    <n v="204.25"/>
    <n v="142.71"/>
  </r>
  <r>
    <s v="2025-01-05"/>
    <x v="0"/>
    <x v="1"/>
    <x v="260"/>
    <n v="118.68"/>
    <n v="1"/>
    <n v="498.49"/>
    <x v="105"/>
    <x v="0"/>
    <x v="1"/>
    <x v="0"/>
    <n v="379.81"/>
    <n v="117.25"/>
  </r>
  <r>
    <s v="2024-12-17"/>
    <x v="3"/>
    <x v="2"/>
    <x v="438"/>
    <n v="90.46"/>
    <n v="3"/>
    <n v="338.79"/>
    <x v="114"/>
    <x v="2"/>
    <x v="2"/>
    <x v="0"/>
    <n v="248.33000000000004"/>
    <n v="131.47"/>
  </r>
  <r>
    <s v="2025-04-26"/>
    <x v="2"/>
    <x v="3"/>
    <x v="419"/>
    <n v="83.51"/>
    <n v="6"/>
    <n v="50.97"/>
    <x v="60"/>
    <x v="2"/>
    <x v="2"/>
    <x v="0"/>
    <n v="-32.540000000000006"/>
    <n v="121.39"/>
  </r>
  <r>
    <s v="2025-01-06"/>
    <x v="0"/>
    <x v="3"/>
    <x v="439"/>
    <n v="97.24"/>
    <n v="9"/>
    <n v="480.02"/>
    <x v="3"/>
    <x v="2"/>
    <x v="1"/>
    <x v="0"/>
    <n v="382.78"/>
    <n v="139.41"/>
  </r>
  <r>
    <s v="2024-11-09"/>
    <x v="4"/>
    <x v="2"/>
    <x v="440"/>
    <n v="116.08"/>
    <n v="1"/>
    <n v="251.01"/>
    <x v="45"/>
    <x v="1"/>
    <x v="0"/>
    <x v="0"/>
    <n v="134.93"/>
    <n v="103.77"/>
  </r>
  <r>
    <s v="2025-01-09"/>
    <x v="0"/>
    <x v="3"/>
    <x v="309"/>
    <n v="24.58"/>
    <n v="4"/>
    <n v="207.3"/>
    <x v="255"/>
    <x v="1"/>
    <x v="1"/>
    <x v="0"/>
    <n v="182.72000000000003"/>
    <n v="100.54"/>
  </r>
  <r>
    <s v="2025-04-27"/>
    <x v="2"/>
    <x v="0"/>
    <x v="54"/>
    <n v="85.45"/>
    <n v="6"/>
    <n v="475.68"/>
    <x v="36"/>
    <x v="2"/>
    <x v="2"/>
    <x v="0"/>
    <n v="390.23"/>
    <n v="144.08000000000001"/>
  </r>
  <r>
    <s v="2025-01-18"/>
    <x v="0"/>
    <x v="0"/>
    <x v="441"/>
    <n v="122.31"/>
    <n v="2"/>
    <n v="22.52"/>
    <x v="27"/>
    <x v="2"/>
    <x v="3"/>
    <x v="0"/>
    <n v="-99.79"/>
    <n v="113.24"/>
  </r>
  <r>
    <s v="2025-04-27"/>
    <x v="2"/>
    <x v="1"/>
    <x v="442"/>
    <n v="66.61"/>
    <n v="10"/>
    <n v="354.41"/>
    <x v="30"/>
    <x v="0"/>
    <x v="3"/>
    <x v="0"/>
    <n v="287.8"/>
    <n v="119.58"/>
  </r>
  <r>
    <s v="2024-11-25"/>
    <x v="4"/>
    <x v="2"/>
    <x v="84"/>
    <n v="63.23"/>
    <n v="6"/>
    <n v="72.77"/>
    <x v="256"/>
    <x v="0"/>
    <x v="2"/>
    <x v="0"/>
    <n v="9.5399999999999991"/>
    <n v="96.76"/>
  </r>
  <r>
    <s v="2025-02-16"/>
    <x v="5"/>
    <x v="3"/>
    <x v="434"/>
    <n v="68.25"/>
    <n v="2"/>
    <n v="61.76"/>
    <x v="257"/>
    <x v="1"/>
    <x v="0"/>
    <x v="0"/>
    <n v="-6.490000000000002"/>
    <n v="122.46"/>
  </r>
  <r>
    <s v="2025-02-12"/>
    <x v="5"/>
    <x v="3"/>
    <x v="443"/>
    <n v="86.51"/>
    <n v="9"/>
    <n v="223.53"/>
    <x v="258"/>
    <x v="1"/>
    <x v="5"/>
    <x v="0"/>
    <n v="137.01999999999998"/>
    <n v="152.37"/>
  </r>
  <r>
    <s v="2025-01-28"/>
    <x v="0"/>
    <x v="0"/>
    <x v="163"/>
    <n v="52.81"/>
    <n v="8"/>
    <n v="85.62"/>
    <x v="52"/>
    <x v="0"/>
    <x v="1"/>
    <x v="0"/>
    <n v="32.81"/>
    <n v="116.07"/>
  </r>
  <r>
    <s v="2024-12-29"/>
    <x v="3"/>
    <x v="3"/>
    <x v="210"/>
    <n v="89.8"/>
    <n v="10"/>
    <n v="376.12"/>
    <x v="14"/>
    <x v="2"/>
    <x v="2"/>
    <x v="0"/>
    <n v="286.32"/>
    <n v="78.8"/>
  </r>
  <r>
    <s v="2024-11-19"/>
    <x v="4"/>
    <x v="0"/>
    <x v="410"/>
    <n v="49.72"/>
    <n v="9"/>
    <n v="154.94"/>
    <x v="21"/>
    <x v="1"/>
    <x v="1"/>
    <x v="0"/>
    <n v="105.22"/>
    <n v="133.34"/>
  </r>
  <r>
    <s v="2025-01-28"/>
    <x v="0"/>
    <x v="3"/>
    <x v="444"/>
    <n v="75.34"/>
    <n v="4"/>
    <n v="108.05"/>
    <x v="158"/>
    <x v="2"/>
    <x v="3"/>
    <x v="0"/>
    <n v="32.709999999999994"/>
    <n v="126.92"/>
  </r>
  <r>
    <s v="2025-03-30"/>
    <x v="1"/>
    <x v="3"/>
    <x v="229"/>
    <n v="100.28"/>
    <n v="10"/>
    <n v="371.42"/>
    <x v="146"/>
    <x v="2"/>
    <x v="3"/>
    <x v="0"/>
    <n v="271.14"/>
    <n v="155.15"/>
  </r>
  <r>
    <s v="2025-03-24"/>
    <x v="1"/>
    <x v="2"/>
    <x v="445"/>
    <n v="33.119999999999997"/>
    <n v="5"/>
    <n v="379.44"/>
    <x v="102"/>
    <x v="2"/>
    <x v="1"/>
    <x v="0"/>
    <n v="346.32"/>
    <n v="129.41"/>
  </r>
  <r>
    <s v="2025-03-01"/>
    <x v="1"/>
    <x v="3"/>
    <x v="406"/>
    <n v="105.89"/>
    <n v="8"/>
    <n v="276.13"/>
    <x v="60"/>
    <x v="2"/>
    <x v="2"/>
    <x v="0"/>
    <n v="170.24"/>
    <n v="126.66"/>
  </r>
  <r>
    <s v="2024-12-14"/>
    <x v="3"/>
    <x v="3"/>
    <x v="293"/>
    <n v="36.54"/>
    <n v="7"/>
    <n v="318.33999999999997"/>
    <x v="16"/>
    <x v="2"/>
    <x v="2"/>
    <x v="0"/>
    <n v="281.79999999999995"/>
    <n v="148.13999999999999"/>
  </r>
  <r>
    <s v="2024-11-03"/>
    <x v="4"/>
    <x v="3"/>
    <x v="446"/>
    <n v="98.42"/>
    <n v="9"/>
    <n v="411.03"/>
    <x v="215"/>
    <x v="2"/>
    <x v="2"/>
    <x v="0"/>
    <n v="312.60999999999996"/>
    <n v="120.6"/>
  </r>
  <r>
    <s v="2024-11-06"/>
    <x v="4"/>
    <x v="0"/>
    <x v="310"/>
    <n v="80.510000000000005"/>
    <n v="1"/>
    <n v="212.62"/>
    <x v="164"/>
    <x v="2"/>
    <x v="2"/>
    <x v="0"/>
    <n v="132.11000000000001"/>
    <n v="110.14"/>
  </r>
  <r>
    <s v="2024-12-16"/>
    <x v="3"/>
    <x v="1"/>
    <x v="59"/>
    <n v="6.66"/>
    <n v="0"/>
    <n v="169.84"/>
    <x v="259"/>
    <x v="1"/>
    <x v="5"/>
    <x v="1"/>
    <n v="163.18"/>
    <n v="140.16"/>
  </r>
  <r>
    <s v="2024-11-09"/>
    <x v="4"/>
    <x v="2"/>
    <x v="405"/>
    <n v="13.63"/>
    <n v="2"/>
    <n v="306.72000000000003"/>
    <x v="153"/>
    <x v="0"/>
    <x v="0"/>
    <x v="0"/>
    <n v="293.09000000000003"/>
    <n v="106.47"/>
  </r>
  <r>
    <s v="2024-11-05"/>
    <x v="4"/>
    <x v="0"/>
    <x v="447"/>
    <n v="11.04"/>
    <n v="0"/>
    <n v="382.88"/>
    <x v="111"/>
    <x v="0"/>
    <x v="2"/>
    <x v="1"/>
    <n v="371.84"/>
    <n v="129.1"/>
  </r>
  <r>
    <s v="2025-04-14"/>
    <x v="2"/>
    <x v="3"/>
    <x v="382"/>
    <n v="63.87"/>
    <n v="0"/>
    <n v="209.92"/>
    <x v="39"/>
    <x v="2"/>
    <x v="4"/>
    <x v="1"/>
    <n v="146.04999999999998"/>
    <n v="161.91"/>
  </r>
  <r>
    <s v="2024-11-26"/>
    <x v="4"/>
    <x v="1"/>
    <x v="448"/>
    <n v="73.599999999999994"/>
    <n v="7"/>
    <n v="229.62"/>
    <x v="260"/>
    <x v="0"/>
    <x v="1"/>
    <x v="0"/>
    <n v="156.02000000000001"/>
    <n v="116.86"/>
  </r>
  <r>
    <s v="2024-11-16"/>
    <x v="4"/>
    <x v="0"/>
    <x v="423"/>
    <n v="129.53"/>
    <n v="7"/>
    <n v="254.94"/>
    <x v="261"/>
    <x v="2"/>
    <x v="2"/>
    <x v="0"/>
    <n v="125.41"/>
    <n v="129.97999999999999"/>
  </r>
  <r>
    <s v="2025-02-05"/>
    <x v="5"/>
    <x v="3"/>
    <x v="449"/>
    <n v="36.119999999999997"/>
    <n v="6"/>
    <n v="397.59"/>
    <x v="262"/>
    <x v="1"/>
    <x v="1"/>
    <x v="0"/>
    <n v="361.46999999999997"/>
    <n v="133.36000000000001"/>
  </r>
  <r>
    <s v="2024-11-07"/>
    <x v="4"/>
    <x v="2"/>
    <x v="102"/>
    <n v="20.96"/>
    <n v="7"/>
    <n v="395.55"/>
    <x v="231"/>
    <x v="1"/>
    <x v="5"/>
    <x v="0"/>
    <n v="374.59000000000003"/>
    <n v="142.83000000000001"/>
  </r>
  <r>
    <s v="2024-12-10"/>
    <x v="3"/>
    <x v="0"/>
    <x v="450"/>
    <n v="125.09"/>
    <n v="10"/>
    <n v="51.47"/>
    <x v="49"/>
    <x v="2"/>
    <x v="3"/>
    <x v="0"/>
    <n v="-73.62"/>
    <n v="127"/>
  </r>
  <r>
    <s v="2025-03-26"/>
    <x v="1"/>
    <x v="1"/>
    <x v="451"/>
    <n v="23.27"/>
    <n v="0"/>
    <n v="475.04"/>
    <x v="263"/>
    <x v="0"/>
    <x v="4"/>
    <x v="1"/>
    <n v="451.77000000000004"/>
    <n v="128.66"/>
  </r>
  <r>
    <s v="2024-12-26"/>
    <x v="3"/>
    <x v="1"/>
    <x v="178"/>
    <n v="81.430000000000007"/>
    <n v="6"/>
    <n v="432.88"/>
    <x v="18"/>
    <x v="1"/>
    <x v="2"/>
    <x v="0"/>
    <n v="351.45"/>
    <n v="112.11"/>
  </r>
  <r>
    <s v="2025-02-01"/>
    <x v="5"/>
    <x v="1"/>
    <x v="258"/>
    <n v="127.8"/>
    <n v="2"/>
    <n v="335.19"/>
    <x v="250"/>
    <x v="0"/>
    <x v="4"/>
    <x v="0"/>
    <n v="207.39"/>
    <n v="145.53"/>
  </r>
  <r>
    <s v="2025-03-23"/>
    <x v="1"/>
    <x v="0"/>
    <x v="20"/>
    <n v="72.91"/>
    <n v="5"/>
    <n v="176.46"/>
    <x v="228"/>
    <x v="2"/>
    <x v="5"/>
    <x v="0"/>
    <n v="103.55000000000001"/>
    <n v="150.22999999999999"/>
  </r>
  <r>
    <s v="2025-02-15"/>
    <x v="5"/>
    <x v="2"/>
    <x v="452"/>
    <n v="77.84"/>
    <n v="7"/>
    <n v="346.14"/>
    <x v="117"/>
    <x v="2"/>
    <x v="2"/>
    <x v="0"/>
    <n v="268.29999999999995"/>
    <n v="123.31"/>
  </r>
  <r>
    <s v="2025-03-04"/>
    <x v="1"/>
    <x v="2"/>
    <x v="453"/>
    <n v="146.43"/>
    <n v="0"/>
    <n v="139.97"/>
    <x v="264"/>
    <x v="1"/>
    <x v="2"/>
    <x v="1"/>
    <n v="-6.460000000000008"/>
    <n v="126.83"/>
  </r>
  <r>
    <s v="2025-01-22"/>
    <x v="0"/>
    <x v="1"/>
    <x v="454"/>
    <n v="104.37"/>
    <n v="6"/>
    <n v="298.73"/>
    <x v="265"/>
    <x v="0"/>
    <x v="2"/>
    <x v="0"/>
    <n v="194.36"/>
    <n v="141.51"/>
  </r>
  <r>
    <s v="2024-11-15"/>
    <x v="4"/>
    <x v="0"/>
    <x v="455"/>
    <n v="54.33"/>
    <n v="2"/>
    <n v="428.81"/>
    <x v="108"/>
    <x v="0"/>
    <x v="0"/>
    <x v="0"/>
    <n v="374.48"/>
    <n v="151.84"/>
  </r>
  <r>
    <s v="2025-01-25"/>
    <x v="0"/>
    <x v="2"/>
    <x v="138"/>
    <n v="89.74"/>
    <n v="0"/>
    <n v="222.81"/>
    <x v="16"/>
    <x v="0"/>
    <x v="5"/>
    <x v="1"/>
    <n v="133.07"/>
    <n v="154.02000000000001"/>
  </r>
  <r>
    <s v="2025-04-28"/>
    <x v="2"/>
    <x v="2"/>
    <x v="125"/>
    <n v="21.48"/>
    <n v="2"/>
    <n v="236.83"/>
    <x v="23"/>
    <x v="2"/>
    <x v="1"/>
    <x v="0"/>
    <n v="215.35000000000002"/>
    <n v="124.8"/>
  </r>
  <r>
    <s v="2024-12-16"/>
    <x v="3"/>
    <x v="1"/>
    <x v="456"/>
    <n v="36.1"/>
    <n v="8"/>
    <n v="127.25"/>
    <x v="266"/>
    <x v="2"/>
    <x v="1"/>
    <x v="0"/>
    <n v="91.15"/>
    <n v="72.180000000000007"/>
  </r>
  <r>
    <s v="2024-11-06"/>
    <x v="4"/>
    <x v="1"/>
    <x v="457"/>
    <n v="83.5"/>
    <n v="3"/>
    <n v="124.85"/>
    <x v="33"/>
    <x v="2"/>
    <x v="1"/>
    <x v="0"/>
    <n v="41.349999999999994"/>
    <n v="134.94999999999999"/>
  </r>
  <r>
    <s v="2024-11-10"/>
    <x v="4"/>
    <x v="3"/>
    <x v="15"/>
    <n v="27.7"/>
    <n v="4"/>
    <n v="369.39"/>
    <x v="267"/>
    <x v="2"/>
    <x v="2"/>
    <x v="0"/>
    <n v="341.69"/>
    <n v="177.08"/>
  </r>
  <r>
    <s v="2025-03-04"/>
    <x v="1"/>
    <x v="3"/>
    <x v="129"/>
    <n v="37.46"/>
    <n v="0"/>
    <n v="275.29000000000002"/>
    <x v="258"/>
    <x v="0"/>
    <x v="0"/>
    <x v="1"/>
    <n v="237.83"/>
    <n v="153.16"/>
  </r>
  <r>
    <s v="2025-04-22"/>
    <x v="2"/>
    <x v="1"/>
    <x v="458"/>
    <n v="101.76"/>
    <n v="4"/>
    <n v="480.57"/>
    <x v="191"/>
    <x v="1"/>
    <x v="5"/>
    <x v="0"/>
    <n v="378.81"/>
    <n v="154.30000000000001"/>
  </r>
  <r>
    <s v="2024-11-25"/>
    <x v="4"/>
    <x v="0"/>
    <x v="459"/>
    <n v="69.7"/>
    <n v="4"/>
    <n v="84.77"/>
    <x v="63"/>
    <x v="1"/>
    <x v="2"/>
    <x v="0"/>
    <n v="15.069999999999993"/>
    <n v="128.04"/>
  </r>
  <r>
    <s v="2024-11-02"/>
    <x v="4"/>
    <x v="1"/>
    <x v="460"/>
    <n v="138.11000000000001"/>
    <n v="0"/>
    <n v="375.92"/>
    <x v="26"/>
    <x v="1"/>
    <x v="3"/>
    <x v="1"/>
    <n v="237.81"/>
    <n v="118.99"/>
  </r>
  <r>
    <s v="2025-02-16"/>
    <x v="5"/>
    <x v="0"/>
    <x v="230"/>
    <n v="16.440000000000001"/>
    <n v="8"/>
    <n v="460.98"/>
    <x v="11"/>
    <x v="0"/>
    <x v="2"/>
    <x v="0"/>
    <n v="444.54"/>
    <n v="138.79"/>
  </r>
  <r>
    <s v="2024-12-26"/>
    <x v="3"/>
    <x v="3"/>
    <x v="438"/>
    <n v="28.63"/>
    <n v="8"/>
    <n v="27.36"/>
    <x v="194"/>
    <x v="1"/>
    <x v="2"/>
    <x v="0"/>
    <n v="-1.2699999999999996"/>
    <n v="130.59"/>
  </r>
  <r>
    <s v="2025-03-07"/>
    <x v="1"/>
    <x v="1"/>
    <x v="461"/>
    <n v="49.62"/>
    <n v="8"/>
    <n v="83.55"/>
    <x v="268"/>
    <x v="2"/>
    <x v="1"/>
    <x v="0"/>
    <n v="33.93"/>
    <n v="109.23"/>
  </r>
  <r>
    <s v="2024-12-28"/>
    <x v="3"/>
    <x v="3"/>
    <x v="462"/>
    <n v="26.98"/>
    <n v="5"/>
    <n v="143.66"/>
    <x v="45"/>
    <x v="0"/>
    <x v="4"/>
    <x v="0"/>
    <n v="116.67999999999999"/>
    <n v="102.38"/>
  </r>
  <r>
    <s v="2025-03-25"/>
    <x v="1"/>
    <x v="1"/>
    <x v="463"/>
    <n v="34.94"/>
    <n v="4"/>
    <n v="74.430000000000007"/>
    <x v="197"/>
    <x v="1"/>
    <x v="5"/>
    <x v="0"/>
    <n v="39.490000000000009"/>
    <n v="130.07"/>
  </r>
  <r>
    <s v="2025-02-11"/>
    <x v="5"/>
    <x v="1"/>
    <x v="373"/>
    <n v="64.94"/>
    <n v="8"/>
    <n v="435.86"/>
    <x v="269"/>
    <x v="1"/>
    <x v="5"/>
    <x v="0"/>
    <n v="370.92"/>
    <n v="172.84"/>
  </r>
  <r>
    <s v="2024-12-12"/>
    <x v="3"/>
    <x v="1"/>
    <x v="464"/>
    <n v="108.26"/>
    <n v="4"/>
    <n v="141.94999999999999"/>
    <x v="38"/>
    <x v="0"/>
    <x v="1"/>
    <x v="0"/>
    <n v="33.689999999999984"/>
    <n v="104.34"/>
  </r>
  <r>
    <s v="2025-03-26"/>
    <x v="1"/>
    <x v="3"/>
    <x v="165"/>
    <n v="8.4600000000000009"/>
    <n v="6"/>
    <n v="351.4"/>
    <x v="139"/>
    <x v="0"/>
    <x v="0"/>
    <x v="0"/>
    <n v="342.94"/>
    <n v="146.55000000000001"/>
  </r>
  <r>
    <s v="2025-01-01"/>
    <x v="0"/>
    <x v="2"/>
    <x v="465"/>
    <n v="76.33"/>
    <n v="3"/>
    <n v="42.38"/>
    <x v="270"/>
    <x v="0"/>
    <x v="2"/>
    <x v="0"/>
    <n v="-33.949999999999996"/>
    <n v="115.81"/>
  </r>
  <r>
    <s v="2024-11-26"/>
    <x v="4"/>
    <x v="3"/>
    <x v="466"/>
    <n v="97.85"/>
    <n v="7"/>
    <n v="285.60000000000002"/>
    <x v="271"/>
    <x v="2"/>
    <x v="1"/>
    <x v="0"/>
    <n v="187.75000000000003"/>
    <n v="166.38"/>
  </r>
  <r>
    <s v="2025-01-24"/>
    <x v="0"/>
    <x v="3"/>
    <x v="467"/>
    <n v="99.18"/>
    <n v="5"/>
    <n v="56.92"/>
    <x v="203"/>
    <x v="1"/>
    <x v="2"/>
    <x v="0"/>
    <n v="-42.260000000000005"/>
    <n v="95.6"/>
  </r>
  <r>
    <s v="2025-04-12"/>
    <x v="2"/>
    <x v="2"/>
    <x v="174"/>
    <n v="89.88"/>
    <n v="7"/>
    <n v="390.98"/>
    <x v="159"/>
    <x v="0"/>
    <x v="3"/>
    <x v="0"/>
    <n v="301.10000000000002"/>
    <n v="114.37"/>
  </r>
  <r>
    <s v="2025-04-29"/>
    <x v="2"/>
    <x v="2"/>
    <x v="468"/>
    <n v="79.25"/>
    <n v="6"/>
    <n v="62.46"/>
    <x v="272"/>
    <x v="1"/>
    <x v="2"/>
    <x v="0"/>
    <n v="-16.79"/>
    <n v="45.95"/>
  </r>
  <r>
    <s v="2025-01-07"/>
    <x v="0"/>
    <x v="2"/>
    <x v="469"/>
    <n v="142.22"/>
    <n v="8"/>
    <n v="291.12"/>
    <x v="125"/>
    <x v="0"/>
    <x v="1"/>
    <x v="0"/>
    <n v="148.9"/>
    <n v="108.64"/>
  </r>
  <r>
    <s v="2025-01-01"/>
    <x v="0"/>
    <x v="3"/>
    <x v="270"/>
    <n v="147.63999999999999"/>
    <n v="7"/>
    <n v="295.74"/>
    <x v="234"/>
    <x v="1"/>
    <x v="4"/>
    <x v="0"/>
    <n v="148.10000000000002"/>
    <n v="89.52"/>
  </r>
  <r>
    <s v="2024-12-05"/>
    <x v="3"/>
    <x v="1"/>
    <x v="388"/>
    <n v="85.58"/>
    <n v="5"/>
    <n v="416.94"/>
    <x v="103"/>
    <x v="1"/>
    <x v="3"/>
    <x v="0"/>
    <n v="331.36"/>
    <n v="171.31"/>
  </r>
  <r>
    <s v="2024-12-21"/>
    <x v="3"/>
    <x v="1"/>
    <x v="23"/>
    <n v="24.19"/>
    <n v="7"/>
    <n v="368.82"/>
    <x v="42"/>
    <x v="0"/>
    <x v="2"/>
    <x v="0"/>
    <n v="344.63"/>
    <n v="136.94"/>
  </r>
  <r>
    <s v="2025-04-05"/>
    <x v="2"/>
    <x v="1"/>
    <x v="11"/>
    <n v="38.58"/>
    <n v="4"/>
    <n v="126.55"/>
    <x v="174"/>
    <x v="2"/>
    <x v="1"/>
    <x v="0"/>
    <n v="87.97"/>
    <n v="49.68"/>
  </r>
  <r>
    <s v="2025-01-16"/>
    <x v="0"/>
    <x v="3"/>
    <x v="146"/>
    <n v="76.95"/>
    <n v="6"/>
    <n v="35.56"/>
    <x v="52"/>
    <x v="0"/>
    <x v="4"/>
    <x v="0"/>
    <n v="-41.39"/>
    <n v="116.33"/>
  </r>
  <r>
    <s v="2024-12-18"/>
    <x v="3"/>
    <x v="3"/>
    <x v="470"/>
    <n v="135.47999999999999"/>
    <n v="4"/>
    <n v="73.08"/>
    <x v="61"/>
    <x v="1"/>
    <x v="4"/>
    <x v="0"/>
    <n v="-62.399999999999991"/>
    <n v="102.45"/>
  </r>
  <r>
    <s v="2025-03-18"/>
    <x v="1"/>
    <x v="0"/>
    <x v="471"/>
    <n v="110.78"/>
    <n v="6"/>
    <n v="379.84"/>
    <x v="273"/>
    <x v="2"/>
    <x v="3"/>
    <x v="0"/>
    <n v="269.05999999999995"/>
    <n v="144.77000000000001"/>
  </r>
  <r>
    <s v="2025-03-06"/>
    <x v="1"/>
    <x v="3"/>
    <x v="472"/>
    <n v="146.26"/>
    <n v="3"/>
    <n v="130.46"/>
    <x v="24"/>
    <x v="2"/>
    <x v="5"/>
    <x v="0"/>
    <n v="-15.799999999999983"/>
    <n v="119.44"/>
  </r>
  <r>
    <s v="2024-12-06"/>
    <x v="3"/>
    <x v="3"/>
    <x v="473"/>
    <n v="78.13"/>
    <n v="0"/>
    <n v="315.92"/>
    <x v="237"/>
    <x v="1"/>
    <x v="0"/>
    <x v="1"/>
    <n v="237.79000000000002"/>
    <n v="120.83"/>
  </r>
  <r>
    <s v="2024-11-27"/>
    <x v="4"/>
    <x v="1"/>
    <x v="474"/>
    <n v="51.73"/>
    <n v="10"/>
    <n v="90.47"/>
    <x v="23"/>
    <x v="1"/>
    <x v="5"/>
    <x v="0"/>
    <n v="38.74"/>
    <n v="125.74"/>
  </r>
  <r>
    <s v="2024-12-03"/>
    <x v="3"/>
    <x v="3"/>
    <x v="475"/>
    <n v="127.41"/>
    <n v="7"/>
    <n v="87.07"/>
    <x v="134"/>
    <x v="1"/>
    <x v="1"/>
    <x v="0"/>
    <n v="-40.340000000000003"/>
    <n v="126.09"/>
  </r>
  <r>
    <s v="2025-03-26"/>
    <x v="1"/>
    <x v="0"/>
    <x v="476"/>
    <n v="99.56"/>
    <n v="5"/>
    <n v="367.73"/>
    <x v="274"/>
    <x v="0"/>
    <x v="2"/>
    <x v="0"/>
    <n v="268.17"/>
    <n v="100.42"/>
  </r>
  <r>
    <s v="2024-11-02"/>
    <x v="4"/>
    <x v="3"/>
    <x v="220"/>
    <n v="149.32"/>
    <n v="6"/>
    <n v="109.78"/>
    <x v="212"/>
    <x v="0"/>
    <x v="2"/>
    <x v="0"/>
    <n v="-39.539999999999992"/>
    <n v="116.16"/>
  </r>
  <r>
    <s v="2025-02-08"/>
    <x v="5"/>
    <x v="3"/>
    <x v="477"/>
    <n v="99.57"/>
    <n v="7"/>
    <n v="137.75"/>
    <x v="63"/>
    <x v="0"/>
    <x v="4"/>
    <x v="0"/>
    <n v="38.180000000000007"/>
    <n v="124.5"/>
  </r>
  <r>
    <s v="2024-12-28"/>
    <x v="3"/>
    <x v="0"/>
    <x v="12"/>
    <n v="88.62"/>
    <n v="9"/>
    <n v="203.94"/>
    <x v="222"/>
    <x v="2"/>
    <x v="1"/>
    <x v="0"/>
    <n v="115.32"/>
    <n v="112.56"/>
  </r>
  <r>
    <s v="2025-04-13"/>
    <x v="2"/>
    <x v="3"/>
    <x v="409"/>
    <n v="54.16"/>
    <n v="8"/>
    <n v="251"/>
    <x v="64"/>
    <x v="0"/>
    <x v="1"/>
    <x v="0"/>
    <n v="196.84"/>
    <n v="143.31"/>
  </r>
  <r>
    <s v="2025-03-10"/>
    <x v="1"/>
    <x v="2"/>
    <x v="342"/>
    <n v="93.79"/>
    <n v="7"/>
    <n v="330.17"/>
    <x v="3"/>
    <x v="1"/>
    <x v="2"/>
    <x v="0"/>
    <n v="236.38"/>
    <n v="137.41999999999999"/>
  </r>
  <r>
    <s v="2025-01-28"/>
    <x v="0"/>
    <x v="2"/>
    <x v="172"/>
    <n v="134.69"/>
    <n v="10"/>
    <n v="201.99"/>
    <x v="259"/>
    <x v="1"/>
    <x v="1"/>
    <x v="0"/>
    <n v="67.300000000000011"/>
    <n v="140.16999999999999"/>
  </r>
  <r>
    <s v="2024-11-24"/>
    <x v="4"/>
    <x v="1"/>
    <x v="118"/>
    <n v="81.760000000000005"/>
    <n v="0"/>
    <n v="265.45"/>
    <x v="151"/>
    <x v="1"/>
    <x v="1"/>
    <x v="1"/>
    <n v="183.69"/>
    <n v="120.13"/>
  </r>
  <r>
    <s v="2025-03-18"/>
    <x v="1"/>
    <x v="2"/>
    <x v="478"/>
    <n v="23.97"/>
    <n v="2"/>
    <n v="370.71"/>
    <x v="105"/>
    <x v="2"/>
    <x v="1"/>
    <x v="0"/>
    <n v="346.74"/>
    <n v="111.96"/>
  </r>
  <r>
    <s v="2025-02-04"/>
    <x v="5"/>
    <x v="3"/>
    <x v="479"/>
    <n v="50.02"/>
    <n v="4"/>
    <n v="214.62"/>
    <x v="275"/>
    <x v="0"/>
    <x v="5"/>
    <x v="0"/>
    <n v="164.6"/>
    <n v="117.5"/>
  </r>
  <r>
    <s v="2025-02-25"/>
    <x v="5"/>
    <x v="1"/>
    <x v="163"/>
    <n v="35.26"/>
    <n v="6"/>
    <n v="148.36000000000001"/>
    <x v="0"/>
    <x v="0"/>
    <x v="0"/>
    <x v="0"/>
    <n v="113.10000000000002"/>
    <n v="122.1"/>
  </r>
  <r>
    <s v="2024-10-31"/>
    <x v="6"/>
    <x v="0"/>
    <x v="6"/>
    <n v="107.41"/>
    <n v="6"/>
    <n v="102.83"/>
    <x v="276"/>
    <x v="1"/>
    <x v="0"/>
    <x v="0"/>
    <n v="-4.5799999999999983"/>
    <n v="64.55"/>
  </r>
  <r>
    <s v="2025-02-13"/>
    <x v="5"/>
    <x v="3"/>
    <x v="480"/>
    <n v="98.23"/>
    <n v="10"/>
    <n v="147.97999999999999"/>
    <x v="232"/>
    <x v="2"/>
    <x v="2"/>
    <x v="0"/>
    <n v="49.749999999999986"/>
    <n v="119.11"/>
  </r>
  <r>
    <s v="2024-12-05"/>
    <x v="3"/>
    <x v="0"/>
    <x v="481"/>
    <n v="122.64"/>
    <n v="5"/>
    <n v="300.75"/>
    <x v="139"/>
    <x v="1"/>
    <x v="1"/>
    <x v="0"/>
    <n v="178.11"/>
    <n v="147.72999999999999"/>
  </r>
  <r>
    <s v="2024-11-22"/>
    <x v="4"/>
    <x v="0"/>
    <x v="482"/>
    <n v="55.11"/>
    <n v="8"/>
    <n v="401.86"/>
    <x v="27"/>
    <x v="0"/>
    <x v="3"/>
    <x v="0"/>
    <n v="346.75"/>
    <n v="112.26"/>
  </r>
  <r>
    <s v="2025-01-20"/>
    <x v="0"/>
    <x v="1"/>
    <x v="483"/>
    <n v="113.79"/>
    <n v="7"/>
    <n v="361.35"/>
    <x v="57"/>
    <x v="2"/>
    <x v="1"/>
    <x v="0"/>
    <n v="247.56"/>
    <n v="114.36"/>
  </r>
  <r>
    <s v="2025-02-20"/>
    <x v="5"/>
    <x v="2"/>
    <x v="484"/>
    <n v="55.71"/>
    <n v="9"/>
    <n v="293.22000000000003"/>
    <x v="277"/>
    <x v="2"/>
    <x v="0"/>
    <x v="0"/>
    <n v="237.51000000000002"/>
    <n v="96.04"/>
  </r>
  <r>
    <s v="2025-01-03"/>
    <x v="0"/>
    <x v="0"/>
    <x v="485"/>
    <n v="31.69"/>
    <n v="3"/>
    <n v="215.93"/>
    <x v="106"/>
    <x v="0"/>
    <x v="2"/>
    <x v="0"/>
    <n v="184.24"/>
    <n v="125.31"/>
  </r>
  <r>
    <s v="2025-02-08"/>
    <x v="5"/>
    <x v="2"/>
    <x v="486"/>
    <n v="71.53"/>
    <n v="1"/>
    <n v="142.18"/>
    <x v="245"/>
    <x v="1"/>
    <x v="5"/>
    <x v="0"/>
    <n v="70.650000000000006"/>
    <n v="116.82"/>
  </r>
  <r>
    <s v="2025-04-01"/>
    <x v="2"/>
    <x v="3"/>
    <x v="270"/>
    <n v="73.56"/>
    <n v="2"/>
    <n v="261.39999999999998"/>
    <x v="247"/>
    <x v="0"/>
    <x v="3"/>
    <x v="0"/>
    <n v="187.83999999999997"/>
    <n v="123.21"/>
  </r>
  <r>
    <s v="2025-04-27"/>
    <x v="2"/>
    <x v="0"/>
    <x v="309"/>
    <n v="100.49"/>
    <n v="6"/>
    <n v="211.78"/>
    <x v="278"/>
    <x v="2"/>
    <x v="1"/>
    <x v="0"/>
    <n v="111.29"/>
    <n v="107.56"/>
  </r>
  <r>
    <s v="2025-03-26"/>
    <x v="1"/>
    <x v="1"/>
    <x v="149"/>
    <n v="25"/>
    <n v="9"/>
    <n v="442.89"/>
    <x v="34"/>
    <x v="1"/>
    <x v="5"/>
    <x v="0"/>
    <n v="417.89"/>
    <n v="150.01"/>
  </r>
  <r>
    <s v="2025-02-01"/>
    <x v="5"/>
    <x v="1"/>
    <x v="278"/>
    <n v="104.86"/>
    <n v="0"/>
    <n v="337.21"/>
    <x v="41"/>
    <x v="2"/>
    <x v="0"/>
    <x v="1"/>
    <n v="232.34999999999997"/>
    <n v="119.56"/>
  </r>
  <r>
    <s v="2025-03-20"/>
    <x v="1"/>
    <x v="3"/>
    <x v="12"/>
    <n v="119.33"/>
    <n v="0"/>
    <n v="427.75"/>
    <x v="271"/>
    <x v="0"/>
    <x v="2"/>
    <x v="1"/>
    <n v="308.42"/>
    <n v="167.64"/>
  </r>
  <r>
    <s v="2025-04-23"/>
    <x v="2"/>
    <x v="3"/>
    <x v="211"/>
    <n v="104.83"/>
    <n v="8"/>
    <n v="184.97"/>
    <x v="170"/>
    <x v="1"/>
    <x v="1"/>
    <x v="0"/>
    <n v="80.14"/>
    <n v="131.83000000000001"/>
  </r>
  <r>
    <s v="2024-11-08"/>
    <x v="4"/>
    <x v="2"/>
    <x v="379"/>
    <n v="74.47"/>
    <n v="7"/>
    <n v="21.27"/>
    <x v="279"/>
    <x v="1"/>
    <x v="1"/>
    <x v="0"/>
    <n v="-53.2"/>
    <n v="35.049999999999997"/>
  </r>
  <r>
    <s v="2024-12-19"/>
    <x v="3"/>
    <x v="2"/>
    <x v="487"/>
    <n v="115.53"/>
    <n v="6"/>
    <n v="476.49"/>
    <x v="280"/>
    <x v="2"/>
    <x v="4"/>
    <x v="0"/>
    <n v="360.96000000000004"/>
    <n v="159.24"/>
  </r>
  <r>
    <s v="2025-04-19"/>
    <x v="2"/>
    <x v="3"/>
    <x v="485"/>
    <n v="47.9"/>
    <n v="7"/>
    <n v="434.11"/>
    <x v="281"/>
    <x v="2"/>
    <x v="0"/>
    <x v="0"/>
    <n v="386.21000000000004"/>
    <n v="147.61000000000001"/>
  </r>
  <r>
    <s v="2025-02-19"/>
    <x v="5"/>
    <x v="2"/>
    <x v="364"/>
    <n v="52.3"/>
    <n v="6"/>
    <n v="146.18"/>
    <x v="4"/>
    <x v="2"/>
    <x v="4"/>
    <x v="0"/>
    <n v="93.88000000000001"/>
    <n v="122.26"/>
  </r>
  <r>
    <s v="2025-04-02"/>
    <x v="2"/>
    <x v="2"/>
    <x v="131"/>
    <n v="82.6"/>
    <n v="1"/>
    <n v="434.86"/>
    <x v="194"/>
    <x v="2"/>
    <x v="0"/>
    <x v="0"/>
    <n v="352.26"/>
    <n v="130.4"/>
  </r>
  <r>
    <s v="2025-04-24"/>
    <x v="2"/>
    <x v="2"/>
    <x v="488"/>
    <n v="141.12"/>
    <n v="5"/>
    <n v="306.23"/>
    <x v="11"/>
    <x v="0"/>
    <x v="2"/>
    <x v="0"/>
    <n v="165.11"/>
    <n v="133.13"/>
  </r>
  <r>
    <s v="2025-01-15"/>
    <x v="0"/>
    <x v="2"/>
    <x v="489"/>
    <n v="59.4"/>
    <n v="4"/>
    <n v="391.02"/>
    <x v="188"/>
    <x v="1"/>
    <x v="2"/>
    <x v="0"/>
    <n v="331.62"/>
    <n v="166.79"/>
  </r>
  <r>
    <s v="2024-12-03"/>
    <x v="3"/>
    <x v="2"/>
    <x v="490"/>
    <n v="55.77"/>
    <n v="6"/>
    <n v="39.51"/>
    <x v="14"/>
    <x v="0"/>
    <x v="2"/>
    <x v="0"/>
    <n v="-16.260000000000005"/>
    <n v="80.67"/>
  </r>
  <r>
    <s v="2025-03-13"/>
    <x v="1"/>
    <x v="0"/>
    <x v="340"/>
    <n v="83.24"/>
    <n v="4"/>
    <n v="411.49"/>
    <x v="109"/>
    <x v="0"/>
    <x v="5"/>
    <x v="0"/>
    <n v="328.25"/>
    <n v="116.5"/>
  </r>
  <r>
    <s v="2024-12-25"/>
    <x v="3"/>
    <x v="1"/>
    <x v="491"/>
    <n v="29.17"/>
    <n v="4"/>
    <n v="21.6"/>
    <x v="225"/>
    <x v="2"/>
    <x v="3"/>
    <x v="0"/>
    <n v="-7.57"/>
    <n v="92.62"/>
  </r>
  <r>
    <s v="2024-12-13"/>
    <x v="3"/>
    <x v="2"/>
    <x v="492"/>
    <n v="53.32"/>
    <n v="5"/>
    <n v="174.45"/>
    <x v="129"/>
    <x v="0"/>
    <x v="2"/>
    <x v="0"/>
    <n v="121.13"/>
    <n v="150.81"/>
  </r>
  <r>
    <s v="2025-04-07"/>
    <x v="2"/>
    <x v="0"/>
    <x v="493"/>
    <n v="34.25"/>
    <n v="9"/>
    <n v="272.01"/>
    <x v="65"/>
    <x v="2"/>
    <x v="5"/>
    <x v="0"/>
    <n v="237.76"/>
    <n v="150.84"/>
  </r>
  <r>
    <s v="2025-01-08"/>
    <x v="0"/>
    <x v="1"/>
    <x v="10"/>
    <n v="23.82"/>
    <n v="8"/>
    <n v="325.11"/>
    <x v="282"/>
    <x v="0"/>
    <x v="1"/>
    <x v="0"/>
    <n v="301.29000000000002"/>
    <n v="151.66999999999999"/>
  </r>
  <r>
    <s v="2025-02-21"/>
    <x v="5"/>
    <x v="3"/>
    <x v="28"/>
    <n v="114.28"/>
    <n v="4"/>
    <n v="414.05"/>
    <x v="211"/>
    <x v="1"/>
    <x v="4"/>
    <x v="0"/>
    <n v="299.77"/>
    <n v="131.09"/>
  </r>
  <r>
    <s v="2025-01-15"/>
    <x v="0"/>
    <x v="2"/>
    <x v="376"/>
    <n v="36.549999999999997"/>
    <n v="5"/>
    <n v="497.55"/>
    <x v="283"/>
    <x v="0"/>
    <x v="1"/>
    <x v="0"/>
    <n v="461"/>
    <n v="161.66999999999999"/>
  </r>
  <r>
    <s v="2024-11-30"/>
    <x v="4"/>
    <x v="0"/>
    <x v="494"/>
    <n v="83.15"/>
    <n v="6"/>
    <n v="353.71"/>
    <x v="240"/>
    <x v="0"/>
    <x v="4"/>
    <x v="0"/>
    <n v="270.55999999999995"/>
    <n v="147.13999999999999"/>
  </r>
  <r>
    <s v="2024-11-09"/>
    <x v="4"/>
    <x v="2"/>
    <x v="495"/>
    <n v="98.36"/>
    <n v="2"/>
    <n v="350.03"/>
    <x v="11"/>
    <x v="0"/>
    <x v="2"/>
    <x v="0"/>
    <n v="251.66999999999996"/>
    <n v="140.69999999999999"/>
  </r>
  <r>
    <s v="2024-12-27"/>
    <x v="3"/>
    <x v="0"/>
    <x v="351"/>
    <n v="28.39"/>
    <n v="6"/>
    <n v="415.16"/>
    <x v="22"/>
    <x v="1"/>
    <x v="4"/>
    <x v="0"/>
    <n v="386.77000000000004"/>
    <n v="94"/>
  </r>
  <r>
    <s v="2025-02-10"/>
    <x v="5"/>
    <x v="1"/>
    <x v="314"/>
    <n v="11.19"/>
    <n v="10"/>
    <n v="417.85"/>
    <x v="63"/>
    <x v="1"/>
    <x v="1"/>
    <x v="0"/>
    <n v="406.66"/>
    <n v="129.88"/>
  </r>
  <r>
    <s v="2025-04-18"/>
    <x v="2"/>
    <x v="0"/>
    <x v="496"/>
    <n v="30.3"/>
    <n v="0"/>
    <n v="467.4"/>
    <x v="26"/>
    <x v="1"/>
    <x v="1"/>
    <x v="1"/>
    <n v="437.09999999999997"/>
    <n v="117.88"/>
  </r>
  <r>
    <s v="2024-11-17"/>
    <x v="4"/>
    <x v="3"/>
    <x v="497"/>
    <n v="22.3"/>
    <n v="10"/>
    <n v="474.84"/>
    <x v="284"/>
    <x v="2"/>
    <x v="4"/>
    <x v="0"/>
    <n v="452.53999999999996"/>
    <n v="170.21"/>
  </r>
  <r>
    <s v="2025-04-28"/>
    <x v="2"/>
    <x v="0"/>
    <x v="498"/>
    <n v="22.92"/>
    <n v="7"/>
    <n v="279.43"/>
    <x v="0"/>
    <x v="2"/>
    <x v="1"/>
    <x v="0"/>
    <n v="256.51"/>
    <n v="112.56"/>
  </r>
  <r>
    <s v="2024-12-30"/>
    <x v="3"/>
    <x v="3"/>
    <x v="440"/>
    <n v="126.76"/>
    <n v="0"/>
    <n v="293.45999999999998"/>
    <x v="124"/>
    <x v="2"/>
    <x v="4"/>
    <x v="1"/>
    <n v="166.7"/>
    <n v="126.76"/>
  </r>
  <r>
    <s v="2024-12-18"/>
    <x v="3"/>
    <x v="1"/>
    <x v="364"/>
    <n v="76.400000000000006"/>
    <n v="5"/>
    <n v="54.98"/>
    <x v="77"/>
    <x v="0"/>
    <x v="5"/>
    <x v="0"/>
    <n v="-21.420000000000009"/>
    <n v="118.12"/>
  </r>
  <r>
    <s v="2025-02-09"/>
    <x v="5"/>
    <x v="2"/>
    <x v="499"/>
    <n v="137.72"/>
    <n v="2"/>
    <n v="335.24"/>
    <x v="285"/>
    <x v="0"/>
    <x v="3"/>
    <x v="0"/>
    <n v="197.52"/>
    <n v="151.26"/>
  </r>
  <r>
    <s v="2025-01-25"/>
    <x v="0"/>
    <x v="3"/>
    <x v="500"/>
    <n v="112.88"/>
    <n v="3"/>
    <n v="27.88"/>
    <x v="3"/>
    <x v="1"/>
    <x v="5"/>
    <x v="0"/>
    <n v="-85"/>
    <n v="143.19"/>
  </r>
  <r>
    <s v="2024-12-23"/>
    <x v="3"/>
    <x v="2"/>
    <x v="501"/>
    <n v="130.5"/>
    <n v="5"/>
    <n v="377.15"/>
    <x v="74"/>
    <x v="0"/>
    <x v="1"/>
    <x v="0"/>
    <n v="246.64999999999998"/>
    <n v="131.21"/>
  </r>
  <r>
    <s v="2025-02-28"/>
    <x v="5"/>
    <x v="1"/>
    <x v="502"/>
    <n v="126.27"/>
    <n v="6"/>
    <n v="281.05"/>
    <x v="3"/>
    <x v="2"/>
    <x v="1"/>
    <x v="0"/>
    <n v="154.78000000000003"/>
    <n v="134.08000000000001"/>
  </r>
  <r>
    <s v="2025-02-24"/>
    <x v="5"/>
    <x v="2"/>
    <x v="341"/>
    <n v="121.93"/>
    <n v="6"/>
    <n v="144.59"/>
    <x v="134"/>
    <x v="1"/>
    <x v="5"/>
    <x v="0"/>
    <n v="22.659999999999997"/>
    <n v="117.62"/>
  </r>
  <r>
    <s v="2025-02-23"/>
    <x v="5"/>
    <x v="1"/>
    <x v="503"/>
    <n v="102.88"/>
    <n v="7"/>
    <n v="266.52"/>
    <x v="33"/>
    <x v="0"/>
    <x v="2"/>
    <x v="0"/>
    <n v="163.63999999999999"/>
    <n v="130.72999999999999"/>
  </r>
  <r>
    <s v="2025-04-19"/>
    <x v="2"/>
    <x v="0"/>
    <x v="309"/>
    <n v="131.47999999999999"/>
    <n v="10"/>
    <n v="462.65"/>
    <x v="24"/>
    <x v="0"/>
    <x v="2"/>
    <x v="0"/>
    <n v="331.16999999999996"/>
    <n v="124.83"/>
  </r>
  <r>
    <s v="2024-12-20"/>
    <x v="3"/>
    <x v="1"/>
    <x v="20"/>
    <n v="17.559999999999999"/>
    <n v="6"/>
    <n v="159.36000000000001"/>
    <x v="286"/>
    <x v="0"/>
    <x v="3"/>
    <x v="0"/>
    <n v="141.80000000000001"/>
    <n v="67.8"/>
  </r>
  <r>
    <s v="2025-02-21"/>
    <x v="5"/>
    <x v="3"/>
    <x v="504"/>
    <n v="51.73"/>
    <n v="8"/>
    <n v="223.14"/>
    <x v="17"/>
    <x v="2"/>
    <x v="0"/>
    <x v="0"/>
    <n v="171.41"/>
    <n v="127.13"/>
  </r>
  <r>
    <s v="2024-11-01"/>
    <x v="4"/>
    <x v="0"/>
    <x v="221"/>
    <n v="44.6"/>
    <n v="3"/>
    <n v="357.81"/>
    <x v="52"/>
    <x v="1"/>
    <x v="0"/>
    <x v="0"/>
    <n v="313.20999999999998"/>
    <n v="115.63"/>
  </r>
  <r>
    <s v="2025-01-14"/>
    <x v="0"/>
    <x v="3"/>
    <x v="505"/>
    <n v="57.89"/>
    <n v="2"/>
    <n v="264.24"/>
    <x v="74"/>
    <x v="2"/>
    <x v="2"/>
    <x v="0"/>
    <n v="206.35000000000002"/>
    <n v="133.55000000000001"/>
  </r>
  <r>
    <s v="2024-11-14"/>
    <x v="4"/>
    <x v="0"/>
    <x v="506"/>
    <n v="56.86"/>
    <n v="3"/>
    <n v="115.55"/>
    <x v="21"/>
    <x v="0"/>
    <x v="2"/>
    <x v="0"/>
    <n v="58.69"/>
    <n v="130.19999999999999"/>
  </r>
  <r>
    <s v="2024-12-25"/>
    <x v="3"/>
    <x v="3"/>
    <x v="46"/>
    <n v="134.77000000000001"/>
    <n v="8"/>
    <n v="481.68"/>
    <x v="187"/>
    <x v="2"/>
    <x v="4"/>
    <x v="0"/>
    <n v="346.90999999999997"/>
    <n v="156.46"/>
  </r>
  <r>
    <s v="2025-02-08"/>
    <x v="5"/>
    <x v="1"/>
    <x v="7"/>
    <n v="122.36"/>
    <n v="3"/>
    <n v="475.14"/>
    <x v="78"/>
    <x v="1"/>
    <x v="2"/>
    <x v="0"/>
    <n v="352.78"/>
    <n v="169.09"/>
  </r>
  <r>
    <s v="2024-11-25"/>
    <x v="4"/>
    <x v="0"/>
    <x v="507"/>
    <n v="7.67"/>
    <n v="7"/>
    <n v="45.5"/>
    <x v="96"/>
    <x v="0"/>
    <x v="3"/>
    <x v="0"/>
    <n v="37.83"/>
    <n v="86.03"/>
  </r>
  <r>
    <s v="2025-03-18"/>
    <x v="1"/>
    <x v="1"/>
    <x v="508"/>
    <n v="129.77000000000001"/>
    <n v="6"/>
    <n v="285.57"/>
    <x v="209"/>
    <x v="2"/>
    <x v="2"/>
    <x v="0"/>
    <n v="155.79999999999998"/>
    <n v="92.13"/>
  </r>
  <r>
    <s v="2025-02-02"/>
    <x v="5"/>
    <x v="0"/>
    <x v="223"/>
    <n v="148.01"/>
    <n v="2"/>
    <n v="250.77"/>
    <x v="287"/>
    <x v="1"/>
    <x v="3"/>
    <x v="0"/>
    <n v="102.76000000000002"/>
    <n v="118.25"/>
  </r>
  <r>
    <s v="2025-03-09"/>
    <x v="1"/>
    <x v="0"/>
    <x v="509"/>
    <n v="32"/>
    <n v="7"/>
    <n v="172.99"/>
    <x v="80"/>
    <x v="2"/>
    <x v="0"/>
    <x v="0"/>
    <n v="140.99"/>
    <n v="150.69"/>
  </r>
  <r>
    <s v="2025-03-21"/>
    <x v="1"/>
    <x v="2"/>
    <x v="412"/>
    <n v="44.41"/>
    <n v="5"/>
    <n v="360.25"/>
    <x v="232"/>
    <x v="2"/>
    <x v="1"/>
    <x v="0"/>
    <n v="315.84000000000003"/>
    <n v="117.78"/>
  </r>
  <r>
    <s v="2024-12-12"/>
    <x v="3"/>
    <x v="3"/>
    <x v="510"/>
    <n v="44.38"/>
    <n v="6"/>
    <n v="143.15"/>
    <x v="288"/>
    <x v="0"/>
    <x v="2"/>
    <x v="0"/>
    <n v="98.77000000000001"/>
    <n v="71.400000000000006"/>
  </r>
  <r>
    <s v="2025-04-06"/>
    <x v="2"/>
    <x v="0"/>
    <x v="511"/>
    <n v="139.86000000000001"/>
    <n v="6"/>
    <n v="344.77"/>
    <x v="289"/>
    <x v="1"/>
    <x v="1"/>
    <x v="0"/>
    <n v="204.90999999999997"/>
    <n v="124.23"/>
  </r>
  <r>
    <s v="2025-02-10"/>
    <x v="5"/>
    <x v="1"/>
    <x v="356"/>
    <n v="118.31"/>
    <n v="6"/>
    <n v="173.46"/>
    <x v="44"/>
    <x v="1"/>
    <x v="5"/>
    <x v="0"/>
    <n v="55.150000000000006"/>
    <n v="94.72"/>
  </r>
  <r>
    <s v="2025-01-25"/>
    <x v="0"/>
    <x v="3"/>
    <x v="462"/>
    <n v="28.96"/>
    <n v="6"/>
    <n v="382.22"/>
    <x v="60"/>
    <x v="2"/>
    <x v="2"/>
    <x v="0"/>
    <n v="353.26000000000005"/>
    <n v="120.76"/>
  </r>
  <r>
    <s v="2025-02-13"/>
    <x v="5"/>
    <x v="3"/>
    <x v="512"/>
    <n v="37.479999999999997"/>
    <n v="1"/>
    <n v="48.67"/>
    <x v="210"/>
    <x v="0"/>
    <x v="4"/>
    <x v="0"/>
    <n v="11.190000000000005"/>
    <n v="120.31"/>
  </r>
  <r>
    <s v="2024-12-31"/>
    <x v="3"/>
    <x v="1"/>
    <x v="307"/>
    <n v="35.61"/>
    <n v="4"/>
    <n v="160.85"/>
    <x v="290"/>
    <x v="2"/>
    <x v="1"/>
    <x v="0"/>
    <n v="125.24"/>
    <n v="93.24"/>
  </r>
  <r>
    <s v="2024-12-30"/>
    <x v="3"/>
    <x v="1"/>
    <x v="485"/>
    <n v="85.53"/>
    <n v="6"/>
    <n v="334.12"/>
    <x v="103"/>
    <x v="0"/>
    <x v="2"/>
    <x v="0"/>
    <n v="248.59"/>
    <n v="168.4"/>
  </r>
  <r>
    <s v="2025-03-06"/>
    <x v="1"/>
    <x v="2"/>
    <x v="513"/>
    <n v="141.52000000000001"/>
    <n v="8"/>
    <n v="35.049999999999997"/>
    <x v="85"/>
    <x v="1"/>
    <x v="2"/>
    <x v="0"/>
    <n v="-106.47000000000001"/>
    <n v="118.21"/>
  </r>
  <r>
    <s v="2025-02-09"/>
    <x v="5"/>
    <x v="0"/>
    <x v="323"/>
    <n v="82.47"/>
    <n v="7"/>
    <n v="176.03"/>
    <x v="289"/>
    <x v="1"/>
    <x v="5"/>
    <x v="0"/>
    <n v="93.56"/>
    <n v="126.13"/>
  </r>
  <r>
    <s v="2025-01-08"/>
    <x v="0"/>
    <x v="1"/>
    <x v="514"/>
    <n v="148.19999999999999"/>
    <n v="0"/>
    <n v="322.29000000000002"/>
    <x v="83"/>
    <x v="1"/>
    <x v="4"/>
    <x v="1"/>
    <n v="174.09000000000003"/>
    <n v="179.47"/>
  </r>
  <r>
    <s v="2024-12-06"/>
    <x v="3"/>
    <x v="2"/>
    <x v="515"/>
    <n v="43.68"/>
    <n v="0"/>
    <n v="132.32"/>
    <x v="106"/>
    <x v="1"/>
    <x v="2"/>
    <x v="1"/>
    <n v="88.639999999999986"/>
    <n v="120.66"/>
  </r>
  <r>
    <s v="2025-04-21"/>
    <x v="2"/>
    <x v="1"/>
    <x v="397"/>
    <n v="79.3"/>
    <n v="9"/>
    <n v="257.08999999999997"/>
    <x v="259"/>
    <x v="0"/>
    <x v="0"/>
    <x v="0"/>
    <n v="177.78999999999996"/>
    <n v="132.76"/>
  </r>
  <r>
    <s v="2025-04-06"/>
    <x v="2"/>
    <x v="1"/>
    <x v="183"/>
    <n v="106.23"/>
    <n v="7"/>
    <n v="476.91"/>
    <x v="200"/>
    <x v="1"/>
    <x v="3"/>
    <x v="0"/>
    <n v="370.68"/>
    <n v="176.51"/>
  </r>
  <r>
    <s v="2024-12-30"/>
    <x v="3"/>
    <x v="2"/>
    <x v="516"/>
    <n v="49.56"/>
    <n v="4"/>
    <n v="471.21"/>
    <x v="291"/>
    <x v="1"/>
    <x v="5"/>
    <x v="0"/>
    <n v="421.65"/>
    <n v="216.69"/>
  </r>
  <r>
    <s v="2025-03-19"/>
    <x v="1"/>
    <x v="2"/>
    <x v="470"/>
    <n v="32.42"/>
    <n v="6"/>
    <n v="426.04"/>
    <x v="292"/>
    <x v="0"/>
    <x v="3"/>
    <x v="0"/>
    <n v="393.62"/>
    <n v="149.18"/>
  </r>
  <r>
    <s v="2024-11-06"/>
    <x v="4"/>
    <x v="0"/>
    <x v="517"/>
    <n v="50.4"/>
    <n v="3"/>
    <n v="20.350000000000001"/>
    <x v="293"/>
    <x v="1"/>
    <x v="2"/>
    <x v="0"/>
    <n v="-30.049999999999997"/>
    <n v="37.35"/>
  </r>
  <r>
    <s v="2025-03-26"/>
    <x v="1"/>
    <x v="1"/>
    <x v="518"/>
    <n v="8.89"/>
    <n v="6"/>
    <n v="316.16000000000003"/>
    <x v="19"/>
    <x v="1"/>
    <x v="2"/>
    <x v="0"/>
    <n v="307.27000000000004"/>
    <n v="153.04"/>
  </r>
  <r>
    <s v="2024-12-22"/>
    <x v="3"/>
    <x v="3"/>
    <x v="519"/>
    <n v="126.6"/>
    <n v="5"/>
    <n v="191.72"/>
    <x v="3"/>
    <x v="0"/>
    <x v="2"/>
    <x v="0"/>
    <n v="65.12"/>
    <n v="137.77000000000001"/>
  </r>
  <r>
    <s v="2025-01-17"/>
    <x v="0"/>
    <x v="1"/>
    <x v="520"/>
    <n v="141.49"/>
    <n v="8"/>
    <n v="137.79"/>
    <x v="294"/>
    <x v="0"/>
    <x v="2"/>
    <x v="0"/>
    <n v="-3.7000000000000171"/>
    <n v="77.64"/>
  </r>
  <r>
    <s v="2024-11-18"/>
    <x v="4"/>
    <x v="0"/>
    <x v="521"/>
    <n v="57.57"/>
    <n v="8"/>
    <n v="422.6"/>
    <x v="295"/>
    <x v="2"/>
    <x v="0"/>
    <x v="0"/>
    <n v="365.03000000000003"/>
    <n v="190.63"/>
  </r>
  <r>
    <s v="2024-11-29"/>
    <x v="4"/>
    <x v="1"/>
    <x v="102"/>
    <n v="61.93"/>
    <n v="8"/>
    <n v="462.05"/>
    <x v="36"/>
    <x v="1"/>
    <x v="2"/>
    <x v="0"/>
    <n v="400.12"/>
    <n v="140.24"/>
  </r>
  <r>
    <s v="2025-03-02"/>
    <x v="1"/>
    <x v="3"/>
    <x v="522"/>
    <n v="147.51"/>
    <n v="0"/>
    <n v="43.09"/>
    <x v="125"/>
    <x v="0"/>
    <x v="1"/>
    <x v="1"/>
    <n v="-104.41999999999999"/>
    <n v="111.42"/>
  </r>
  <r>
    <s v="2025-03-27"/>
    <x v="1"/>
    <x v="3"/>
    <x v="166"/>
    <n v="8.5399999999999991"/>
    <n v="9"/>
    <n v="477.93"/>
    <x v="194"/>
    <x v="0"/>
    <x v="0"/>
    <x v="0"/>
    <n v="469.39"/>
    <n v="131.09"/>
  </r>
  <r>
    <s v="2025-03-29"/>
    <x v="1"/>
    <x v="1"/>
    <x v="523"/>
    <n v="117.58"/>
    <n v="1"/>
    <n v="373.52"/>
    <x v="284"/>
    <x v="1"/>
    <x v="2"/>
    <x v="0"/>
    <n v="255.94"/>
    <n v="162.97999999999999"/>
  </r>
  <r>
    <s v="2025-03-03"/>
    <x v="1"/>
    <x v="2"/>
    <x v="522"/>
    <n v="60.3"/>
    <n v="10"/>
    <n v="175.9"/>
    <x v="36"/>
    <x v="0"/>
    <x v="1"/>
    <x v="0"/>
    <n v="115.60000000000001"/>
    <n v="139.44999999999999"/>
  </r>
  <r>
    <s v="2024-12-16"/>
    <x v="3"/>
    <x v="0"/>
    <x v="524"/>
    <n v="102.01"/>
    <n v="4"/>
    <n v="484.3"/>
    <x v="85"/>
    <x v="1"/>
    <x v="1"/>
    <x v="0"/>
    <n v="382.29"/>
    <n v="114.27"/>
  </r>
  <r>
    <s v="2025-03-06"/>
    <x v="1"/>
    <x v="0"/>
    <x v="482"/>
    <n v="123.27"/>
    <n v="6"/>
    <n v="237.14"/>
    <x v="30"/>
    <x v="2"/>
    <x v="3"/>
    <x v="0"/>
    <n v="113.86999999999999"/>
    <n v="117.7"/>
  </r>
  <r>
    <s v="2025-02-17"/>
    <x v="5"/>
    <x v="3"/>
    <x v="525"/>
    <n v="68.58"/>
    <n v="0"/>
    <n v="312.43"/>
    <x v="296"/>
    <x v="2"/>
    <x v="1"/>
    <x v="1"/>
    <n v="243.85000000000002"/>
    <n v="143.76"/>
  </r>
  <r>
    <s v="2025-04-29"/>
    <x v="2"/>
    <x v="1"/>
    <x v="392"/>
    <n v="55.36"/>
    <n v="10"/>
    <n v="465.32"/>
    <x v="297"/>
    <x v="2"/>
    <x v="3"/>
    <x v="0"/>
    <n v="409.96"/>
    <n v="159.46"/>
  </r>
  <r>
    <s v="2025-04-08"/>
    <x v="2"/>
    <x v="2"/>
    <x v="490"/>
    <n v="136.54"/>
    <n v="6"/>
    <n v="257.41000000000003"/>
    <x v="3"/>
    <x v="0"/>
    <x v="5"/>
    <x v="0"/>
    <n v="120.87000000000003"/>
    <n v="137.44999999999999"/>
  </r>
  <r>
    <s v="2025-04-17"/>
    <x v="2"/>
    <x v="3"/>
    <x v="456"/>
    <n v="120.93"/>
    <n v="0"/>
    <n v="345.87"/>
    <x v="9"/>
    <x v="0"/>
    <x v="4"/>
    <x v="1"/>
    <n v="224.94"/>
    <n v="118.25"/>
  </r>
  <r>
    <s v="2024-11-04"/>
    <x v="4"/>
    <x v="1"/>
    <x v="383"/>
    <n v="104.39"/>
    <n v="8"/>
    <n v="455.18"/>
    <x v="194"/>
    <x v="2"/>
    <x v="0"/>
    <x v="0"/>
    <n v="350.79"/>
    <n v="127.51"/>
  </r>
  <r>
    <s v="2025-01-03"/>
    <x v="0"/>
    <x v="1"/>
    <x v="423"/>
    <n v="96.78"/>
    <n v="5"/>
    <n v="497.09"/>
    <x v="8"/>
    <x v="0"/>
    <x v="1"/>
    <x v="0"/>
    <n v="400.30999999999995"/>
    <n v="127.26"/>
  </r>
  <r>
    <s v="2025-02-06"/>
    <x v="5"/>
    <x v="1"/>
    <x v="279"/>
    <n v="6.04"/>
    <n v="6"/>
    <n v="182.46"/>
    <x v="298"/>
    <x v="0"/>
    <x v="2"/>
    <x v="0"/>
    <n v="176.42000000000002"/>
    <n v="98.07"/>
  </r>
  <r>
    <s v="2025-01-30"/>
    <x v="0"/>
    <x v="3"/>
    <x v="526"/>
    <n v="132.51"/>
    <n v="3"/>
    <n v="27.9"/>
    <x v="299"/>
    <x v="0"/>
    <x v="2"/>
    <x v="0"/>
    <n v="-104.60999999999999"/>
    <n v="78.290000000000006"/>
  </r>
  <r>
    <s v="2025-03-31"/>
    <x v="1"/>
    <x v="0"/>
    <x v="527"/>
    <n v="35.659999999999997"/>
    <n v="7"/>
    <n v="434.78"/>
    <x v="105"/>
    <x v="1"/>
    <x v="4"/>
    <x v="0"/>
    <n v="399.12"/>
    <n v="119.36"/>
  </r>
  <r>
    <s v="2025-01-01"/>
    <x v="0"/>
    <x v="1"/>
    <x v="213"/>
    <n v="86.62"/>
    <n v="3"/>
    <n v="365.96"/>
    <x v="15"/>
    <x v="2"/>
    <x v="0"/>
    <x v="0"/>
    <n v="279.33999999999997"/>
    <n v="142.57"/>
  </r>
  <r>
    <s v="2025-04-05"/>
    <x v="2"/>
    <x v="3"/>
    <x v="528"/>
    <n v="139.83000000000001"/>
    <n v="5"/>
    <n v="57.97"/>
    <x v="9"/>
    <x v="0"/>
    <x v="1"/>
    <x v="0"/>
    <n v="-81.860000000000014"/>
    <n v="118.11"/>
  </r>
  <r>
    <s v="2025-01-05"/>
    <x v="0"/>
    <x v="2"/>
    <x v="500"/>
    <n v="103.18"/>
    <n v="9"/>
    <n v="223.5"/>
    <x v="11"/>
    <x v="1"/>
    <x v="2"/>
    <x v="0"/>
    <n v="120.32"/>
    <n v="142.59"/>
  </r>
  <r>
    <s v="2025-04-08"/>
    <x v="2"/>
    <x v="2"/>
    <x v="22"/>
    <n v="113.28"/>
    <n v="6"/>
    <n v="283.75"/>
    <x v="300"/>
    <x v="2"/>
    <x v="5"/>
    <x v="0"/>
    <n v="170.47"/>
    <n v="157.44"/>
  </r>
  <r>
    <s v="2025-02-05"/>
    <x v="5"/>
    <x v="2"/>
    <x v="348"/>
    <n v="66.260000000000005"/>
    <n v="3"/>
    <n v="71.16"/>
    <x v="139"/>
    <x v="2"/>
    <x v="4"/>
    <x v="0"/>
    <n v="4.8999999999999915"/>
    <n v="149.1"/>
  </r>
  <r>
    <s v="2025-04-02"/>
    <x v="2"/>
    <x v="2"/>
    <x v="167"/>
    <n v="33.630000000000003"/>
    <n v="4"/>
    <n v="311.73"/>
    <x v="41"/>
    <x v="0"/>
    <x v="5"/>
    <x v="0"/>
    <n v="278.10000000000002"/>
    <n v="119.22"/>
  </r>
  <r>
    <s v="2024-11-08"/>
    <x v="4"/>
    <x v="2"/>
    <x v="529"/>
    <n v="31.87"/>
    <n v="5"/>
    <n v="286.82"/>
    <x v="301"/>
    <x v="2"/>
    <x v="4"/>
    <x v="0"/>
    <n v="254.95"/>
    <n v="141.41999999999999"/>
  </r>
  <r>
    <s v="2025-03-08"/>
    <x v="1"/>
    <x v="2"/>
    <x v="270"/>
    <n v="120.38"/>
    <n v="3"/>
    <n v="76.81"/>
    <x v="197"/>
    <x v="2"/>
    <x v="2"/>
    <x v="0"/>
    <n v="-43.569999999999993"/>
    <n v="134.47"/>
  </r>
  <r>
    <s v="2025-03-07"/>
    <x v="1"/>
    <x v="3"/>
    <x v="530"/>
    <n v="140.75"/>
    <n v="10"/>
    <n v="326.3"/>
    <x v="228"/>
    <x v="2"/>
    <x v="4"/>
    <x v="0"/>
    <n v="185.55"/>
    <n v="149.21"/>
  </r>
  <r>
    <s v="2024-11-24"/>
    <x v="4"/>
    <x v="0"/>
    <x v="531"/>
    <n v="132.11000000000001"/>
    <n v="1"/>
    <n v="349.07"/>
    <x v="78"/>
    <x v="1"/>
    <x v="1"/>
    <x v="0"/>
    <n v="216.95999999999998"/>
    <n v="167.65"/>
  </r>
  <r>
    <s v="2024-11-21"/>
    <x v="4"/>
    <x v="2"/>
    <x v="56"/>
    <n v="128.55000000000001"/>
    <n v="9"/>
    <n v="253.07"/>
    <x v="36"/>
    <x v="0"/>
    <x v="0"/>
    <x v="0"/>
    <n v="124.51999999999998"/>
    <n v="140.72999999999999"/>
  </r>
  <r>
    <s v="2025-04-22"/>
    <x v="2"/>
    <x v="0"/>
    <x v="532"/>
    <n v="83.5"/>
    <n v="6"/>
    <n v="119.51"/>
    <x v="281"/>
    <x v="2"/>
    <x v="2"/>
    <x v="0"/>
    <n v="36.010000000000005"/>
    <n v="149.33000000000001"/>
  </r>
  <r>
    <s v="2025-03-04"/>
    <x v="1"/>
    <x v="1"/>
    <x v="282"/>
    <n v="130.01"/>
    <n v="8"/>
    <n v="62.94"/>
    <x v="60"/>
    <x v="1"/>
    <x v="5"/>
    <x v="0"/>
    <n v="-67.069999999999993"/>
    <n v="125.83"/>
  </r>
  <r>
    <s v="2025-02-22"/>
    <x v="5"/>
    <x v="0"/>
    <x v="533"/>
    <n v="18.91"/>
    <n v="0"/>
    <n v="480.6"/>
    <x v="36"/>
    <x v="1"/>
    <x v="2"/>
    <x v="1"/>
    <n v="461.69"/>
    <n v="134.4"/>
  </r>
  <r>
    <s v="2025-01-08"/>
    <x v="0"/>
    <x v="2"/>
    <x v="215"/>
    <n v="76.260000000000005"/>
    <n v="7"/>
    <n v="138.15"/>
    <x v="274"/>
    <x v="0"/>
    <x v="1"/>
    <x v="0"/>
    <n v="61.89"/>
    <n v="108.02"/>
  </r>
  <r>
    <s v="2025-04-15"/>
    <x v="2"/>
    <x v="3"/>
    <x v="165"/>
    <n v="21.5"/>
    <n v="9"/>
    <n v="264.13"/>
    <x v="260"/>
    <x v="0"/>
    <x v="2"/>
    <x v="0"/>
    <n v="242.63"/>
    <n v="122.1"/>
  </r>
  <r>
    <s v="2025-02-01"/>
    <x v="5"/>
    <x v="3"/>
    <x v="105"/>
    <n v="11.09"/>
    <n v="0"/>
    <n v="39.86"/>
    <x v="72"/>
    <x v="0"/>
    <x v="1"/>
    <x v="1"/>
    <n v="28.77"/>
    <n v="124.98"/>
  </r>
  <r>
    <s v="2024-12-20"/>
    <x v="3"/>
    <x v="2"/>
    <x v="147"/>
    <n v="104.34"/>
    <n v="10"/>
    <n v="134.83000000000001"/>
    <x v="40"/>
    <x v="2"/>
    <x v="2"/>
    <x v="0"/>
    <n v="30.490000000000009"/>
    <n v="116.25"/>
  </r>
  <r>
    <s v="2025-03-31"/>
    <x v="1"/>
    <x v="2"/>
    <x v="411"/>
    <n v="113.82"/>
    <n v="9"/>
    <n v="468.99"/>
    <x v="302"/>
    <x v="0"/>
    <x v="3"/>
    <x v="0"/>
    <n v="355.17"/>
    <n v="209.3"/>
  </r>
  <r>
    <s v="2024-11-16"/>
    <x v="4"/>
    <x v="1"/>
    <x v="151"/>
    <n v="127.36"/>
    <n v="6"/>
    <n v="400.82"/>
    <x v="38"/>
    <x v="1"/>
    <x v="4"/>
    <x v="0"/>
    <n v="273.45999999999998"/>
    <n v="97.56"/>
  </r>
  <r>
    <s v="2025-03-02"/>
    <x v="1"/>
    <x v="3"/>
    <x v="387"/>
    <n v="18.89"/>
    <n v="9"/>
    <n v="272.33"/>
    <x v="36"/>
    <x v="0"/>
    <x v="1"/>
    <x v="0"/>
    <n v="253.44"/>
    <n v="134.07"/>
  </r>
  <r>
    <s v="2025-03-06"/>
    <x v="1"/>
    <x v="3"/>
    <x v="534"/>
    <n v="20.87"/>
    <n v="0"/>
    <n v="63.47"/>
    <x v="303"/>
    <x v="2"/>
    <x v="2"/>
    <x v="1"/>
    <n v="42.599999999999994"/>
    <n v="42.98"/>
  </r>
  <r>
    <s v="2024-11-10"/>
    <x v="4"/>
    <x v="2"/>
    <x v="426"/>
    <n v="22.47"/>
    <n v="2"/>
    <n v="86.53"/>
    <x v="209"/>
    <x v="1"/>
    <x v="1"/>
    <x v="0"/>
    <n v="64.06"/>
    <n v="89.06"/>
  </r>
  <r>
    <s v="2024-12-10"/>
    <x v="3"/>
    <x v="0"/>
    <x v="535"/>
    <n v="139.88"/>
    <n v="5"/>
    <n v="465.69"/>
    <x v="134"/>
    <x v="2"/>
    <x v="1"/>
    <x v="0"/>
    <n v="325.81"/>
    <n v="120.66"/>
  </r>
  <r>
    <s v="2025-04-24"/>
    <x v="2"/>
    <x v="1"/>
    <x v="536"/>
    <n v="146.57"/>
    <n v="6"/>
    <n v="55.15"/>
    <x v="85"/>
    <x v="2"/>
    <x v="2"/>
    <x v="0"/>
    <n v="-91.419999999999987"/>
    <n v="124.82"/>
  </r>
  <r>
    <s v="2025-03-02"/>
    <x v="1"/>
    <x v="2"/>
    <x v="11"/>
    <n v="148.83000000000001"/>
    <n v="0"/>
    <n v="340.35"/>
    <x v="41"/>
    <x v="1"/>
    <x v="5"/>
    <x v="1"/>
    <n v="191.52"/>
    <n v="120.62"/>
  </r>
  <r>
    <s v="2024-12-19"/>
    <x v="3"/>
    <x v="1"/>
    <x v="147"/>
    <n v="74.91"/>
    <n v="2"/>
    <n v="64.61"/>
    <x v="105"/>
    <x v="0"/>
    <x v="2"/>
    <x v="0"/>
    <n v="-10.299999999999997"/>
    <n v="112.98"/>
  </r>
  <r>
    <s v="2024-11-30"/>
    <x v="4"/>
    <x v="3"/>
    <x v="537"/>
    <n v="127.51"/>
    <n v="6"/>
    <n v="179.44"/>
    <x v="77"/>
    <x v="2"/>
    <x v="2"/>
    <x v="0"/>
    <n v="51.929999999999993"/>
    <n v="111.74"/>
  </r>
  <r>
    <s v="2024-12-09"/>
    <x v="3"/>
    <x v="1"/>
    <x v="29"/>
    <n v="81.31"/>
    <n v="6"/>
    <n v="204.13"/>
    <x v="142"/>
    <x v="2"/>
    <x v="3"/>
    <x v="0"/>
    <n v="122.82"/>
    <n v="105.7"/>
  </r>
  <r>
    <s v="2025-04-24"/>
    <x v="2"/>
    <x v="1"/>
    <x v="355"/>
    <n v="137.99"/>
    <n v="5"/>
    <n v="94.81"/>
    <x v="7"/>
    <x v="1"/>
    <x v="4"/>
    <x v="0"/>
    <n v="-43.180000000000007"/>
    <n v="128.65"/>
  </r>
  <r>
    <s v="2024-12-19"/>
    <x v="3"/>
    <x v="3"/>
    <x v="538"/>
    <n v="127.63"/>
    <n v="2"/>
    <n v="171.61"/>
    <x v="2"/>
    <x v="2"/>
    <x v="1"/>
    <x v="0"/>
    <n v="43.980000000000018"/>
    <n v="140.66"/>
  </r>
  <r>
    <s v="2024-11-23"/>
    <x v="4"/>
    <x v="1"/>
    <x v="539"/>
    <n v="34.57"/>
    <n v="10"/>
    <n v="36.119999999999997"/>
    <x v="304"/>
    <x v="1"/>
    <x v="1"/>
    <x v="0"/>
    <n v="1.5499999999999972"/>
    <n v="38.72"/>
  </r>
  <r>
    <s v="2024-12-25"/>
    <x v="3"/>
    <x v="2"/>
    <x v="210"/>
    <n v="65.150000000000006"/>
    <n v="0"/>
    <n v="367.79"/>
    <x v="40"/>
    <x v="1"/>
    <x v="1"/>
    <x v="1"/>
    <n v="302.64"/>
    <n v="123.53"/>
  </r>
  <r>
    <s v="2024-12-14"/>
    <x v="3"/>
    <x v="3"/>
    <x v="468"/>
    <n v="49.23"/>
    <n v="0"/>
    <n v="93.03"/>
    <x v="114"/>
    <x v="1"/>
    <x v="2"/>
    <x v="1"/>
    <n v="43.800000000000004"/>
    <n v="132.41"/>
  </r>
  <r>
    <s v="2024-11-05"/>
    <x v="4"/>
    <x v="3"/>
    <x v="540"/>
    <n v="144.05000000000001"/>
    <n v="7"/>
    <n v="402.29"/>
    <x v="37"/>
    <x v="2"/>
    <x v="2"/>
    <x v="0"/>
    <n v="258.24"/>
    <n v="196.68"/>
  </r>
  <r>
    <s v="2025-02-19"/>
    <x v="5"/>
    <x v="2"/>
    <x v="114"/>
    <n v="74.959999999999994"/>
    <n v="0"/>
    <n v="65.53"/>
    <x v="158"/>
    <x v="2"/>
    <x v="2"/>
    <x v="1"/>
    <n v="-9.4299999999999926"/>
    <n v="119.11"/>
  </r>
  <r>
    <s v="2025-01-20"/>
    <x v="0"/>
    <x v="0"/>
    <x v="541"/>
    <n v="117.91"/>
    <n v="7"/>
    <n v="416.73"/>
    <x v="107"/>
    <x v="2"/>
    <x v="1"/>
    <x v="0"/>
    <n v="298.82000000000005"/>
    <n v="126.78"/>
  </r>
  <r>
    <s v="2025-02-24"/>
    <x v="5"/>
    <x v="2"/>
    <x v="225"/>
    <n v="37.43"/>
    <n v="7"/>
    <n v="335.15"/>
    <x v="231"/>
    <x v="1"/>
    <x v="0"/>
    <x v="0"/>
    <n v="297.71999999999997"/>
    <n v="150.41999999999999"/>
  </r>
  <r>
    <s v="2024-11-02"/>
    <x v="4"/>
    <x v="1"/>
    <x v="542"/>
    <n v="57.59"/>
    <n v="7"/>
    <n v="247.61"/>
    <x v="17"/>
    <x v="1"/>
    <x v="1"/>
    <x v="0"/>
    <n v="190.02"/>
    <n v="130.96"/>
  </r>
  <r>
    <s v="2024-11-09"/>
    <x v="4"/>
    <x v="1"/>
    <x v="335"/>
    <n v="27.07"/>
    <n v="2"/>
    <n v="362.88"/>
    <x v="247"/>
    <x v="2"/>
    <x v="2"/>
    <x v="0"/>
    <n v="335.81"/>
    <n v="127.41"/>
  </r>
  <r>
    <s v="2024-11-26"/>
    <x v="4"/>
    <x v="1"/>
    <x v="543"/>
    <n v="134.16"/>
    <n v="7"/>
    <n v="348.29"/>
    <x v="130"/>
    <x v="0"/>
    <x v="1"/>
    <x v="0"/>
    <n v="214.13000000000002"/>
    <n v="146.24"/>
  </r>
  <r>
    <s v="2024-11-04"/>
    <x v="4"/>
    <x v="0"/>
    <x v="320"/>
    <n v="88.81"/>
    <n v="5"/>
    <n v="294"/>
    <x v="111"/>
    <x v="2"/>
    <x v="1"/>
    <x v="0"/>
    <n v="205.19"/>
    <n v="129.38"/>
  </r>
  <r>
    <s v="2024-11-05"/>
    <x v="4"/>
    <x v="1"/>
    <x v="243"/>
    <n v="38.99"/>
    <n v="8"/>
    <n v="430.3"/>
    <x v="109"/>
    <x v="0"/>
    <x v="5"/>
    <x v="0"/>
    <n v="391.31"/>
    <n v="108.9"/>
  </r>
  <r>
    <s v="2024-11-21"/>
    <x v="4"/>
    <x v="0"/>
    <x v="544"/>
    <n v="61.39"/>
    <n v="7"/>
    <n v="330.01"/>
    <x v="285"/>
    <x v="2"/>
    <x v="5"/>
    <x v="0"/>
    <n v="268.62"/>
    <n v="146.69"/>
  </r>
  <r>
    <s v="2024-11-27"/>
    <x v="4"/>
    <x v="1"/>
    <x v="368"/>
    <n v="118.21"/>
    <n v="1"/>
    <n v="432.44"/>
    <x v="56"/>
    <x v="1"/>
    <x v="2"/>
    <x v="0"/>
    <n v="314.23"/>
    <n v="161.86000000000001"/>
  </r>
  <r>
    <s v="2024-12-15"/>
    <x v="3"/>
    <x v="1"/>
    <x v="336"/>
    <n v="64.989999999999995"/>
    <n v="4"/>
    <n v="115.28"/>
    <x v="274"/>
    <x v="0"/>
    <x v="1"/>
    <x v="0"/>
    <n v="50.290000000000006"/>
    <n v="106.3"/>
  </r>
  <r>
    <s v="2024-12-08"/>
    <x v="3"/>
    <x v="2"/>
    <x v="158"/>
    <n v="22.42"/>
    <n v="4"/>
    <n v="72.44"/>
    <x v="232"/>
    <x v="2"/>
    <x v="1"/>
    <x v="0"/>
    <n v="50.019999999999996"/>
    <n v="124.57"/>
  </r>
  <r>
    <s v="2025-01-19"/>
    <x v="0"/>
    <x v="2"/>
    <x v="249"/>
    <n v="130.26"/>
    <n v="5"/>
    <n v="414.93"/>
    <x v="300"/>
    <x v="2"/>
    <x v="2"/>
    <x v="0"/>
    <n v="284.67"/>
    <n v="162"/>
  </r>
  <r>
    <s v="2025-01-28"/>
    <x v="0"/>
    <x v="3"/>
    <x v="333"/>
    <n v="139.85"/>
    <n v="8"/>
    <n v="464.27"/>
    <x v="63"/>
    <x v="0"/>
    <x v="5"/>
    <x v="0"/>
    <n v="324.41999999999996"/>
    <n v="130.69"/>
  </r>
  <r>
    <s v="2025-04-01"/>
    <x v="2"/>
    <x v="2"/>
    <x v="545"/>
    <n v="116.76"/>
    <n v="1"/>
    <n v="103.86"/>
    <x v="191"/>
    <x v="0"/>
    <x v="2"/>
    <x v="0"/>
    <n v="-12.900000000000006"/>
    <n v="152.06"/>
  </r>
  <r>
    <s v="2025-04-03"/>
    <x v="2"/>
    <x v="0"/>
    <x v="515"/>
    <n v="96.86"/>
    <n v="8"/>
    <n v="298.13"/>
    <x v="305"/>
    <x v="0"/>
    <x v="2"/>
    <x v="0"/>
    <n v="201.26999999999998"/>
    <n v="122.15"/>
  </r>
  <r>
    <s v="2025-01-03"/>
    <x v="0"/>
    <x v="1"/>
    <x v="300"/>
    <n v="117.23"/>
    <n v="9"/>
    <n v="291.07"/>
    <x v="53"/>
    <x v="2"/>
    <x v="2"/>
    <x v="0"/>
    <n v="173.83999999999997"/>
    <n v="105.66"/>
  </r>
  <r>
    <s v="2025-02-22"/>
    <x v="5"/>
    <x v="1"/>
    <x v="546"/>
    <n v="18.059999999999999"/>
    <n v="4"/>
    <n v="225.45"/>
    <x v="306"/>
    <x v="0"/>
    <x v="2"/>
    <x v="0"/>
    <n v="207.39"/>
    <n v="143.69"/>
  </r>
  <r>
    <s v="2025-01-02"/>
    <x v="0"/>
    <x v="3"/>
    <x v="547"/>
    <n v="136.83000000000001"/>
    <n v="7"/>
    <n v="364.93"/>
    <x v="307"/>
    <x v="2"/>
    <x v="5"/>
    <x v="0"/>
    <n v="228.1"/>
    <n v="174.55"/>
  </r>
  <r>
    <s v="2025-04-25"/>
    <x v="2"/>
    <x v="3"/>
    <x v="119"/>
    <n v="61.27"/>
    <n v="2"/>
    <n v="494.93"/>
    <x v="24"/>
    <x v="2"/>
    <x v="5"/>
    <x v="0"/>
    <n v="433.66"/>
    <n v="121.53"/>
  </r>
  <r>
    <s v="2025-03-09"/>
    <x v="1"/>
    <x v="1"/>
    <x v="548"/>
    <n v="52.01"/>
    <n v="3"/>
    <n v="429.15"/>
    <x v="21"/>
    <x v="1"/>
    <x v="2"/>
    <x v="0"/>
    <n v="377.14"/>
    <n v="127.62"/>
  </r>
  <r>
    <s v="2025-02-17"/>
    <x v="5"/>
    <x v="1"/>
    <x v="390"/>
    <n v="57.6"/>
    <n v="6"/>
    <n v="344.35"/>
    <x v="42"/>
    <x v="1"/>
    <x v="4"/>
    <x v="0"/>
    <n v="286.75"/>
    <n v="138.19"/>
  </r>
  <r>
    <s v="2024-11-27"/>
    <x v="4"/>
    <x v="3"/>
    <x v="0"/>
    <n v="108.21"/>
    <n v="1"/>
    <n v="160.02000000000001"/>
    <x v="106"/>
    <x v="2"/>
    <x v="2"/>
    <x v="0"/>
    <n v="51.810000000000016"/>
    <n v="126.48"/>
  </r>
  <r>
    <s v="2025-02-02"/>
    <x v="5"/>
    <x v="0"/>
    <x v="549"/>
    <n v="74.290000000000006"/>
    <n v="2"/>
    <n v="430.86"/>
    <x v="3"/>
    <x v="1"/>
    <x v="1"/>
    <x v="0"/>
    <n v="356.57"/>
    <n v="136.47999999999999"/>
  </r>
  <r>
    <s v="2024-12-01"/>
    <x v="3"/>
    <x v="1"/>
    <x v="432"/>
    <n v="130.91"/>
    <n v="1"/>
    <n v="128.54"/>
    <x v="9"/>
    <x v="0"/>
    <x v="1"/>
    <x v="0"/>
    <n v="-2.3700000000000045"/>
    <n v="122.76"/>
  </r>
  <r>
    <s v="2025-04-09"/>
    <x v="2"/>
    <x v="2"/>
    <x v="550"/>
    <n v="136.21"/>
    <n v="2"/>
    <n v="172.24"/>
    <x v="308"/>
    <x v="1"/>
    <x v="1"/>
    <x v="0"/>
    <n v="36.03"/>
    <n v="89.28"/>
  </r>
  <r>
    <s v="2024-12-17"/>
    <x v="3"/>
    <x v="2"/>
    <x v="551"/>
    <n v="141.04"/>
    <n v="4"/>
    <n v="417.61"/>
    <x v="76"/>
    <x v="1"/>
    <x v="0"/>
    <x v="0"/>
    <n v="276.57000000000005"/>
    <n v="132.36000000000001"/>
  </r>
  <r>
    <s v="2025-01-17"/>
    <x v="0"/>
    <x v="0"/>
    <x v="187"/>
    <n v="88.03"/>
    <n v="1"/>
    <n v="342.1"/>
    <x v="144"/>
    <x v="1"/>
    <x v="2"/>
    <x v="0"/>
    <n v="254.07000000000002"/>
    <n v="156.38999999999999"/>
  </r>
  <r>
    <s v="2025-01-14"/>
    <x v="0"/>
    <x v="0"/>
    <x v="95"/>
    <n v="16.690000000000001"/>
    <n v="7"/>
    <n v="217.98"/>
    <x v="24"/>
    <x v="1"/>
    <x v="5"/>
    <x v="0"/>
    <n v="201.29"/>
    <n v="116.61"/>
  </r>
  <r>
    <s v="2025-01-18"/>
    <x v="0"/>
    <x v="2"/>
    <x v="552"/>
    <n v="137.57"/>
    <n v="4"/>
    <n v="307.60000000000002"/>
    <x v="77"/>
    <x v="2"/>
    <x v="2"/>
    <x v="0"/>
    <n v="170.03000000000003"/>
    <n v="118.47"/>
  </r>
  <r>
    <s v="2024-11-13"/>
    <x v="4"/>
    <x v="1"/>
    <x v="394"/>
    <n v="72.290000000000006"/>
    <n v="1"/>
    <n v="20.98"/>
    <x v="53"/>
    <x v="1"/>
    <x v="5"/>
    <x v="0"/>
    <n v="-51.31"/>
    <n v="113.55"/>
  </r>
  <r>
    <s v="2024-11-28"/>
    <x v="4"/>
    <x v="0"/>
    <x v="553"/>
    <n v="35"/>
    <n v="3"/>
    <n v="422.28"/>
    <x v="249"/>
    <x v="2"/>
    <x v="0"/>
    <x v="0"/>
    <n v="387.28"/>
    <n v="124.92"/>
  </r>
  <r>
    <s v="2024-10-30"/>
    <x v="6"/>
    <x v="2"/>
    <x v="554"/>
    <n v="49.42"/>
    <n v="6"/>
    <n v="305.73"/>
    <x v="201"/>
    <x v="1"/>
    <x v="0"/>
    <x v="0"/>
    <n v="256.31"/>
    <n v="175.8"/>
  </r>
  <r>
    <s v="2025-04-25"/>
    <x v="2"/>
    <x v="0"/>
    <x v="50"/>
    <n v="85.46"/>
    <n v="5"/>
    <n v="244.06"/>
    <x v="42"/>
    <x v="2"/>
    <x v="4"/>
    <x v="0"/>
    <n v="158.60000000000002"/>
    <n v="133.58000000000001"/>
  </r>
  <r>
    <s v="2025-03-29"/>
    <x v="1"/>
    <x v="0"/>
    <x v="53"/>
    <n v="135.77000000000001"/>
    <n v="0"/>
    <n v="486.33"/>
    <x v="80"/>
    <x v="1"/>
    <x v="4"/>
    <x v="1"/>
    <n v="350.55999999999995"/>
    <n v="147.36000000000001"/>
  </r>
  <r>
    <s v="2025-01-22"/>
    <x v="0"/>
    <x v="0"/>
    <x v="254"/>
    <n v="134.51"/>
    <n v="2"/>
    <n v="325.39"/>
    <x v="274"/>
    <x v="1"/>
    <x v="2"/>
    <x v="0"/>
    <n v="190.88"/>
    <n v="102.13"/>
  </r>
  <r>
    <s v="2024-12-08"/>
    <x v="3"/>
    <x v="0"/>
    <x v="555"/>
    <n v="136.93"/>
    <n v="4"/>
    <n v="83.18"/>
    <x v="77"/>
    <x v="2"/>
    <x v="2"/>
    <x v="0"/>
    <n v="-53.75"/>
    <n v="114.52"/>
  </r>
  <r>
    <s v="2025-02-01"/>
    <x v="5"/>
    <x v="1"/>
    <x v="257"/>
    <n v="69.75"/>
    <n v="6"/>
    <n v="273.37"/>
    <x v="211"/>
    <x v="2"/>
    <x v="2"/>
    <x v="0"/>
    <n v="203.62"/>
    <n v="137.61000000000001"/>
  </r>
  <r>
    <s v="2025-03-11"/>
    <x v="1"/>
    <x v="0"/>
    <x v="98"/>
    <n v="86.55"/>
    <n v="7"/>
    <n v="33.93"/>
    <x v="91"/>
    <x v="2"/>
    <x v="2"/>
    <x v="0"/>
    <n v="-52.62"/>
    <n v="133.16"/>
  </r>
  <r>
    <s v="2024-12-30"/>
    <x v="3"/>
    <x v="2"/>
    <x v="59"/>
    <n v="45.57"/>
    <n v="5"/>
    <n v="297.88"/>
    <x v="2"/>
    <x v="0"/>
    <x v="4"/>
    <x v="0"/>
    <n v="252.31"/>
    <n v="145.30000000000001"/>
  </r>
  <r>
    <s v="2025-04-09"/>
    <x v="2"/>
    <x v="2"/>
    <x v="556"/>
    <n v="116.17"/>
    <n v="8"/>
    <n v="127.33"/>
    <x v="309"/>
    <x v="2"/>
    <x v="2"/>
    <x v="0"/>
    <n v="11.159999999999997"/>
    <n v="76.38"/>
  </r>
  <r>
    <s v="2025-01-01"/>
    <x v="0"/>
    <x v="3"/>
    <x v="89"/>
    <n v="69.709999999999994"/>
    <n v="0"/>
    <n v="112.96"/>
    <x v="310"/>
    <x v="1"/>
    <x v="5"/>
    <x v="1"/>
    <n v="43.25"/>
    <n v="135.25"/>
  </r>
  <r>
    <s v="2025-04-23"/>
    <x v="2"/>
    <x v="1"/>
    <x v="418"/>
    <n v="16.12"/>
    <n v="4"/>
    <n v="92.09"/>
    <x v="102"/>
    <x v="1"/>
    <x v="2"/>
    <x v="0"/>
    <n v="75.97"/>
    <n v="134.5"/>
  </r>
  <r>
    <s v="2024-12-01"/>
    <x v="3"/>
    <x v="2"/>
    <x v="557"/>
    <n v="137.47"/>
    <n v="7"/>
    <n v="83.31"/>
    <x v="197"/>
    <x v="1"/>
    <x v="2"/>
    <x v="0"/>
    <n v="-54.16"/>
    <n v="132.22"/>
  </r>
  <r>
    <s v="2024-11-05"/>
    <x v="4"/>
    <x v="0"/>
    <x v="193"/>
    <n v="118.61"/>
    <n v="5"/>
    <n v="435.44"/>
    <x v="310"/>
    <x v="1"/>
    <x v="0"/>
    <x v="0"/>
    <n v="316.83"/>
    <n v="134.71"/>
  </r>
  <r>
    <s v="2025-01-31"/>
    <x v="0"/>
    <x v="2"/>
    <x v="427"/>
    <n v="32.68"/>
    <n v="7"/>
    <n v="63.41"/>
    <x v="311"/>
    <x v="0"/>
    <x v="1"/>
    <x v="0"/>
    <n v="30.729999999999997"/>
    <n v="48.47"/>
  </r>
  <r>
    <s v="2024-11-15"/>
    <x v="4"/>
    <x v="0"/>
    <x v="558"/>
    <n v="64.819999999999993"/>
    <n v="3"/>
    <n v="488.8"/>
    <x v="228"/>
    <x v="2"/>
    <x v="4"/>
    <x v="0"/>
    <n v="423.98"/>
    <n v="142.74"/>
  </r>
  <r>
    <s v="2025-04-02"/>
    <x v="2"/>
    <x v="0"/>
    <x v="558"/>
    <n v="71.78"/>
    <n v="5"/>
    <n v="288.61"/>
    <x v="112"/>
    <x v="0"/>
    <x v="2"/>
    <x v="0"/>
    <n v="216.83"/>
    <n v="147.46"/>
  </r>
  <r>
    <s v="2024-11-04"/>
    <x v="4"/>
    <x v="2"/>
    <x v="129"/>
    <n v="44"/>
    <n v="9"/>
    <n v="414.63"/>
    <x v="77"/>
    <x v="1"/>
    <x v="0"/>
    <x v="0"/>
    <n v="370.63"/>
    <n v="118.36"/>
  </r>
  <r>
    <s v="2025-01-21"/>
    <x v="0"/>
    <x v="3"/>
    <x v="243"/>
    <n v="21.94"/>
    <n v="8"/>
    <n v="360.16"/>
    <x v="72"/>
    <x v="2"/>
    <x v="5"/>
    <x v="0"/>
    <n v="338.22"/>
    <n v="115.58"/>
  </r>
  <r>
    <s v="2025-01-15"/>
    <x v="0"/>
    <x v="1"/>
    <x v="559"/>
    <n v="89"/>
    <n v="1"/>
    <n v="181.02"/>
    <x v="222"/>
    <x v="2"/>
    <x v="2"/>
    <x v="0"/>
    <n v="92.02000000000001"/>
    <n v="109.3"/>
  </r>
  <r>
    <s v="2025-04-25"/>
    <x v="2"/>
    <x v="3"/>
    <x v="560"/>
    <n v="52.17"/>
    <n v="2"/>
    <n v="284.85000000000002"/>
    <x v="249"/>
    <x v="0"/>
    <x v="1"/>
    <x v="0"/>
    <n v="232.68"/>
    <n v="127.78"/>
  </r>
  <r>
    <s v="2025-01-06"/>
    <x v="0"/>
    <x v="1"/>
    <x v="193"/>
    <n v="91.46"/>
    <n v="6"/>
    <n v="410.83"/>
    <x v="98"/>
    <x v="2"/>
    <x v="2"/>
    <x v="0"/>
    <n v="319.37"/>
    <n v="188.13"/>
  </r>
  <r>
    <s v="2024-11-01"/>
    <x v="4"/>
    <x v="3"/>
    <x v="213"/>
    <n v="133.41999999999999"/>
    <n v="7"/>
    <n v="201.62"/>
    <x v="60"/>
    <x v="1"/>
    <x v="1"/>
    <x v="0"/>
    <n v="68.200000000000017"/>
    <n v="116"/>
  </r>
  <r>
    <s v="2025-02-08"/>
    <x v="5"/>
    <x v="0"/>
    <x v="261"/>
    <n v="85.48"/>
    <n v="2"/>
    <n v="125.57"/>
    <x v="156"/>
    <x v="0"/>
    <x v="3"/>
    <x v="0"/>
    <n v="40.089999999999989"/>
    <n v="125.42"/>
  </r>
  <r>
    <s v="2025-04-06"/>
    <x v="2"/>
    <x v="0"/>
    <x v="561"/>
    <n v="107.67"/>
    <n v="1"/>
    <n v="336.37"/>
    <x v="26"/>
    <x v="1"/>
    <x v="1"/>
    <x v="0"/>
    <n v="228.7"/>
    <n v="114.5"/>
  </r>
  <r>
    <s v="2025-04-14"/>
    <x v="2"/>
    <x v="2"/>
    <x v="284"/>
    <n v="81.709999999999994"/>
    <n v="9"/>
    <n v="79.66"/>
    <x v="109"/>
    <x v="2"/>
    <x v="5"/>
    <x v="0"/>
    <n v="-2.0499999999999972"/>
    <n v="112.86"/>
  </r>
  <r>
    <s v="2024-11-05"/>
    <x v="4"/>
    <x v="0"/>
    <x v="514"/>
    <n v="18.57"/>
    <n v="5"/>
    <n v="400.45"/>
    <x v="259"/>
    <x v="2"/>
    <x v="1"/>
    <x v="0"/>
    <n v="381.88"/>
    <n v="142.09"/>
  </r>
  <r>
    <s v="2025-02-11"/>
    <x v="5"/>
    <x v="2"/>
    <x v="239"/>
    <n v="109.35"/>
    <n v="5"/>
    <n v="394.46"/>
    <x v="312"/>
    <x v="0"/>
    <x v="3"/>
    <x v="0"/>
    <n v="285.11"/>
    <n v="186.16"/>
  </r>
  <r>
    <s v="2025-01-14"/>
    <x v="0"/>
    <x v="0"/>
    <x v="357"/>
    <n v="95.69"/>
    <n v="3"/>
    <n v="34.659999999999997"/>
    <x v="0"/>
    <x v="2"/>
    <x v="2"/>
    <x v="0"/>
    <n v="-61.03"/>
    <n v="115.67"/>
  </r>
  <r>
    <s v="2025-04-18"/>
    <x v="2"/>
    <x v="2"/>
    <x v="562"/>
    <n v="10.83"/>
    <n v="9"/>
    <n v="373.78"/>
    <x v="284"/>
    <x v="0"/>
    <x v="2"/>
    <x v="0"/>
    <n v="362.95"/>
    <n v="167.56"/>
  </r>
  <r>
    <s v="2025-01-14"/>
    <x v="0"/>
    <x v="0"/>
    <x v="19"/>
    <n v="59.43"/>
    <n v="1"/>
    <n v="210.37"/>
    <x v="105"/>
    <x v="1"/>
    <x v="2"/>
    <x v="0"/>
    <n v="150.94"/>
    <n v="116.43"/>
  </r>
  <r>
    <s v="2025-04-01"/>
    <x v="2"/>
    <x v="3"/>
    <x v="166"/>
    <n v="66.760000000000005"/>
    <n v="5"/>
    <n v="397.2"/>
    <x v="55"/>
    <x v="0"/>
    <x v="2"/>
    <x v="0"/>
    <n v="330.44"/>
    <n v="172.46"/>
  </r>
  <r>
    <s v="2024-12-31"/>
    <x v="3"/>
    <x v="3"/>
    <x v="248"/>
    <n v="12.48"/>
    <n v="3"/>
    <n v="97.87"/>
    <x v="106"/>
    <x v="2"/>
    <x v="5"/>
    <x v="0"/>
    <n v="85.39"/>
    <n v="128.07"/>
  </r>
  <r>
    <s v="2025-01-15"/>
    <x v="0"/>
    <x v="0"/>
    <x v="122"/>
    <n v="56.39"/>
    <n v="9"/>
    <n v="370.07"/>
    <x v="313"/>
    <x v="2"/>
    <x v="1"/>
    <x v="0"/>
    <n v="313.68"/>
    <n v="195.56"/>
  </r>
  <r>
    <s v="2024-11-16"/>
    <x v="4"/>
    <x v="3"/>
    <x v="518"/>
    <n v="92.69"/>
    <n v="5"/>
    <n v="84.07"/>
    <x v="234"/>
    <x v="2"/>
    <x v="5"/>
    <x v="0"/>
    <n v="-8.6200000000000045"/>
    <n v="86.4"/>
  </r>
  <r>
    <s v="2025-03-22"/>
    <x v="1"/>
    <x v="2"/>
    <x v="350"/>
    <n v="132.38999999999999"/>
    <n v="3"/>
    <n v="215.81"/>
    <x v="60"/>
    <x v="2"/>
    <x v="1"/>
    <x v="0"/>
    <n v="83.420000000000016"/>
    <n v="119.67"/>
  </r>
  <r>
    <s v="2024-12-19"/>
    <x v="3"/>
    <x v="3"/>
    <x v="542"/>
    <n v="87.61"/>
    <n v="10"/>
    <n v="271.7"/>
    <x v="142"/>
    <x v="0"/>
    <x v="0"/>
    <x v="0"/>
    <n v="184.08999999999997"/>
    <n v="102.98"/>
  </r>
  <r>
    <s v="2024-11-01"/>
    <x v="4"/>
    <x v="1"/>
    <x v="563"/>
    <n v="61.13"/>
    <n v="6"/>
    <n v="36.56"/>
    <x v="60"/>
    <x v="0"/>
    <x v="1"/>
    <x v="0"/>
    <n v="-24.57"/>
    <n v="117.73"/>
  </r>
  <r>
    <s v="2025-02-22"/>
    <x v="5"/>
    <x v="0"/>
    <x v="244"/>
    <n v="85.92"/>
    <n v="3"/>
    <n v="326.24"/>
    <x v="314"/>
    <x v="2"/>
    <x v="1"/>
    <x v="0"/>
    <n v="240.32"/>
    <n v="88.74"/>
  </r>
  <r>
    <s v="2024-11-09"/>
    <x v="4"/>
    <x v="3"/>
    <x v="56"/>
    <n v="132.94999999999999"/>
    <n v="7"/>
    <n v="247.95"/>
    <x v="160"/>
    <x v="2"/>
    <x v="3"/>
    <x v="0"/>
    <n v="115"/>
    <n v="110.58"/>
  </r>
  <r>
    <s v="2024-10-30"/>
    <x v="6"/>
    <x v="0"/>
    <x v="564"/>
    <n v="42.53"/>
    <n v="1"/>
    <n v="426.55"/>
    <x v="187"/>
    <x v="1"/>
    <x v="1"/>
    <x v="0"/>
    <n v="384.02"/>
    <n v="162.22"/>
  </r>
  <r>
    <s v="2025-03-22"/>
    <x v="1"/>
    <x v="3"/>
    <x v="458"/>
    <n v="86.37"/>
    <n v="10"/>
    <n v="295.98"/>
    <x v="34"/>
    <x v="0"/>
    <x v="1"/>
    <x v="0"/>
    <n v="209.61"/>
    <n v="141.32"/>
  </r>
  <r>
    <s v="2025-02-15"/>
    <x v="5"/>
    <x v="0"/>
    <x v="565"/>
    <n v="125.17"/>
    <n v="4"/>
    <n v="376.45"/>
    <x v="47"/>
    <x v="1"/>
    <x v="1"/>
    <x v="0"/>
    <n v="251.27999999999997"/>
    <n v="132.36000000000001"/>
  </r>
  <r>
    <s v="2024-12-01"/>
    <x v="3"/>
    <x v="2"/>
    <x v="566"/>
    <n v="99.52"/>
    <n v="9"/>
    <n v="387.07"/>
    <x v="11"/>
    <x v="0"/>
    <x v="5"/>
    <x v="0"/>
    <n v="287.55"/>
    <n v="137.5"/>
  </r>
  <r>
    <s v="2024-12-10"/>
    <x v="3"/>
    <x v="0"/>
    <x v="302"/>
    <n v="30.54"/>
    <n v="5"/>
    <n v="72.28"/>
    <x v="60"/>
    <x v="1"/>
    <x v="1"/>
    <x v="0"/>
    <n v="41.74"/>
    <n v="122.01"/>
  </r>
  <r>
    <s v="2024-12-01"/>
    <x v="3"/>
    <x v="0"/>
    <x v="567"/>
    <n v="70.650000000000006"/>
    <n v="3"/>
    <n v="171.9"/>
    <x v="245"/>
    <x v="0"/>
    <x v="3"/>
    <x v="0"/>
    <n v="101.25"/>
    <n v="116.42"/>
  </r>
  <r>
    <s v="2024-11-22"/>
    <x v="4"/>
    <x v="0"/>
    <x v="568"/>
    <n v="134.61000000000001"/>
    <n v="0"/>
    <n v="315.98"/>
    <x v="315"/>
    <x v="2"/>
    <x v="2"/>
    <x v="1"/>
    <n v="181.37"/>
    <n v="166.56"/>
  </r>
  <r>
    <s v="2024-11-23"/>
    <x v="4"/>
    <x v="3"/>
    <x v="569"/>
    <n v="122.35"/>
    <n v="4"/>
    <n v="239.82"/>
    <x v="132"/>
    <x v="1"/>
    <x v="5"/>
    <x v="0"/>
    <n v="117.47"/>
    <n v="141.47"/>
  </r>
  <r>
    <s v="2025-04-09"/>
    <x v="2"/>
    <x v="2"/>
    <x v="570"/>
    <n v="146.71"/>
    <n v="7"/>
    <n v="371.84"/>
    <x v="316"/>
    <x v="1"/>
    <x v="1"/>
    <x v="0"/>
    <n v="225.12999999999997"/>
    <n v="118.85"/>
  </r>
  <r>
    <s v="2025-03-18"/>
    <x v="1"/>
    <x v="2"/>
    <x v="571"/>
    <n v="70.709999999999994"/>
    <n v="2"/>
    <n v="456.82"/>
    <x v="123"/>
    <x v="0"/>
    <x v="1"/>
    <x v="0"/>
    <n v="386.11"/>
    <n v="170.8"/>
  </r>
  <r>
    <s v="2025-01-08"/>
    <x v="0"/>
    <x v="3"/>
    <x v="34"/>
    <n v="145.13"/>
    <n v="2"/>
    <n v="393.64"/>
    <x v="92"/>
    <x v="0"/>
    <x v="5"/>
    <x v="0"/>
    <n v="248.51"/>
    <n v="128.75"/>
  </r>
  <r>
    <s v="2025-04-05"/>
    <x v="2"/>
    <x v="0"/>
    <x v="36"/>
    <n v="5.68"/>
    <n v="0"/>
    <n v="20.239999999999998"/>
    <x v="85"/>
    <x v="0"/>
    <x v="1"/>
    <x v="1"/>
    <n v="14.559999999999999"/>
    <n v="116.12"/>
  </r>
  <r>
    <s v="2025-04-12"/>
    <x v="2"/>
    <x v="2"/>
    <x v="389"/>
    <n v="83.85"/>
    <n v="10"/>
    <n v="369.64"/>
    <x v="80"/>
    <x v="1"/>
    <x v="0"/>
    <x v="0"/>
    <n v="285.78999999999996"/>
    <n v="144.16999999999999"/>
  </r>
  <r>
    <s v="2024-11-26"/>
    <x v="4"/>
    <x v="1"/>
    <x v="572"/>
    <n v="113.6"/>
    <n v="10"/>
    <n v="119.16"/>
    <x v="41"/>
    <x v="0"/>
    <x v="2"/>
    <x v="0"/>
    <n v="5.5600000000000023"/>
    <n v="119.09"/>
  </r>
  <r>
    <s v="2025-04-14"/>
    <x v="2"/>
    <x v="0"/>
    <x v="6"/>
    <n v="127.56"/>
    <n v="10"/>
    <n v="182.09"/>
    <x v="217"/>
    <x v="2"/>
    <x v="2"/>
    <x v="0"/>
    <n v="54.53"/>
    <n v="145.78"/>
  </r>
  <r>
    <s v="2024-11-29"/>
    <x v="4"/>
    <x v="3"/>
    <x v="34"/>
    <n v="125.5"/>
    <n v="3"/>
    <n v="56.69"/>
    <x v="317"/>
    <x v="1"/>
    <x v="2"/>
    <x v="0"/>
    <n v="-68.81"/>
    <n v="96.19"/>
  </r>
  <r>
    <s v="2025-01-19"/>
    <x v="0"/>
    <x v="3"/>
    <x v="384"/>
    <n v="88.46"/>
    <n v="2"/>
    <n v="209.76"/>
    <x v="23"/>
    <x v="1"/>
    <x v="4"/>
    <x v="0"/>
    <n v="121.3"/>
    <n v="124.63"/>
  </r>
  <r>
    <s v="2025-02-11"/>
    <x v="5"/>
    <x v="3"/>
    <x v="573"/>
    <n v="50.62"/>
    <n v="2"/>
    <n v="29.61"/>
    <x v="318"/>
    <x v="1"/>
    <x v="2"/>
    <x v="0"/>
    <n v="-21.009999999999998"/>
    <n v="69.17"/>
  </r>
  <r>
    <s v="2025-01-25"/>
    <x v="0"/>
    <x v="2"/>
    <x v="574"/>
    <n v="57.12"/>
    <n v="6"/>
    <n v="67.33"/>
    <x v="253"/>
    <x v="0"/>
    <x v="3"/>
    <x v="0"/>
    <n v="10.210000000000001"/>
    <n v="111.07"/>
  </r>
  <r>
    <s v="2024-11-05"/>
    <x v="4"/>
    <x v="2"/>
    <x v="575"/>
    <n v="28.3"/>
    <n v="5"/>
    <n v="355.28"/>
    <x v="12"/>
    <x v="2"/>
    <x v="2"/>
    <x v="0"/>
    <n v="326.97999999999996"/>
    <n v="124.64"/>
  </r>
  <r>
    <s v="2025-03-10"/>
    <x v="1"/>
    <x v="2"/>
    <x v="576"/>
    <n v="124.88"/>
    <n v="7"/>
    <n v="287.89999999999998"/>
    <x v="319"/>
    <x v="2"/>
    <x v="2"/>
    <x v="0"/>
    <n v="163.01999999999998"/>
    <n v="107.94"/>
  </r>
  <r>
    <s v="2024-12-01"/>
    <x v="3"/>
    <x v="2"/>
    <x v="577"/>
    <n v="103.24"/>
    <n v="0"/>
    <n v="250.62"/>
    <x v="320"/>
    <x v="0"/>
    <x v="0"/>
    <x v="1"/>
    <n v="147.38"/>
    <n v="118.79"/>
  </r>
  <r>
    <s v="2025-01-26"/>
    <x v="0"/>
    <x v="1"/>
    <x v="88"/>
    <n v="147.75"/>
    <n v="0"/>
    <n v="67.2"/>
    <x v="74"/>
    <x v="2"/>
    <x v="5"/>
    <x v="1"/>
    <n v="-80.55"/>
    <n v="134.1"/>
  </r>
  <r>
    <s v="2025-03-23"/>
    <x v="1"/>
    <x v="1"/>
    <x v="203"/>
    <n v="77.78"/>
    <n v="7"/>
    <n v="132.52000000000001"/>
    <x v="72"/>
    <x v="0"/>
    <x v="0"/>
    <x v="0"/>
    <n v="54.740000000000009"/>
    <n v="121.33"/>
  </r>
  <r>
    <s v="2024-12-12"/>
    <x v="3"/>
    <x v="2"/>
    <x v="388"/>
    <n v="60.86"/>
    <n v="4"/>
    <n v="75.91"/>
    <x v="63"/>
    <x v="0"/>
    <x v="3"/>
    <x v="0"/>
    <n v="15.049999999999997"/>
    <n v="130.03"/>
  </r>
  <r>
    <s v="2025-02-16"/>
    <x v="5"/>
    <x v="1"/>
    <x v="578"/>
    <n v="98.7"/>
    <n v="0"/>
    <n v="69.02"/>
    <x v="321"/>
    <x v="2"/>
    <x v="0"/>
    <x v="1"/>
    <n v="-29.680000000000007"/>
    <n v="55.13"/>
  </r>
  <r>
    <s v="2025-02-20"/>
    <x v="5"/>
    <x v="0"/>
    <x v="477"/>
    <n v="11.77"/>
    <n v="3"/>
    <n v="382.19"/>
    <x v="280"/>
    <x v="2"/>
    <x v="1"/>
    <x v="0"/>
    <n v="370.42"/>
    <n v="158.63999999999999"/>
  </r>
  <r>
    <s v="2024-12-21"/>
    <x v="3"/>
    <x v="0"/>
    <x v="579"/>
    <n v="77.430000000000007"/>
    <n v="3"/>
    <n v="391.01"/>
    <x v="322"/>
    <x v="1"/>
    <x v="3"/>
    <x v="0"/>
    <n v="313.58"/>
    <n v="184.81"/>
  </r>
  <r>
    <s v="2024-12-22"/>
    <x v="3"/>
    <x v="3"/>
    <x v="556"/>
    <n v="129.33000000000001"/>
    <n v="0"/>
    <n v="33.15"/>
    <x v="323"/>
    <x v="1"/>
    <x v="4"/>
    <x v="1"/>
    <n v="-96.18"/>
    <n v="35.03"/>
  </r>
  <r>
    <s v="2025-04-01"/>
    <x v="2"/>
    <x v="1"/>
    <x v="230"/>
    <n v="21.93"/>
    <n v="4"/>
    <n v="207.02"/>
    <x v="57"/>
    <x v="0"/>
    <x v="2"/>
    <x v="0"/>
    <n v="185.09"/>
    <n v="112.18"/>
  </r>
  <r>
    <s v="2025-02-15"/>
    <x v="5"/>
    <x v="0"/>
    <x v="435"/>
    <n v="14.4"/>
    <n v="7"/>
    <n v="398.7"/>
    <x v="36"/>
    <x v="1"/>
    <x v="4"/>
    <x v="0"/>
    <n v="384.3"/>
    <n v="143.04"/>
  </r>
  <r>
    <s v="2025-02-25"/>
    <x v="5"/>
    <x v="3"/>
    <x v="310"/>
    <n v="68.36"/>
    <n v="2"/>
    <n v="265.33999999999997"/>
    <x v="72"/>
    <x v="0"/>
    <x v="5"/>
    <x v="0"/>
    <n v="196.97999999999996"/>
    <n v="117.56"/>
  </r>
  <r>
    <s v="2025-03-30"/>
    <x v="1"/>
    <x v="1"/>
    <x v="211"/>
    <n v="34.21"/>
    <n v="9"/>
    <n v="237.59"/>
    <x v="36"/>
    <x v="1"/>
    <x v="2"/>
    <x v="0"/>
    <n v="203.38"/>
    <n v="136.19999999999999"/>
  </r>
  <r>
    <s v="2025-04-25"/>
    <x v="2"/>
    <x v="0"/>
    <x v="580"/>
    <n v="131.19"/>
    <n v="9"/>
    <n v="272.04000000000002"/>
    <x v="183"/>
    <x v="2"/>
    <x v="5"/>
    <x v="0"/>
    <n v="140.85000000000002"/>
    <n v="150.66999999999999"/>
  </r>
  <r>
    <s v="2025-01-06"/>
    <x v="0"/>
    <x v="3"/>
    <x v="509"/>
    <n v="83.84"/>
    <n v="7"/>
    <n v="112.98"/>
    <x v="324"/>
    <x v="1"/>
    <x v="2"/>
    <x v="0"/>
    <n v="29.14"/>
    <n v="120.14"/>
  </r>
  <r>
    <s v="2025-04-27"/>
    <x v="2"/>
    <x v="1"/>
    <x v="581"/>
    <n v="19.079999999999998"/>
    <n v="9"/>
    <n v="165.13"/>
    <x v="325"/>
    <x v="1"/>
    <x v="4"/>
    <x v="0"/>
    <n v="146.05000000000001"/>
    <n v="78.459999999999994"/>
  </r>
  <r>
    <s v="2024-12-27"/>
    <x v="3"/>
    <x v="2"/>
    <x v="530"/>
    <n v="34.61"/>
    <n v="2"/>
    <n v="74.790000000000006"/>
    <x v="326"/>
    <x v="0"/>
    <x v="2"/>
    <x v="0"/>
    <n v="40.180000000000007"/>
    <n v="58.51"/>
  </r>
  <r>
    <s v="2024-12-30"/>
    <x v="3"/>
    <x v="2"/>
    <x v="582"/>
    <n v="91.69"/>
    <n v="6"/>
    <n v="87.04"/>
    <x v="327"/>
    <x v="2"/>
    <x v="2"/>
    <x v="0"/>
    <n v="-4.6499999999999915"/>
    <n v="63.69"/>
  </r>
  <r>
    <s v="2025-02-12"/>
    <x v="5"/>
    <x v="1"/>
    <x v="72"/>
    <n v="130.02000000000001"/>
    <n v="10"/>
    <n v="443.2"/>
    <x v="250"/>
    <x v="2"/>
    <x v="2"/>
    <x v="0"/>
    <n v="313.17999999999995"/>
    <n v="138.30000000000001"/>
  </r>
  <r>
    <s v="2024-11-30"/>
    <x v="4"/>
    <x v="1"/>
    <x v="225"/>
    <n v="104.77"/>
    <n v="4"/>
    <n v="152.38999999999999"/>
    <x v="328"/>
    <x v="2"/>
    <x v="5"/>
    <x v="0"/>
    <n v="47.61999999999999"/>
    <n v="117.38"/>
  </r>
  <r>
    <s v="2024-12-10"/>
    <x v="3"/>
    <x v="0"/>
    <x v="578"/>
    <n v="19.12"/>
    <n v="0"/>
    <n v="230.12"/>
    <x v="8"/>
    <x v="1"/>
    <x v="2"/>
    <x v="1"/>
    <n v="211"/>
    <n v="130.47999999999999"/>
  </r>
  <r>
    <s v="2025-02-06"/>
    <x v="5"/>
    <x v="0"/>
    <x v="28"/>
    <n v="63.95"/>
    <n v="2"/>
    <n v="408.99"/>
    <x v="77"/>
    <x v="2"/>
    <x v="1"/>
    <x v="0"/>
    <n v="345.04"/>
    <n v="117.29"/>
  </r>
  <r>
    <s v="2024-11-28"/>
    <x v="4"/>
    <x v="1"/>
    <x v="583"/>
    <n v="143.51"/>
    <n v="3"/>
    <n v="486.26"/>
    <x v="78"/>
    <x v="1"/>
    <x v="4"/>
    <x v="0"/>
    <n v="342.75"/>
    <n v="169.06"/>
  </r>
  <r>
    <s v="2025-04-24"/>
    <x v="2"/>
    <x v="3"/>
    <x v="446"/>
    <n v="14.69"/>
    <n v="1"/>
    <n v="77.290000000000006"/>
    <x v="11"/>
    <x v="2"/>
    <x v="2"/>
    <x v="0"/>
    <n v="62.600000000000009"/>
    <n v="135.1"/>
  </r>
  <r>
    <s v="2024-11-08"/>
    <x v="4"/>
    <x v="0"/>
    <x v="23"/>
    <n v="28.69"/>
    <n v="8"/>
    <n v="247.21"/>
    <x v="33"/>
    <x v="0"/>
    <x v="1"/>
    <x v="0"/>
    <n v="218.52"/>
    <n v="130.31"/>
  </r>
  <r>
    <s v="2024-11-16"/>
    <x v="4"/>
    <x v="0"/>
    <x v="209"/>
    <n v="15.31"/>
    <n v="0"/>
    <n v="68.31"/>
    <x v="275"/>
    <x v="0"/>
    <x v="5"/>
    <x v="1"/>
    <n v="53"/>
    <n v="123.21"/>
  </r>
  <r>
    <s v="2025-03-02"/>
    <x v="1"/>
    <x v="3"/>
    <x v="584"/>
    <n v="75.16"/>
    <n v="4"/>
    <n v="153.58000000000001"/>
    <x v="112"/>
    <x v="0"/>
    <x v="1"/>
    <x v="0"/>
    <n v="78.420000000000016"/>
    <n v="152.47"/>
  </r>
  <r>
    <s v="2025-01-02"/>
    <x v="0"/>
    <x v="2"/>
    <x v="371"/>
    <n v="89.55"/>
    <n v="6"/>
    <n v="27.58"/>
    <x v="61"/>
    <x v="2"/>
    <x v="3"/>
    <x v="0"/>
    <n v="-61.97"/>
    <n v="101.62"/>
  </r>
  <r>
    <s v="2024-11-14"/>
    <x v="4"/>
    <x v="2"/>
    <x v="585"/>
    <n v="131.06"/>
    <n v="4"/>
    <n v="295.72000000000003"/>
    <x v="9"/>
    <x v="0"/>
    <x v="2"/>
    <x v="0"/>
    <n v="164.66000000000003"/>
    <n v="120.93"/>
  </r>
  <r>
    <s v="2025-04-10"/>
    <x v="2"/>
    <x v="3"/>
    <x v="586"/>
    <n v="81.239999999999995"/>
    <n v="1"/>
    <n v="381.75"/>
    <x v="42"/>
    <x v="2"/>
    <x v="1"/>
    <x v="0"/>
    <n v="300.51"/>
    <n v="135.47999999999999"/>
  </r>
  <r>
    <s v="2025-01-21"/>
    <x v="0"/>
    <x v="0"/>
    <x v="587"/>
    <n v="109.4"/>
    <n v="7"/>
    <n v="199.47"/>
    <x v="280"/>
    <x v="1"/>
    <x v="3"/>
    <x v="0"/>
    <n v="90.07"/>
    <n v="154.66"/>
  </r>
  <r>
    <s v="2025-03-20"/>
    <x v="1"/>
    <x v="3"/>
    <x v="588"/>
    <n v="120.95"/>
    <n v="8"/>
    <n v="152.99"/>
    <x v="4"/>
    <x v="2"/>
    <x v="3"/>
    <x v="0"/>
    <n v="32.040000000000006"/>
    <n v="129.38"/>
  </r>
  <r>
    <s v="2025-02-06"/>
    <x v="5"/>
    <x v="0"/>
    <x v="589"/>
    <n v="32.950000000000003"/>
    <n v="10"/>
    <n v="251.15"/>
    <x v="134"/>
    <x v="1"/>
    <x v="2"/>
    <x v="0"/>
    <n v="218.2"/>
    <n v="125.81"/>
  </r>
  <r>
    <s v="2025-02-07"/>
    <x v="5"/>
    <x v="0"/>
    <x v="376"/>
    <n v="60.54"/>
    <n v="7"/>
    <n v="22.05"/>
    <x v="12"/>
    <x v="2"/>
    <x v="5"/>
    <x v="0"/>
    <n v="-38.489999999999995"/>
    <n v="125.58"/>
  </r>
  <r>
    <s v="2025-03-01"/>
    <x v="1"/>
    <x v="3"/>
    <x v="368"/>
    <n v="29.45"/>
    <n v="2"/>
    <n v="438.32"/>
    <x v="33"/>
    <x v="1"/>
    <x v="1"/>
    <x v="0"/>
    <n v="408.87"/>
    <n v="136.78"/>
  </r>
  <r>
    <s v="2024-11-07"/>
    <x v="4"/>
    <x v="3"/>
    <x v="567"/>
    <n v="47.63"/>
    <n v="0"/>
    <n v="273.13"/>
    <x v="93"/>
    <x v="0"/>
    <x v="0"/>
    <x v="1"/>
    <n v="225.5"/>
    <n v="156.13"/>
  </r>
  <r>
    <s v="2025-04-12"/>
    <x v="2"/>
    <x v="1"/>
    <x v="2"/>
    <n v="83.38"/>
    <n v="7"/>
    <n v="295.08999999999997"/>
    <x v="102"/>
    <x v="2"/>
    <x v="5"/>
    <x v="0"/>
    <n v="211.70999999999998"/>
    <n v="122.6"/>
  </r>
  <r>
    <s v="2024-12-26"/>
    <x v="3"/>
    <x v="0"/>
    <x v="159"/>
    <n v="115.26"/>
    <n v="3"/>
    <n v="364.51"/>
    <x v="3"/>
    <x v="0"/>
    <x v="5"/>
    <x v="0"/>
    <n v="249.25"/>
    <n v="143.02000000000001"/>
  </r>
  <r>
    <s v="2024-11-02"/>
    <x v="4"/>
    <x v="1"/>
    <x v="178"/>
    <n v="69.44"/>
    <n v="7"/>
    <n v="192.69"/>
    <x v="42"/>
    <x v="1"/>
    <x v="4"/>
    <x v="0"/>
    <n v="123.25"/>
    <n v="139.82"/>
  </r>
  <r>
    <s v="2024-11-22"/>
    <x v="4"/>
    <x v="0"/>
    <x v="146"/>
    <n v="8.39"/>
    <n v="4"/>
    <n v="100.86"/>
    <x v="329"/>
    <x v="0"/>
    <x v="0"/>
    <x v="0"/>
    <n v="92.47"/>
    <n v="83.67"/>
  </r>
  <r>
    <s v="2024-11-19"/>
    <x v="4"/>
    <x v="0"/>
    <x v="210"/>
    <n v="35.380000000000003"/>
    <n v="1"/>
    <n v="431.37"/>
    <x v="4"/>
    <x v="1"/>
    <x v="2"/>
    <x v="0"/>
    <n v="395.99"/>
    <n v="122.18"/>
  </r>
  <r>
    <s v="2025-03-11"/>
    <x v="1"/>
    <x v="2"/>
    <x v="171"/>
    <n v="109.44"/>
    <n v="10"/>
    <n v="242.23"/>
    <x v="236"/>
    <x v="0"/>
    <x v="4"/>
    <x v="0"/>
    <n v="132.79"/>
    <n v="77.349999999999994"/>
  </r>
  <r>
    <s v="2024-12-17"/>
    <x v="3"/>
    <x v="3"/>
    <x v="83"/>
    <n v="83.29"/>
    <n v="1"/>
    <n v="180.31"/>
    <x v="24"/>
    <x v="1"/>
    <x v="2"/>
    <x v="0"/>
    <n v="97.02"/>
    <n v="114.36"/>
  </r>
  <r>
    <s v="2024-12-28"/>
    <x v="3"/>
    <x v="1"/>
    <x v="422"/>
    <n v="127.82"/>
    <n v="6"/>
    <n v="246.01"/>
    <x v="330"/>
    <x v="1"/>
    <x v="2"/>
    <x v="0"/>
    <n v="118.19"/>
    <n v="136.02000000000001"/>
  </r>
  <r>
    <s v="2025-01-31"/>
    <x v="0"/>
    <x v="2"/>
    <x v="590"/>
    <n v="92.02"/>
    <n v="1"/>
    <n v="24.56"/>
    <x v="288"/>
    <x v="2"/>
    <x v="2"/>
    <x v="0"/>
    <n v="-67.459999999999994"/>
    <n v="74.349999999999994"/>
  </r>
  <r>
    <s v="2025-01-27"/>
    <x v="0"/>
    <x v="0"/>
    <x v="591"/>
    <n v="92.55"/>
    <n v="3"/>
    <n v="116.63"/>
    <x v="140"/>
    <x v="2"/>
    <x v="2"/>
    <x v="0"/>
    <n v="24.08"/>
    <n v="126.19"/>
  </r>
  <r>
    <s v="2025-04-14"/>
    <x v="2"/>
    <x v="1"/>
    <x v="512"/>
    <n v="37.93"/>
    <n v="5"/>
    <n v="439.67"/>
    <x v="331"/>
    <x v="0"/>
    <x v="2"/>
    <x v="0"/>
    <n v="401.74"/>
    <n v="204.21"/>
  </r>
  <r>
    <s v="2025-03-15"/>
    <x v="1"/>
    <x v="2"/>
    <x v="315"/>
    <n v="102.78"/>
    <n v="10"/>
    <n v="457.37"/>
    <x v="128"/>
    <x v="2"/>
    <x v="0"/>
    <x v="0"/>
    <n v="354.59000000000003"/>
    <n v="138.07"/>
  </r>
  <r>
    <s v="2025-04-13"/>
    <x v="2"/>
    <x v="2"/>
    <x v="285"/>
    <n v="66.92"/>
    <n v="10"/>
    <n v="93.99"/>
    <x v="332"/>
    <x v="1"/>
    <x v="2"/>
    <x v="0"/>
    <n v="27.069999999999993"/>
    <n v="54.41"/>
  </r>
  <r>
    <s v="2025-04-20"/>
    <x v="2"/>
    <x v="0"/>
    <x v="577"/>
    <n v="115.92"/>
    <n v="1"/>
    <n v="338.2"/>
    <x v="26"/>
    <x v="0"/>
    <x v="2"/>
    <x v="0"/>
    <n v="222.27999999999997"/>
    <n v="118.69"/>
  </r>
  <r>
    <s v="2025-03-11"/>
    <x v="1"/>
    <x v="2"/>
    <x v="500"/>
    <n v="52.35"/>
    <n v="6"/>
    <n v="421.93"/>
    <x v="261"/>
    <x v="2"/>
    <x v="2"/>
    <x v="0"/>
    <n v="369.58"/>
    <n v="128.44999999999999"/>
  </r>
  <r>
    <s v="2024-11-15"/>
    <x v="4"/>
    <x v="1"/>
    <x v="306"/>
    <n v="126.36"/>
    <n v="8"/>
    <n v="464.72"/>
    <x v="33"/>
    <x v="2"/>
    <x v="2"/>
    <x v="0"/>
    <n v="338.36"/>
    <n v="135.03"/>
  </r>
  <r>
    <s v="2025-01-22"/>
    <x v="0"/>
    <x v="0"/>
    <x v="592"/>
    <n v="103.89"/>
    <n v="7"/>
    <n v="88.27"/>
    <x v="30"/>
    <x v="0"/>
    <x v="3"/>
    <x v="0"/>
    <n v="-15.620000000000005"/>
    <n v="115.64"/>
  </r>
  <r>
    <s v="2024-10-31"/>
    <x v="6"/>
    <x v="2"/>
    <x v="593"/>
    <n v="46.17"/>
    <n v="9"/>
    <n v="77.92"/>
    <x v="85"/>
    <x v="0"/>
    <x v="1"/>
    <x v="0"/>
    <n v="31.75"/>
    <n v="122.02"/>
  </r>
  <r>
    <s v="2025-01-11"/>
    <x v="0"/>
    <x v="0"/>
    <x v="594"/>
    <n v="148.96"/>
    <n v="5"/>
    <n v="451.83"/>
    <x v="16"/>
    <x v="0"/>
    <x v="1"/>
    <x v="0"/>
    <n v="302.87"/>
    <n v="155.41999999999999"/>
  </r>
  <r>
    <s v="2024-11-11"/>
    <x v="4"/>
    <x v="1"/>
    <x v="595"/>
    <n v="138.61000000000001"/>
    <n v="3"/>
    <n v="163.69999999999999"/>
    <x v="70"/>
    <x v="0"/>
    <x v="2"/>
    <x v="0"/>
    <n v="25.089999999999975"/>
    <n v="132.4"/>
  </r>
  <r>
    <s v="2024-11-03"/>
    <x v="4"/>
    <x v="1"/>
    <x v="596"/>
    <n v="25.09"/>
    <n v="8"/>
    <n v="384.78"/>
    <x v="26"/>
    <x v="1"/>
    <x v="3"/>
    <x v="0"/>
    <n v="359.69"/>
    <n v="115.83"/>
  </r>
  <r>
    <s v="2024-11-16"/>
    <x v="4"/>
    <x v="0"/>
    <x v="597"/>
    <n v="124.33"/>
    <n v="8"/>
    <n v="335.61"/>
    <x v="139"/>
    <x v="2"/>
    <x v="4"/>
    <x v="0"/>
    <n v="211.28000000000003"/>
    <n v="144.6"/>
  </r>
  <r>
    <s v="2025-02-20"/>
    <x v="5"/>
    <x v="3"/>
    <x v="284"/>
    <n v="27.21"/>
    <n v="2"/>
    <n v="468.59"/>
    <x v="242"/>
    <x v="1"/>
    <x v="5"/>
    <x v="0"/>
    <n v="441.38"/>
    <n v="153.63"/>
  </r>
  <r>
    <s v="2025-02-10"/>
    <x v="5"/>
    <x v="2"/>
    <x v="598"/>
    <n v="9.57"/>
    <n v="3"/>
    <n v="165.29"/>
    <x v="3"/>
    <x v="1"/>
    <x v="2"/>
    <x v="0"/>
    <n v="155.72"/>
    <n v="138"/>
  </r>
  <r>
    <s v="2024-12-20"/>
    <x v="3"/>
    <x v="2"/>
    <x v="599"/>
    <n v="128.36000000000001"/>
    <n v="5"/>
    <n v="70.290000000000006"/>
    <x v="52"/>
    <x v="0"/>
    <x v="1"/>
    <x v="0"/>
    <n v="-58.070000000000007"/>
    <n v="108.87"/>
  </r>
  <r>
    <s v="2025-01-15"/>
    <x v="0"/>
    <x v="3"/>
    <x v="298"/>
    <n v="114.14"/>
    <n v="5"/>
    <n v="338.83"/>
    <x v="150"/>
    <x v="2"/>
    <x v="1"/>
    <x v="0"/>
    <n v="224.69"/>
    <n v="141.16999999999999"/>
  </r>
  <r>
    <s v="2024-11-18"/>
    <x v="4"/>
    <x v="3"/>
    <x v="110"/>
    <n v="127.33"/>
    <n v="10"/>
    <n v="474.61"/>
    <x v="333"/>
    <x v="0"/>
    <x v="0"/>
    <x v="0"/>
    <n v="347.28000000000003"/>
    <n v="162.37"/>
  </r>
  <r>
    <s v="2025-04-02"/>
    <x v="2"/>
    <x v="0"/>
    <x v="551"/>
    <n v="93.33"/>
    <n v="4"/>
    <n v="423.14"/>
    <x v="177"/>
    <x v="0"/>
    <x v="4"/>
    <x v="0"/>
    <n v="329.81"/>
    <n v="195.6"/>
  </r>
  <r>
    <s v="2024-12-12"/>
    <x v="3"/>
    <x v="1"/>
    <x v="422"/>
    <n v="47.16"/>
    <n v="8"/>
    <n v="30.26"/>
    <x v="150"/>
    <x v="1"/>
    <x v="2"/>
    <x v="0"/>
    <n v="-16.899999999999995"/>
    <n v="144.09"/>
  </r>
  <r>
    <s v="2025-04-22"/>
    <x v="2"/>
    <x v="1"/>
    <x v="10"/>
    <n v="79.42"/>
    <n v="10"/>
    <n v="362.3"/>
    <x v="63"/>
    <x v="1"/>
    <x v="5"/>
    <x v="0"/>
    <n v="282.88"/>
    <n v="127.31"/>
  </r>
  <r>
    <s v="2025-04-18"/>
    <x v="2"/>
    <x v="0"/>
    <x v="600"/>
    <n v="53.52"/>
    <n v="4"/>
    <n v="25.72"/>
    <x v="314"/>
    <x v="1"/>
    <x v="2"/>
    <x v="0"/>
    <n v="-27.800000000000004"/>
    <n v="95.89"/>
  </r>
  <r>
    <s v="2024-12-17"/>
    <x v="3"/>
    <x v="1"/>
    <x v="471"/>
    <n v="73.63"/>
    <n v="7"/>
    <n v="366.67"/>
    <x v="121"/>
    <x v="2"/>
    <x v="4"/>
    <x v="0"/>
    <n v="293.04000000000002"/>
    <n v="131.28"/>
  </r>
  <r>
    <s v="2025-04-12"/>
    <x v="2"/>
    <x v="0"/>
    <x v="601"/>
    <n v="54.4"/>
    <n v="2"/>
    <n v="488.15"/>
    <x v="334"/>
    <x v="0"/>
    <x v="5"/>
    <x v="0"/>
    <n v="433.75"/>
    <n v="214.55"/>
  </r>
  <r>
    <s v="2025-01-08"/>
    <x v="0"/>
    <x v="1"/>
    <x v="602"/>
    <n v="105.78"/>
    <n v="9"/>
    <n v="366.69"/>
    <x v="140"/>
    <x v="1"/>
    <x v="5"/>
    <x v="0"/>
    <n v="260.90999999999997"/>
    <n v="132.16"/>
  </r>
  <r>
    <s v="2024-11-16"/>
    <x v="4"/>
    <x v="1"/>
    <x v="603"/>
    <n v="141.66999999999999"/>
    <n v="3"/>
    <n v="153.55000000000001"/>
    <x v="134"/>
    <x v="0"/>
    <x v="2"/>
    <x v="0"/>
    <n v="11.880000000000024"/>
    <n v="120.15"/>
  </r>
  <r>
    <s v="2025-01-20"/>
    <x v="0"/>
    <x v="0"/>
    <x v="77"/>
    <n v="141.86000000000001"/>
    <n v="0"/>
    <n v="379.98"/>
    <x v="127"/>
    <x v="1"/>
    <x v="4"/>
    <x v="1"/>
    <n v="238.12"/>
    <n v="195.2"/>
  </r>
  <r>
    <s v="2024-11-11"/>
    <x v="4"/>
    <x v="3"/>
    <x v="604"/>
    <n v="14.18"/>
    <n v="7"/>
    <n v="106.87"/>
    <x v="335"/>
    <x v="0"/>
    <x v="2"/>
    <x v="0"/>
    <n v="92.69"/>
    <n v="63.23"/>
  </r>
  <r>
    <s v="2025-03-21"/>
    <x v="1"/>
    <x v="0"/>
    <x v="605"/>
    <n v="90.52"/>
    <n v="6"/>
    <n v="209.78"/>
    <x v="194"/>
    <x v="1"/>
    <x v="5"/>
    <x v="0"/>
    <n v="119.26"/>
    <n v="123.3"/>
  </r>
  <r>
    <s v="2025-02-27"/>
    <x v="5"/>
    <x v="2"/>
    <x v="606"/>
    <n v="49.9"/>
    <n v="2"/>
    <n v="365.01"/>
    <x v="112"/>
    <x v="0"/>
    <x v="2"/>
    <x v="0"/>
    <n v="315.11"/>
    <n v="151.69999999999999"/>
  </r>
  <r>
    <s v="2025-03-15"/>
    <x v="1"/>
    <x v="3"/>
    <x v="607"/>
    <n v="48.81"/>
    <n v="3"/>
    <n v="207.14"/>
    <x v="49"/>
    <x v="0"/>
    <x v="1"/>
    <x v="0"/>
    <n v="158.32999999999998"/>
    <n v="120.72"/>
  </r>
  <r>
    <s v="2024-10-30"/>
    <x v="6"/>
    <x v="0"/>
    <x v="496"/>
    <n v="61.58"/>
    <n v="9"/>
    <n v="150.51"/>
    <x v="336"/>
    <x v="0"/>
    <x v="1"/>
    <x v="0"/>
    <n v="88.929999999999993"/>
    <n v="121.71"/>
  </r>
  <r>
    <s v="2024-11-17"/>
    <x v="4"/>
    <x v="1"/>
    <x v="14"/>
    <n v="42.52"/>
    <n v="5"/>
    <n v="441.12"/>
    <x v="246"/>
    <x v="1"/>
    <x v="0"/>
    <x v="0"/>
    <n v="398.6"/>
    <n v="156.05000000000001"/>
  </r>
  <r>
    <s v="2025-04-14"/>
    <x v="2"/>
    <x v="3"/>
    <x v="608"/>
    <n v="25.04"/>
    <n v="3"/>
    <n v="199.28"/>
    <x v="82"/>
    <x v="1"/>
    <x v="0"/>
    <x v="0"/>
    <n v="174.24"/>
    <n v="150.68"/>
  </r>
  <r>
    <s v="2024-12-30"/>
    <x v="3"/>
    <x v="0"/>
    <x v="124"/>
    <n v="108.2"/>
    <n v="1"/>
    <n v="91.4"/>
    <x v="237"/>
    <x v="1"/>
    <x v="1"/>
    <x v="0"/>
    <n v="-16.799999999999997"/>
    <n v="121.69"/>
  </r>
  <r>
    <s v="2024-12-21"/>
    <x v="3"/>
    <x v="3"/>
    <x v="609"/>
    <n v="27.25"/>
    <n v="4"/>
    <n v="130.62"/>
    <x v="45"/>
    <x v="1"/>
    <x v="0"/>
    <x v="0"/>
    <n v="103.37"/>
    <n v="107.05"/>
  </r>
  <r>
    <s v="2025-03-23"/>
    <x v="1"/>
    <x v="3"/>
    <x v="610"/>
    <n v="80.739999999999995"/>
    <n v="7"/>
    <n v="90.2"/>
    <x v="24"/>
    <x v="0"/>
    <x v="1"/>
    <x v="0"/>
    <n v="9.460000000000008"/>
    <n v="120.71"/>
  </r>
  <r>
    <s v="2025-02-07"/>
    <x v="5"/>
    <x v="2"/>
    <x v="611"/>
    <n v="47.82"/>
    <n v="7"/>
    <n v="229.98"/>
    <x v="41"/>
    <x v="2"/>
    <x v="2"/>
    <x v="0"/>
    <n v="182.16"/>
    <n v="118.95"/>
  </r>
  <r>
    <s v="2024-11-23"/>
    <x v="4"/>
    <x v="2"/>
    <x v="612"/>
    <n v="18.239999999999998"/>
    <n v="1"/>
    <n v="27.95"/>
    <x v="26"/>
    <x v="2"/>
    <x v="1"/>
    <x v="0"/>
    <n v="9.7100000000000009"/>
    <n v="123.28"/>
  </r>
  <r>
    <s v="2025-03-31"/>
    <x v="1"/>
    <x v="2"/>
    <x v="110"/>
    <n v="115.55"/>
    <n v="4"/>
    <n v="168.3"/>
    <x v="194"/>
    <x v="0"/>
    <x v="1"/>
    <x v="0"/>
    <n v="52.750000000000014"/>
    <n v="125.78"/>
  </r>
  <r>
    <s v="2024-11-30"/>
    <x v="4"/>
    <x v="0"/>
    <x v="613"/>
    <n v="110.99"/>
    <n v="7"/>
    <n v="313.02"/>
    <x v="337"/>
    <x v="0"/>
    <x v="2"/>
    <x v="0"/>
    <n v="202.02999999999997"/>
    <n v="144.16"/>
  </r>
  <r>
    <s v="2024-12-19"/>
    <x v="3"/>
    <x v="2"/>
    <x v="614"/>
    <n v="147.22"/>
    <n v="2"/>
    <n v="29.17"/>
    <x v="260"/>
    <x v="2"/>
    <x v="1"/>
    <x v="0"/>
    <n v="-118.05"/>
    <n v="122.11"/>
  </r>
  <r>
    <s v="2024-12-12"/>
    <x v="3"/>
    <x v="3"/>
    <x v="615"/>
    <n v="79.28"/>
    <n v="2"/>
    <n v="312.81"/>
    <x v="259"/>
    <x v="0"/>
    <x v="5"/>
    <x v="0"/>
    <n v="233.53"/>
    <n v="142.44"/>
  </r>
  <r>
    <s v="2025-02-22"/>
    <x v="5"/>
    <x v="3"/>
    <x v="315"/>
    <n v="143.53"/>
    <n v="0"/>
    <n v="318.70999999999998"/>
    <x v="338"/>
    <x v="2"/>
    <x v="1"/>
    <x v="1"/>
    <n v="175.17999999999998"/>
    <n v="124.09"/>
  </r>
  <r>
    <s v="2024-11-12"/>
    <x v="4"/>
    <x v="2"/>
    <x v="525"/>
    <n v="128.74"/>
    <n v="3"/>
    <n v="427.77"/>
    <x v="70"/>
    <x v="2"/>
    <x v="2"/>
    <x v="0"/>
    <n v="299.02999999999997"/>
    <n v="135.16"/>
  </r>
  <r>
    <s v="2025-02-17"/>
    <x v="5"/>
    <x v="0"/>
    <x v="123"/>
    <n v="9.82"/>
    <n v="5"/>
    <n v="123.17"/>
    <x v="153"/>
    <x v="2"/>
    <x v="1"/>
    <x v="0"/>
    <n v="113.35"/>
    <n v="109.57"/>
  </r>
  <r>
    <s v="2025-02-07"/>
    <x v="5"/>
    <x v="3"/>
    <x v="439"/>
    <n v="74.16"/>
    <n v="8"/>
    <n v="348.17"/>
    <x v="62"/>
    <x v="1"/>
    <x v="0"/>
    <x v="0"/>
    <n v="274.01"/>
    <n v="127.03"/>
  </r>
  <r>
    <s v="2024-12-06"/>
    <x v="3"/>
    <x v="2"/>
    <x v="540"/>
    <n v="107.43"/>
    <n v="0"/>
    <n v="127.47"/>
    <x v="43"/>
    <x v="1"/>
    <x v="2"/>
    <x v="1"/>
    <n v="20.039999999999992"/>
    <n v="136.69"/>
  </r>
  <r>
    <s v="2025-03-06"/>
    <x v="1"/>
    <x v="0"/>
    <x v="601"/>
    <n v="14.28"/>
    <n v="2"/>
    <n v="261.31"/>
    <x v="109"/>
    <x v="2"/>
    <x v="3"/>
    <x v="0"/>
    <n v="247.03"/>
    <n v="110"/>
  </r>
  <r>
    <s v="2025-04-14"/>
    <x v="2"/>
    <x v="1"/>
    <x v="94"/>
    <n v="8.6300000000000008"/>
    <n v="4"/>
    <n v="65.47"/>
    <x v="176"/>
    <x v="1"/>
    <x v="4"/>
    <x v="0"/>
    <n v="56.839999999999996"/>
    <n v="128.47999999999999"/>
  </r>
  <r>
    <s v="2024-11-10"/>
    <x v="4"/>
    <x v="2"/>
    <x v="220"/>
    <n v="114.88"/>
    <n v="4"/>
    <n v="414.29"/>
    <x v="36"/>
    <x v="0"/>
    <x v="1"/>
    <x v="0"/>
    <n v="299.41000000000003"/>
    <n v="136.74"/>
  </r>
  <r>
    <s v="2024-11-28"/>
    <x v="4"/>
    <x v="0"/>
    <x v="616"/>
    <n v="107.82"/>
    <n v="5"/>
    <n v="147"/>
    <x v="36"/>
    <x v="0"/>
    <x v="2"/>
    <x v="0"/>
    <n v="39.180000000000007"/>
    <n v="137.32"/>
  </r>
  <r>
    <s v="2025-03-05"/>
    <x v="1"/>
    <x v="0"/>
    <x v="617"/>
    <n v="104.42"/>
    <n v="0"/>
    <n v="216.62"/>
    <x v="3"/>
    <x v="2"/>
    <x v="1"/>
    <x v="1"/>
    <n v="112.2"/>
    <n v="133.84"/>
  </r>
  <r>
    <s v="2025-02-02"/>
    <x v="5"/>
    <x v="2"/>
    <x v="343"/>
    <n v="123.83"/>
    <n v="7"/>
    <n v="437.42"/>
    <x v="339"/>
    <x v="1"/>
    <x v="3"/>
    <x v="0"/>
    <n v="313.59000000000003"/>
    <n v="202.5"/>
  </r>
  <r>
    <s v="2024-12-14"/>
    <x v="3"/>
    <x v="0"/>
    <x v="472"/>
    <n v="120.85"/>
    <n v="9"/>
    <n v="383.17"/>
    <x v="340"/>
    <x v="2"/>
    <x v="1"/>
    <x v="0"/>
    <n v="262.32000000000005"/>
    <n v="173.44"/>
  </r>
  <r>
    <s v="2024-12-01"/>
    <x v="3"/>
    <x v="1"/>
    <x v="578"/>
    <n v="89.35"/>
    <n v="3"/>
    <n v="410.67"/>
    <x v="139"/>
    <x v="0"/>
    <x v="1"/>
    <x v="0"/>
    <n v="321.32000000000005"/>
    <n v="142.88999999999999"/>
  </r>
  <r>
    <s v="2025-01-31"/>
    <x v="0"/>
    <x v="2"/>
    <x v="618"/>
    <n v="35.04"/>
    <n v="3"/>
    <n v="272.17"/>
    <x v="232"/>
    <x v="2"/>
    <x v="4"/>
    <x v="0"/>
    <n v="237.13000000000002"/>
    <n v="117.93"/>
  </r>
  <r>
    <s v="2025-01-04"/>
    <x v="0"/>
    <x v="1"/>
    <x v="500"/>
    <n v="6.22"/>
    <n v="3"/>
    <n v="214.4"/>
    <x v="341"/>
    <x v="1"/>
    <x v="1"/>
    <x v="0"/>
    <n v="208.18"/>
    <n v="119.37"/>
  </r>
  <r>
    <s v="2025-04-11"/>
    <x v="2"/>
    <x v="2"/>
    <x v="570"/>
    <n v="132.68"/>
    <n v="1"/>
    <n v="286.77999999999997"/>
    <x v="30"/>
    <x v="1"/>
    <x v="0"/>
    <x v="0"/>
    <n v="154.09999999999997"/>
    <n v="120.81"/>
  </r>
  <r>
    <s v="2024-12-18"/>
    <x v="3"/>
    <x v="1"/>
    <x v="619"/>
    <n v="144.55000000000001"/>
    <n v="4"/>
    <n v="359.57"/>
    <x v="238"/>
    <x v="1"/>
    <x v="3"/>
    <x v="0"/>
    <n v="215.01999999999998"/>
    <n v="122.17"/>
  </r>
  <r>
    <s v="2025-04-09"/>
    <x v="2"/>
    <x v="0"/>
    <x v="620"/>
    <n v="21.06"/>
    <n v="4"/>
    <n v="356.5"/>
    <x v="21"/>
    <x v="1"/>
    <x v="3"/>
    <x v="0"/>
    <n v="335.44"/>
    <n v="137.36000000000001"/>
  </r>
  <r>
    <s v="2024-12-22"/>
    <x v="3"/>
    <x v="2"/>
    <x v="367"/>
    <n v="106.35"/>
    <n v="6"/>
    <n v="498.5"/>
    <x v="134"/>
    <x v="0"/>
    <x v="3"/>
    <x v="0"/>
    <n v="392.15"/>
    <n v="124.87"/>
  </r>
  <r>
    <s v="2024-12-05"/>
    <x v="3"/>
    <x v="0"/>
    <x v="187"/>
    <n v="47.66"/>
    <n v="6"/>
    <n v="124.59"/>
    <x v="80"/>
    <x v="1"/>
    <x v="2"/>
    <x v="0"/>
    <n v="76.930000000000007"/>
    <n v="146.33000000000001"/>
  </r>
  <r>
    <s v="2025-04-17"/>
    <x v="2"/>
    <x v="2"/>
    <x v="621"/>
    <n v="42.79"/>
    <n v="10"/>
    <n v="390.4"/>
    <x v="63"/>
    <x v="0"/>
    <x v="0"/>
    <x v="0"/>
    <n v="347.60999999999996"/>
    <n v="128.07"/>
  </r>
  <r>
    <s v="2025-01-06"/>
    <x v="0"/>
    <x v="0"/>
    <x v="264"/>
    <n v="137.97999999999999"/>
    <n v="1"/>
    <n v="360.3"/>
    <x v="134"/>
    <x v="0"/>
    <x v="2"/>
    <x v="0"/>
    <n v="222.32000000000002"/>
    <n v="128.46"/>
  </r>
  <r>
    <s v="2025-03-18"/>
    <x v="1"/>
    <x v="1"/>
    <x v="236"/>
    <n v="53.24"/>
    <n v="5"/>
    <n v="368.79"/>
    <x v="342"/>
    <x v="1"/>
    <x v="1"/>
    <x v="0"/>
    <n v="315.55"/>
    <n v="137.78"/>
  </r>
  <r>
    <s v="2025-03-20"/>
    <x v="1"/>
    <x v="1"/>
    <x v="285"/>
    <n v="143.5"/>
    <n v="4"/>
    <n v="486.81"/>
    <x v="343"/>
    <x v="0"/>
    <x v="2"/>
    <x v="0"/>
    <n v="343.31"/>
    <n v="220.64"/>
  </r>
  <r>
    <s v="2024-10-30"/>
    <x v="6"/>
    <x v="0"/>
    <x v="580"/>
    <n v="123.99"/>
    <n v="6"/>
    <n v="320.04000000000002"/>
    <x v="80"/>
    <x v="0"/>
    <x v="1"/>
    <x v="0"/>
    <n v="196.05"/>
    <n v="146.78"/>
  </r>
  <r>
    <s v="2025-03-22"/>
    <x v="1"/>
    <x v="2"/>
    <x v="622"/>
    <n v="43.84"/>
    <n v="8"/>
    <n v="224.66"/>
    <x v="344"/>
    <x v="1"/>
    <x v="2"/>
    <x v="0"/>
    <n v="180.82"/>
    <n v="120.83"/>
  </r>
  <r>
    <s v="2025-04-16"/>
    <x v="2"/>
    <x v="1"/>
    <x v="233"/>
    <n v="141.47999999999999"/>
    <n v="1"/>
    <n v="88.17"/>
    <x v="41"/>
    <x v="2"/>
    <x v="2"/>
    <x v="0"/>
    <n v="-53.309999999999988"/>
    <n v="118.61"/>
  </r>
  <r>
    <s v="2025-02-15"/>
    <x v="5"/>
    <x v="1"/>
    <x v="623"/>
    <n v="110.67"/>
    <n v="5"/>
    <n v="420.57"/>
    <x v="63"/>
    <x v="2"/>
    <x v="3"/>
    <x v="0"/>
    <n v="309.89999999999998"/>
    <n v="121.28"/>
  </r>
  <r>
    <s v="2025-04-08"/>
    <x v="2"/>
    <x v="1"/>
    <x v="624"/>
    <n v="131.58000000000001"/>
    <n v="7"/>
    <n v="166.58"/>
    <x v="194"/>
    <x v="1"/>
    <x v="3"/>
    <x v="0"/>
    <n v="35"/>
    <n v="127.81"/>
  </r>
  <r>
    <s v="2025-03-17"/>
    <x v="1"/>
    <x v="2"/>
    <x v="625"/>
    <n v="123.66"/>
    <n v="6"/>
    <n v="101.35"/>
    <x v="8"/>
    <x v="0"/>
    <x v="1"/>
    <x v="0"/>
    <n v="-22.310000000000002"/>
    <n v="129.28"/>
  </r>
  <r>
    <s v="2025-03-05"/>
    <x v="1"/>
    <x v="2"/>
    <x v="243"/>
    <n v="94.57"/>
    <n v="9"/>
    <n v="200.7"/>
    <x v="263"/>
    <x v="0"/>
    <x v="2"/>
    <x v="0"/>
    <n v="106.13"/>
    <n v="137.69"/>
  </r>
  <r>
    <s v="2025-01-28"/>
    <x v="0"/>
    <x v="1"/>
    <x v="626"/>
    <n v="117.87"/>
    <n v="6"/>
    <n v="113.07"/>
    <x v="91"/>
    <x v="1"/>
    <x v="0"/>
    <x v="0"/>
    <n v="-4.8000000000000114"/>
    <n v="132.57"/>
  </r>
  <r>
    <s v="2025-02-28"/>
    <x v="5"/>
    <x v="0"/>
    <x v="412"/>
    <n v="42.91"/>
    <n v="7"/>
    <n v="21.74"/>
    <x v="5"/>
    <x v="0"/>
    <x v="2"/>
    <x v="0"/>
    <n v="-21.169999999999998"/>
    <n v="66.290000000000006"/>
  </r>
  <r>
    <s v="2025-01-18"/>
    <x v="0"/>
    <x v="1"/>
    <x v="627"/>
    <n v="116.59"/>
    <n v="4"/>
    <n v="274.79000000000002"/>
    <x v="345"/>
    <x v="1"/>
    <x v="1"/>
    <x v="0"/>
    <n v="158.20000000000002"/>
    <n v="90.9"/>
  </r>
  <r>
    <s v="2024-12-09"/>
    <x v="3"/>
    <x v="1"/>
    <x v="609"/>
    <n v="149.44999999999999"/>
    <n v="1"/>
    <n v="399.31"/>
    <x v="187"/>
    <x v="1"/>
    <x v="1"/>
    <x v="0"/>
    <n v="249.86"/>
    <n v="157.99"/>
  </r>
  <r>
    <s v="2025-02-23"/>
    <x v="5"/>
    <x v="2"/>
    <x v="628"/>
    <n v="129.01"/>
    <n v="5"/>
    <n v="52.15"/>
    <x v="0"/>
    <x v="0"/>
    <x v="1"/>
    <x v="0"/>
    <n v="-76.859999999999985"/>
    <n v="114.03"/>
  </r>
  <r>
    <s v="2025-02-27"/>
    <x v="5"/>
    <x v="2"/>
    <x v="131"/>
    <n v="38.83"/>
    <n v="0"/>
    <n v="96.01"/>
    <x v="61"/>
    <x v="0"/>
    <x v="1"/>
    <x v="1"/>
    <n v="57.180000000000007"/>
    <n v="95.79"/>
  </r>
  <r>
    <s v="2025-02-15"/>
    <x v="5"/>
    <x v="1"/>
    <x v="629"/>
    <n v="16.27"/>
    <n v="8"/>
    <n v="51.89"/>
    <x v="245"/>
    <x v="2"/>
    <x v="4"/>
    <x v="0"/>
    <n v="35.620000000000005"/>
    <n v="114.24"/>
  </r>
  <r>
    <s v="2025-02-17"/>
    <x v="5"/>
    <x v="1"/>
    <x v="126"/>
    <n v="127.77"/>
    <n v="5"/>
    <n v="214.89"/>
    <x v="217"/>
    <x v="2"/>
    <x v="2"/>
    <x v="0"/>
    <n v="87.11999999999999"/>
    <n v="147.80000000000001"/>
  </r>
  <r>
    <s v="2025-02-18"/>
    <x v="5"/>
    <x v="1"/>
    <x v="630"/>
    <n v="14.38"/>
    <n v="0"/>
    <n v="97.23"/>
    <x v="109"/>
    <x v="1"/>
    <x v="5"/>
    <x v="1"/>
    <n v="82.850000000000009"/>
    <n v="113.54"/>
  </r>
  <r>
    <s v="2025-03-30"/>
    <x v="1"/>
    <x v="2"/>
    <x v="225"/>
    <n v="62.16"/>
    <n v="3"/>
    <n v="326.29000000000002"/>
    <x v="41"/>
    <x v="1"/>
    <x v="2"/>
    <x v="0"/>
    <n v="264.13"/>
    <n v="115.44"/>
  </r>
  <r>
    <s v="2025-01-24"/>
    <x v="0"/>
    <x v="0"/>
    <x v="162"/>
    <n v="135.24"/>
    <n v="2"/>
    <n v="346.51"/>
    <x v="187"/>
    <x v="1"/>
    <x v="1"/>
    <x v="0"/>
    <n v="211.26999999999998"/>
    <n v="154.93"/>
  </r>
  <r>
    <s v="2025-01-15"/>
    <x v="0"/>
    <x v="1"/>
    <x v="631"/>
    <n v="117.84"/>
    <n v="0"/>
    <n v="386.49"/>
    <x v="346"/>
    <x v="1"/>
    <x v="1"/>
    <x v="1"/>
    <n v="268.64999999999998"/>
    <n v="182.24"/>
  </r>
  <r>
    <s v="2024-11-08"/>
    <x v="4"/>
    <x v="2"/>
    <x v="560"/>
    <n v="77.599999999999994"/>
    <n v="4"/>
    <n v="122.8"/>
    <x v="33"/>
    <x v="2"/>
    <x v="1"/>
    <x v="0"/>
    <n v="45.2"/>
    <n v="140.61000000000001"/>
  </r>
  <r>
    <s v="2024-12-11"/>
    <x v="3"/>
    <x v="3"/>
    <x v="632"/>
    <n v="62.31"/>
    <n v="0"/>
    <n v="396.56"/>
    <x v="197"/>
    <x v="1"/>
    <x v="1"/>
    <x v="1"/>
    <n v="334.25"/>
    <n v="125.7"/>
  </r>
  <r>
    <s v="2025-04-09"/>
    <x v="2"/>
    <x v="0"/>
    <x v="633"/>
    <n v="124.85"/>
    <n v="5"/>
    <n v="272.18"/>
    <x v="347"/>
    <x v="0"/>
    <x v="1"/>
    <x v="0"/>
    <n v="147.33000000000001"/>
    <n v="84.38"/>
  </r>
  <r>
    <s v="2025-02-14"/>
    <x v="5"/>
    <x v="1"/>
    <x v="634"/>
    <n v="78.98"/>
    <n v="0"/>
    <n v="209.11"/>
    <x v="264"/>
    <x v="0"/>
    <x v="5"/>
    <x v="1"/>
    <n v="130.13"/>
    <n v="131.75"/>
  </r>
  <r>
    <s v="2024-10-30"/>
    <x v="6"/>
    <x v="3"/>
    <x v="635"/>
    <n v="144.82"/>
    <n v="3"/>
    <n v="443.71"/>
    <x v="40"/>
    <x v="1"/>
    <x v="5"/>
    <x v="0"/>
    <n v="298.89"/>
    <n v="126.68"/>
  </r>
  <r>
    <s v="2025-04-29"/>
    <x v="2"/>
    <x v="3"/>
    <x v="636"/>
    <n v="27.47"/>
    <n v="9"/>
    <n v="99.34"/>
    <x v="109"/>
    <x v="0"/>
    <x v="5"/>
    <x v="0"/>
    <n v="71.87"/>
    <n v="105.69"/>
  </r>
  <r>
    <s v="2025-04-10"/>
    <x v="2"/>
    <x v="1"/>
    <x v="637"/>
    <n v="18.309999999999999"/>
    <n v="1"/>
    <n v="74"/>
    <x v="348"/>
    <x v="2"/>
    <x v="2"/>
    <x v="0"/>
    <n v="55.69"/>
    <n v="48.73"/>
  </r>
  <r>
    <s v="2025-01-19"/>
    <x v="0"/>
    <x v="2"/>
    <x v="638"/>
    <n v="34.36"/>
    <n v="6"/>
    <n v="428.34"/>
    <x v="74"/>
    <x v="1"/>
    <x v="5"/>
    <x v="0"/>
    <n v="393.97999999999996"/>
    <n v="127.26"/>
  </r>
  <r>
    <s v="2024-11-24"/>
    <x v="4"/>
    <x v="0"/>
    <x v="639"/>
    <n v="98.7"/>
    <n v="2"/>
    <n v="373.34"/>
    <x v="144"/>
    <x v="2"/>
    <x v="3"/>
    <x v="0"/>
    <n v="274.64"/>
    <n v="159.69"/>
  </r>
  <r>
    <s v="2025-04-30"/>
    <x v="2"/>
    <x v="1"/>
    <x v="640"/>
    <n v="73.650000000000006"/>
    <n v="3"/>
    <n v="451.19"/>
    <x v="228"/>
    <x v="2"/>
    <x v="1"/>
    <x v="0"/>
    <n v="377.53999999999996"/>
    <n v="154.6"/>
  </r>
  <r>
    <s v="2025-01-23"/>
    <x v="0"/>
    <x v="2"/>
    <x v="294"/>
    <n v="88.73"/>
    <n v="4"/>
    <n v="412.3"/>
    <x v="3"/>
    <x v="0"/>
    <x v="1"/>
    <x v="0"/>
    <n v="323.57"/>
    <n v="137.43"/>
  </r>
  <r>
    <s v="2025-04-24"/>
    <x v="2"/>
    <x v="0"/>
    <x v="360"/>
    <n v="139.66"/>
    <n v="8"/>
    <n v="54.23"/>
    <x v="27"/>
    <x v="0"/>
    <x v="2"/>
    <x v="0"/>
    <n v="-85.43"/>
    <n v="112.68"/>
  </r>
  <r>
    <s v="2025-01-18"/>
    <x v="0"/>
    <x v="0"/>
    <x v="280"/>
    <n v="6.01"/>
    <n v="4"/>
    <n v="306.38"/>
    <x v="64"/>
    <x v="1"/>
    <x v="3"/>
    <x v="0"/>
    <n v="300.37"/>
    <n v="135.88"/>
  </r>
  <r>
    <s v="2024-11-22"/>
    <x v="4"/>
    <x v="1"/>
    <x v="641"/>
    <n v="31.11"/>
    <n v="1"/>
    <n v="461.37"/>
    <x v="10"/>
    <x v="1"/>
    <x v="3"/>
    <x v="0"/>
    <n v="430.26"/>
    <n v="130.35"/>
  </r>
  <r>
    <s v="2025-04-16"/>
    <x v="2"/>
    <x v="0"/>
    <x v="638"/>
    <n v="131.47"/>
    <n v="10"/>
    <n v="107.51"/>
    <x v="63"/>
    <x v="0"/>
    <x v="2"/>
    <x v="0"/>
    <n v="-23.959999999999994"/>
    <n v="123.81"/>
  </r>
  <r>
    <s v="2024-11-15"/>
    <x v="4"/>
    <x v="0"/>
    <x v="642"/>
    <n v="20.72"/>
    <n v="6"/>
    <n v="33.729999999999997"/>
    <x v="138"/>
    <x v="1"/>
    <x v="1"/>
    <x v="0"/>
    <n v="13.009999999999998"/>
    <n v="100.44"/>
  </r>
  <r>
    <s v="2025-03-22"/>
    <x v="1"/>
    <x v="2"/>
    <x v="643"/>
    <n v="71.709999999999994"/>
    <n v="10"/>
    <n v="193.84"/>
    <x v="280"/>
    <x v="0"/>
    <x v="4"/>
    <x v="0"/>
    <n v="122.13000000000001"/>
    <n v="161.36000000000001"/>
  </r>
  <r>
    <s v="2025-04-09"/>
    <x v="2"/>
    <x v="0"/>
    <x v="644"/>
    <n v="96.65"/>
    <n v="7"/>
    <n v="89.26"/>
    <x v="262"/>
    <x v="0"/>
    <x v="1"/>
    <x v="0"/>
    <n v="-7.3900000000000006"/>
    <n v="133.55000000000001"/>
  </r>
  <r>
    <s v="2025-04-23"/>
    <x v="2"/>
    <x v="1"/>
    <x v="632"/>
    <n v="71.95"/>
    <n v="10"/>
    <n v="466.27"/>
    <x v="156"/>
    <x v="0"/>
    <x v="5"/>
    <x v="0"/>
    <n v="394.32"/>
    <n v="121.77"/>
  </r>
  <r>
    <s v="2024-12-27"/>
    <x v="3"/>
    <x v="2"/>
    <x v="645"/>
    <n v="8.82"/>
    <n v="6"/>
    <n v="174.77"/>
    <x v="349"/>
    <x v="0"/>
    <x v="0"/>
    <x v="0"/>
    <n v="165.95000000000002"/>
    <n v="67.03"/>
  </r>
  <r>
    <s v="2025-04-09"/>
    <x v="2"/>
    <x v="0"/>
    <x v="84"/>
    <n v="97.96"/>
    <n v="7"/>
    <n v="141.26"/>
    <x v="34"/>
    <x v="2"/>
    <x v="3"/>
    <x v="0"/>
    <n v="43.3"/>
    <n v="140.06"/>
  </r>
  <r>
    <s v="2025-03-15"/>
    <x v="1"/>
    <x v="0"/>
    <x v="646"/>
    <n v="35.85"/>
    <n v="3"/>
    <n v="43.61"/>
    <x v="52"/>
    <x v="2"/>
    <x v="2"/>
    <x v="0"/>
    <n v="7.759999999999998"/>
    <n v="116.53"/>
  </r>
  <r>
    <s v="2025-02-21"/>
    <x v="5"/>
    <x v="1"/>
    <x v="492"/>
    <n v="54.32"/>
    <n v="1"/>
    <n v="109.99"/>
    <x v="66"/>
    <x v="2"/>
    <x v="2"/>
    <x v="0"/>
    <n v="55.669999999999995"/>
    <n v="124.72"/>
  </r>
  <r>
    <s v="2025-04-13"/>
    <x v="2"/>
    <x v="1"/>
    <x v="647"/>
    <n v="74.72"/>
    <n v="0"/>
    <n v="328.98"/>
    <x v="252"/>
    <x v="2"/>
    <x v="5"/>
    <x v="1"/>
    <n v="254.26000000000002"/>
    <n v="188.33"/>
  </r>
  <r>
    <s v="2025-04-19"/>
    <x v="2"/>
    <x v="1"/>
    <x v="545"/>
    <n v="39.97"/>
    <n v="7"/>
    <n v="38.28"/>
    <x v="274"/>
    <x v="0"/>
    <x v="2"/>
    <x v="0"/>
    <n v="-1.6899999999999977"/>
    <n v="98.85"/>
  </r>
  <r>
    <s v="2025-01-01"/>
    <x v="0"/>
    <x v="3"/>
    <x v="627"/>
    <n v="31.57"/>
    <n v="2"/>
    <n v="57.32"/>
    <x v="105"/>
    <x v="1"/>
    <x v="4"/>
    <x v="0"/>
    <n v="25.75"/>
    <n v="120.48"/>
  </r>
  <r>
    <s v="2025-01-17"/>
    <x v="0"/>
    <x v="2"/>
    <x v="291"/>
    <n v="136.16"/>
    <n v="5"/>
    <n v="232.7"/>
    <x v="183"/>
    <x v="0"/>
    <x v="2"/>
    <x v="0"/>
    <n v="96.539999999999992"/>
    <n v="148.22"/>
  </r>
  <r>
    <s v="2024-11-05"/>
    <x v="4"/>
    <x v="1"/>
    <x v="12"/>
    <n v="19.57"/>
    <n v="7"/>
    <n v="175.27"/>
    <x v="80"/>
    <x v="2"/>
    <x v="0"/>
    <x v="0"/>
    <n v="155.70000000000002"/>
    <n v="144.01"/>
  </r>
  <r>
    <s v="2025-01-01"/>
    <x v="0"/>
    <x v="0"/>
    <x v="648"/>
    <n v="119.68"/>
    <n v="8"/>
    <n v="497.28"/>
    <x v="285"/>
    <x v="2"/>
    <x v="0"/>
    <x v="0"/>
    <n v="377.59999999999997"/>
    <n v="146.26"/>
  </r>
  <r>
    <s v="2025-04-21"/>
    <x v="2"/>
    <x v="3"/>
    <x v="649"/>
    <n v="97.73"/>
    <n v="5"/>
    <n v="344.38"/>
    <x v="350"/>
    <x v="0"/>
    <x v="1"/>
    <x v="0"/>
    <n v="246.64999999999998"/>
    <n v="156.03"/>
  </r>
  <r>
    <s v="2025-01-15"/>
    <x v="0"/>
    <x v="1"/>
    <x v="399"/>
    <n v="141.44999999999999"/>
    <n v="8"/>
    <n v="229.53"/>
    <x v="77"/>
    <x v="2"/>
    <x v="5"/>
    <x v="0"/>
    <n v="88.080000000000013"/>
    <n v="123.31"/>
  </r>
  <r>
    <s v="2025-04-16"/>
    <x v="2"/>
    <x v="1"/>
    <x v="253"/>
    <n v="131.08000000000001"/>
    <n v="9"/>
    <n v="218.21"/>
    <x v="260"/>
    <x v="2"/>
    <x v="1"/>
    <x v="0"/>
    <n v="87.13"/>
    <n v="120.76"/>
  </r>
  <r>
    <s v="2024-11-10"/>
    <x v="4"/>
    <x v="1"/>
    <x v="410"/>
    <n v="109.34"/>
    <n v="2"/>
    <n v="79.03"/>
    <x v="33"/>
    <x v="0"/>
    <x v="4"/>
    <x v="0"/>
    <n v="-30.310000000000002"/>
    <n v="137.79"/>
  </r>
  <r>
    <s v="2025-04-01"/>
    <x v="2"/>
    <x v="3"/>
    <x v="323"/>
    <n v="145.54"/>
    <n v="8"/>
    <n v="47.39"/>
    <x v="61"/>
    <x v="0"/>
    <x v="1"/>
    <x v="0"/>
    <n v="-98.149999999999991"/>
    <n v="99.03"/>
  </r>
  <r>
    <s v="2025-03-24"/>
    <x v="1"/>
    <x v="0"/>
    <x v="536"/>
    <n v="133.56"/>
    <n v="4"/>
    <n v="278.88"/>
    <x v="0"/>
    <x v="1"/>
    <x v="2"/>
    <x v="0"/>
    <n v="145.32"/>
    <n v="119.72"/>
  </r>
  <r>
    <s v="2024-12-21"/>
    <x v="3"/>
    <x v="3"/>
    <x v="54"/>
    <n v="135.13999999999999"/>
    <n v="4"/>
    <n v="354.24"/>
    <x v="140"/>
    <x v="2"/>
    <x v="3"/>
    <x v="0"/>
    <n v="219.10000000000002"/>
    <n v="128"/>
  </r>
  <r>
    <s v="2025-01-02"/>
    <x v="0"/>
    <x v="2"/>
    <x v="650"/>
    <n v="139.41"/>
    <n v="10"/>
    <n v="156.62"/>
    <x v="351"/>
    <x v="2"/>
    <x v="5"/>
    <x v="0"/>
    <n v="17.210000000000008"/>
    <n v="121.29"/>
  </r>
  <r>
    <s v="2025-01-09"/>
    <x v="0"/>
    <x v="1"/>
    <x v="6"/>
    <n v="98.78"/>
    <n v="3"/>
    <n v="133.53"/>
    <x v="263"/>
    <x v="2"/>
    <x v="4"/>
    <x v="0"/>
    <n v="34.75"/>
    <n v="126.86"/>
  </r>
  <r>
    <s v="2024-11-16"/>
    <x v="4"/>
    <x v="3"/>
    <x v="282"/>
    <n v="22.39"/>
    <n v="10"/>
    <n v="189.26"/>
    <x v="336"/>
    <x v="0"/>
    <x v="2"/>
    <x v="0"/>
    <n v="166.87"/>
    <n v="125.22"/>
  </r>
  <r>
    <s v="2024-11-02"/>
    <x v="4"/>
    <x v="2"/>
    <x v="651"/>
    <n v="72.55"/>
    <n v="6"/>
    <n v="417.78"/>
    <x v="252"/>
    <x v="2"/>
    <x v="3"/>
    <x v="0"/>
    <n v="345.22999999999996"/>
    <n v="189.32"/>
  </r>
  <r>
    <s v="2024-12-21"/>
    <x v="3"/>
    <x v="0"/>
    <x v="652"/>
    <n v="104.26"/>
    <n v="4"/>
    <n v="56.71"/>
    <x v="209"/>
    <x v="1"/>
    <x v="2"/>
    <x v="0"/>
    <n v="-47.550000000000004"/>
    <n v="85.7"/>
  </r>
  <r>
    <s v="2025-02-19"/>
    <x v="5"/>
    <x v="1"/>
    <x v="27"/>
    <n v="25.24"/>
    <n v="10"/>
    <n v="146.44999999999999"/>
    <x v="105"/>
    <x v="1"/>
    <x v="1"/>
    <x v="0"/>
    <n v="121.21"/>
    <n v="122.2"/>
  </r>
  <r>
    <s v="2025-04-02"/>
    <x v="2"/>
    <x v="0"/>
    <x v="653"/>
    <n v="43.86"/>
    <n v="4"/>
    <n v="358.86"/>
    <x v="89"/>
    <x v="2"/>
    <x v="5"/>
    <x v="0"/>
    <n v="315"/>
    <n v="87.12"/>
  </r>
  <r>
    <s v="2024-11-05"/>
    <x v="4"/>
    <x v="1"/>
    <x v="589"/>
    <n v="129.29"/>
    <n v="5"/>
    <n v="472.76"/>
    <x v="42"/>
    <x v="1"/>
    <x v="0"/>
    <x v="0"/>
    <n v="343.47"/>
    <n v="142.36000000000001"/>
  </r>
  <r>
    <s v="2025-03-02"/>
    <x v="1"/>
    <x v="0"/>
    <x v="158"/>
    <n v="70.739999999999995"/>
    <n v="6"/>
    <n v="217.02"/>
    <x v="352"/>
    <x v="0"/>
    <x v="2"/>
    <x v="0"/>
    <n v="146.28000000000003"/>
    <n v="111.64"/>
  </r>
  <r>
    <s v="2024-12-29"/>
    <x v="3"/>
    <x v="1"/>
    <x v="654"/>
    <n v="119.23"/>
    <n v="5"/>
    <n v="112.69"/>
    <x v="325"/>
    <x v="2"/>
    <x v="4"/>
    <x v="0"/>
    <n v="-6.5400000000000063"/>
    <n v="84.78"/>
  </r>
  <r>
    <s v="2025-03-16"/>
    <x v="1"/>
    <x v="0"/>
    <x v="136"/>
    <n v="28.76"/>
    <n v="10"/>
    <n v="248.87"/>
    <x v="41"/>
    <x v="1"/>
    <x v="0"/>
    <x v="0"/>
    <n v="220.11"/>
    <n v="116.84"/>
  </r>
  <r>
    <s v="2024-11-03"/>
    <x v="4"/>
    <x v="1"/>
    <x v="655"/>
    <n v="68.86"/>
    <n v="9"/>
    <n v="369.92"/>
    <x v="41"/>
    <x v="1"/>
    <x v="5"/>
    <x v="0"/>
    <n v="301.06"/>
    <n v="122.78"/>
  </r>
  <r>
    <s v="2024-12-20"/>
    <x v="3"/>
    <x v="3"/>
    <x v="370"/>
    <n v="21.47"/>
    <n v="9"/>
    <n v="360.55"/>
    <x v="131"/>
    <x v="1"/>
    <x v="2"/>
    <x v="0"/>
    <n v="339.08000000000004"/>
    <n v="152.94999999999999"/>
  </r>
  <r>
    <s v="2025-03-01"/>
    <x v="1"/>
    <x v="1"/>
    <x v="656"/>
    <n v="11.89"/>
    <n v="4"/>
    <n v="303.52999999999997"/>
    <x v="102"/>
    <x v="2"/>
    <x v="2"/>
    <x v="0"/>
    <n v="291.64"/>
    <n v="124.92"/>
  </r>
  <r>
    <s v="2025-04-28"/>
    <x v="2"/>
    <x v="3"/>
    <x v="657"/>
    <n v="22.69"/>
    <n v="7"/>
    <n v="496.44"/>
    <x v="130"/>
    <x v="2"/>
    <x v="2"/>
    <x v="0"/>
    <n v="473.75"/>
    <n v="143.66999999999999"/>
  </r>
  <r>
    <s v="2025-02-22"/>
    <x v="5"/>
    <x v="0"/>
    <x v="658"/>
    <n v="28.47"/>
    <n v="0"/>
    <n v="447.59"/>
    <x v="324"/>
    <x v="1"/>
    <x v="4"/>
    <x v="1"/>
    <n v="419.12"/>
    <n v="115.05"/>
  </r>
  <r>
    <s v="2024-11-22"/>
    <x v="4"/>
    <x v="3"/>
    <x v="75"/>
    <n v="104.85"/>
    <n v="9"/>
    <n v="373.81"/>
    <x v="143"/>
    <x v="2"/>
    <x v="0"/>
    <x v="0"/>
    <n v="268.96000000000004"/>
    <n v="148.61000000000001"/>
  </r>
  <r>
    <s v="2024-12-21"/>
    <x v="3"/>
    <x v="1"/>
    <x v="659"/>
    <n v="105.71"/>
    <n v="10"/>
    <n v="48.98"/>
    <x v="45"/>
    <x v="2"/>
    <x v="4"/>
    <x v="0"/>
    <n v="-56.73"/>
    <n v="100.05"/>
  </r>
  <r>
    <s v="2024-12-22"/>
    <x v="3"/>
    <x v="2"/>
    <x v="660"/>
    <n v="55.5"/>
    <n v="0"/>
    <n v="79.89"/>
    <x v="9"/>
    <x v="1"/>
    <x v="3"/>
    <x v="1"/>
    <n v="24.39"/>
    <n v="119.68"/>
  </r>
  <r>
    <s v="2025-01-14"/>
    <x v="0"/>
    <x v="2"/>
    <x v="467"/>
    <n v="17.260000000000002"/>
    <n v="6"/>
    <n v="437.18"/>
    <x v="40"/>
    <x v="1"/>
    <x v="1"/>
    <x v="0"/>
    <n v="419.92"/>
    <n v="122.28"/>
  </r>
  <r>
    <s v="2025-02-13"/>
    <x v="5"/>
    <x v="3"/>
    <x v="661"/>
    <n v="91.82"/>
    <n v="0"/>
    <n v="445.86"/>
    <x v="245"/>
    <x v="1"/>
    <x v="5"/>
    <x v="1"/>
    <n v="354.04"/>
    <n v="118.17"/>
  </r>
  <r>
    <s v="2024-11-16"/>
    <x v="4"/>
    <x v="3"/>
    <x v="405"/>
    <n v="98.36"/>
    <n v="3"/>
    <n v="173.28"/>
    <x v="210"/>
    <x v="0"/>
    <x v="2"/>
    <x v="0"/>
    <n v="74.92"/>
    <n v="128.02000000000001"/>
  </r>
  <r>
    <s v="2025-04-14"/>
    <x v="2"/>
    <x v="2"/>
    <x v="130"/>
    <n v="104.5"/>
    <n v="8"/>
    <n v="208.8"/>
    <x v="353"/>
    <x v="1"/>
    <x v="2"/>
    <x v="0"/>
    <n v="104.30000000000001"/>
    <n v="104.45"/>
  </r>
  <r>
    <s v="2025-02-04"/>
    <x v="5"/>
    <x v="0"/>
    <x v="281"/>
    <n v="65.650000000000006"/>
    <n v="7"/>
    <n v="211.51"/>
    <x v="60"/>
    <x v="2"/>
    <x v="0"/>
    <x v="0"/>
    <n v="145.85999999999999"/>
    <n v="125.59"/>
  </r>
  <r>
    <s v="2025-04-28"/>
    <x v="2"/>
    <x v="2"/>
    <x v="662"/>
    <n v="119.25"/>
    <n v="0"/>
    <n v="31.34"/>
    <x v="142"/>
    <x v="0"/>
    <x v="4"/>
    <x v="1"/>
    <n v="-87.91"/>
    <n v="99.37"/>
  </r>
  <r>
    <s v="2025-04-14"/>
    <x v="2"/>
    <x v="2"/>
    <x v="268"/>
    <n v="30.5"/>
    <n v="7"/>
    <n v="360.04"/>
    <x v="0"/>
    <x v="1"/>
    <x v="1"/>
    <x v="0"/>
    <n v="329.54"/>
    <n v="121.39"/>
  </r>
  <r>
    <s v="2024-12-05"/>
    <x v="3"/>
    <x v="2"/>
    <x v="454"/>
    <n v="122.15"/>
    <n v="10"/>
    <n v="33.57"/>
    <x v="109"/>
    <x v="1"/>
    <x v="1"/>
    <x v="0"/>
    <n v="-88.580000000000013"/>
    <n v="108.91"/>
  </r>
  <r>
    <s v="2025-03-27"/>
    <x v="1"/>
    <x v="2"/>
    <x v="485"/>
    <n v="23.69"/>
    <n v="7"/>
    <n v="176.25"/>
    <x v="249"/>
    <x v="2"/>
    <x v="1"/>
    <x v="0"/>
    <n v="152.56"/>
    <n v="123.14"/>
  </r>
  <r>
    <s v="2024-12-27"/>
    <x v="3"/>
    <x v="1"/>
    <x v="192"/>
    <n v="99.27"/>
    <n v="5"/>
    <n v="56.88"/>
    <x v="105"/>
    <x v="0"/>
    <x v="2"/>
    <x v="0"/>
    <n v="-42.389999999999993"/>
    <n v="113.18"/>
  </r>
  <r>
    <s v="2025-04-21"/>
    <x v="2"/>
    <x v="1"/>
    <x v="141"/>
    <n v="119.42"/>
    <n v="5"/>
    <n v="394.76"/>
    <x v="119"/>
    <x v="0"/>
    <x v="2"/>
    <x v="0"/>
    <n v="275.33999999999997"/>
    <n v="142.15"/>
  </r>
  <r>
    <s v="2024-11-04"/>
    <x v="4"/>
    <x v="2"/>
    <x v="394"/>
    <n v="26.01"/>
    <n v="0"/>
    <n v="195.46"/>
    <x v="191"/>
    <x v="0"/>
    <x v="5"/>
    <x v="1"/>
    <n v="169.45000000000002"/>
    <n v="147.44999999999999"/>
  </r>
  <r>
    <s v="2024-11-20"/>
    <x v="4"/>
    <x v="3"/>
    <x v="463"/>
    <n v="106.69"/>
    <n v="0"/>
    <n v="371.9"/>
    <x v="188"/>
    <x v="2"/>
    <x v="5"/>
    <x v="1"/>
    <n v="265.20999999999998"/>
    <n v="164.7"/>
  </r>
  <r>
    <s v="2024-12-19"/>
    <x v="3"/>
    <x v="2"/>
    <x v="60"/>
    <n v="141.29"/>
    <n v="7"/>
    <n v="364.6"/>
    <x v="11"/>
    <x v="2"/>
    <x v="2"/>
    <x v="0"/>
    <n v="223.31000000000003"/>
    <n v="134.88"/>
  </r>
  <r>
    <s v="2025-02-24"/>
    <x v="5"/>
    <x v="2"/>
    <x v="230"/>
    <n v="21.36"/>
    <n v="6"/>
    <n v="185.96"/>
    <x v="2"/>
    <x v="2"/>
    <x v="2"/>
    <x v="0"/>
    <n v="164.60000000000002"/>
    <n v="145.32"/>
  </r>
  <r>
    <s v="2025-02-23"/>
    <x v="5"/>
    <x v="0"/>
    <x v="144"/>
    <n v="141.68"/>
    <n v="8"/>
    <n v="413.15"/>
    <x v="47"/>
    <x v="1"/>
    <x v="5"/>
    <x v="0"/>
    <n v="271.46999999999997"/>
    <n v="134.78"/>
  </r>
  <r>
    <s v="2025-01-22"/>
    <x v="0"/>
    <x v="2"/>
    <x v="663"/>
    <n v="138"/>
    <n v="2"/>
    <n v="227.76"/>
    <x v="80"/>
    <x v="2"/>
    <x v="1"/>
    <x v="0"/>
    <n v="89.759999999999991"/>
    <n v="148.59"/>
  </r>
  <r>
    <s v="2025-04-21"/>
    <x v="2"/>
    <x v="3"/>
    <x v="664"/>
    <n v="120.8"/>
    <n v="5"/>
    <n v="479.04"/>
    <x v="138"/>
    <x v="0"/>
    <x v="4"/>
    <x v="0"/>
    <n v="358.24"/>
    <n v="101.38"/>
  </r>
  <r>
    <s v="2025-03-29"/>
    <x v="1"/>
    <x v="2"/>
    <x v="665"/>
    <n v="127.78"/>
    <n v="2"/>
    <n v="92.11"/>
    <x v="46"/>
    <x v="1"/>
    <x v="5"/>
    <x v="0"/>
    <n v="-35.67"/>
    <n v="63.35"/>
  </r>
  <r>
    <s v="2024-11-04"/>
    <x v="4"/>
    <x v="1"/>
    <x v="666"/>
    <n v="86.51"/>
    <n v="5"/>
    <n v="169.44"/>
    <x v="199"/>
    <x v="0"/>
    <x v="0"/>
    <x v="0"/>
    <n v="82.929999999999993"/>
    <n v="116.35"/>
  </r>
  <r>
    <s v="2024-12-12"/>
    <x v="3"/>
    <x v="1"/>
    <x v="226"/>
    <n v="20.350000000000001"/>
    <n v="2"/>
    <n v="239.35"/>
    <x v="105"/>
    <x v="1"/>
    <x v="2"/>
    <x v="0"/>
    <n v="219"/>
    <n v="115.66"/>
  </r>
  <r>
    <s v="2024-11-27"/>
    <x v="4"/>
    <x v="3"/>
    <x v="381"/>
    <n v="81.69"/>
    <n v="2"/>
    <n v="164.27"/>
    <x v="344"/>
    <x v="0"/>
    <x v="0"/>
    <x v="0"/>
    <n v="82.580000000000013"/>
    <n v="131.49"/>
  </r>
  <r>
    <s v="2025-02-27"/>
    <x v="5"/>
    <x v="2"/>
    <x v="667"/>
    <n v="28.72"/>
    <n v="1"/>
    <n v="357.53"/>
    <x v="117"/>
    <x v="2"/>
    <x v="5"/>
    <x v="0"/>
    <n v="328.80999999999995"/>
    <n v="120.69"/>
  </r>
  <r>
    <s v="2025-03-18"/>
    <x v="1"/>
    <x v="1"/>
    <x v="506"/>
    <n v="118.06"/>
    <n v="4"/>
    <n v="28.12"/>
    <x v="197"/>
    <x v="2"/>
    <x v="1"/>
    <x v="0"/>
    <n v="-89.94"/>
    <n v="135.41999999999999"/>
  </r>
  <r>
    <s v="2025-01-20"/>
    <x v="0"/>
    <x v="2"/>
    <x v="668"/>
    <n v="124.83"/>
    <n v="4"/>
    <n v="88.47"/>
    <x v="332"/>
    <x v="0"/>
    <x v="4"/>
    <x v="0"/>
    <n v="-36.36"/>
    <n v="64.11"/>
  </r>
  <r>
    <s v="2025-01-07"/>
    <x v="0"/>
    <x v="3"/>
    <x v="273"/>
    <n v="71.5"/>
    <n v="0"/>
    <n v="283.85000000000002"/>
    <x v="13"/>
    <x v="1"/>
    <x v="0"/>
    <x v="1"/>
    <n v="212.35000000000002"/>
    <n v="99.62"/>
  </r>
  <r>
    <s v="2024-12-24"/>
    <x v="3"/>
    <x v="2"/>
    <x v="669"/>
    <n v="32.46"/>
    <n v="5"/>
    <n v="393.6"/>
    <x v="119"/>
    <x v="1"/>
    <x v="2"/>
    <x v="0"/>
    <n v="361.14000000000004"/>
    <n v="142.43"/>
  </r>
  <r>
    <s v="2024-11-27"/>
    <x v="4"/>
    <x v="1"/>
    <x v="108"/>
    <n v="127.77"/>
    <n v="4"/>
    <n v="353.59"/>
    <x v="36"/>
    <x v="2"/>
    <x v="5"/>
    <x v="0"/>
    <n v="225.82"/>
    <n v="138.47999999999999"/>
  </r>
  <r>
    <s v="2025-03-13"/>
    <x v="1"/>
    <x v="2"/>
    <x v="458"/>
    <n v="67.03"/>
    <n v="3"/>
    <n v="366.32"/>
    <x v="45"/>
    <x v="0"/>
    <x v="5"/>
    <x v="0"/>
    <n v="299.28999999999996"/>
    <n v="104.75"/>
  </r>
  <r>
    <s v="2025-02-06"/>
    <x v="5"/>
    <x v="1"/>
    <x v="670"/>
    <n v="147.58000000000001"/>
    <n v="3"/>
    <n v="76.72"/>
    <x v="105"/>
    <x v="1"/>
    <x v="4"/>
    <x v="0"/>
    <n v="-70.860000000000014"/>
    <n v="112.34"/>
  </r>
  <r>
    <s v="2024-11-27"/>
    <x v="4"/>
    <x v="2"/>
    <x v="671"/>
    <n v="63.33"/>
    <n v="6"/>
    <n v="157.72"/>
    <x v="187"/>
    <x v="0"/>
    <x v="2"/>
    <x v="0"/>
    <n v="94.39"/>
    <n v="162.16999999999999"/>
  </r>
  <r>
    <s v="2024-11-05"/>
    <x v="4"/>
    <x v="2"/>
    <x v="672"/>
    <n v="83.24"/>
    <n v="4"/>
    <n v="457.89"/>
    <x v="3"/>
    <x v="1"/>
    <x v="5"/>
    <x v="0"/>
    <n v="374.65"/>
    <n v="140.29"/>
  </r>
  <r>
    <s v="2024-11-02"/>
    <x v="4"/>
    <x v="2"/>
    <x v="522"/>
    <n v="89.96"/>
    <n v="1"/>
    <n v="273.33"/>
    <x v="24"/>
    <x v="2"/>
    <x v="1"/>
    <x v="0"/>
    <n v="183.37"/>
    <n v="126.12"/>
  </r>
  <r>
    <s v="2025-02-15"/>
    <x v="5"/>
    <x v="3"/>
    <x v="634"/>
    <n v="102.25"/>
    <n v="2"/>
    <n v="300.45"/>
    <x v="354"/>
    <x v="1"/>
    <x v="1"/>
    <x v="0"/>
    <n v="198.2"/>
    <n v="92.78"/>
  </r>
  <r>
    <s v="2025-02-05"/>
    <x v="5"/>
    <x v="0"/>
    <x v="367"/>
    <n v="149.96"/>
    <n v="0"/>
    <n v="296"/>
    <x v="355"/>
    <x v="1"/>
    <x v="1"/>
    <x v="1"/>
    <n v="146.04"/>
    <n v="95.06"/>
  </r>
  <r>
    <s v="2024-11-05"/>
    <x v="4"/>
    <x v="2"/>
    <x v="673"/>
    <n v="93.58"/>
    <n v="7"/>
    <n v="178.65"/>
    <x v="38"/>
    <x v="1"/>
    <x v="5"/>
    <x v="0"/>
    <n v="85.070000000000007"/>
    <n v="104.49"/>
  </r>
  <r>
    <s v="2025-01-17"/>
    <x v="0"/>
    <x v="1"/>
    <x v="302"/>
    <n v="48.18"/>
    <n v="9"/>
    <n v="451.99"/>
    <x v="194"/>
    <x v="1"/>
    <x v="3"/>
    <x v="0"/>
    <n v="403.81"/>
    <n v="123.82"/>
  </r>
  <r>
    <s v="2025-02-10"/>
    <x v="5"/>
    <x v="3"/>
    <x v="126"/>
    <n v="38"/>
    <n v="8"/>
    <n v="216.28"/>
    <x v="45"/>
    <x v="0"/>
    <x v="5"/>
    <x v="0"/>
    <n v="178.28"/>
    <n v="98.75"/>
  </r>
  <r>
    <s v="2025-04-02"/>
    <x v="2"/>
    <x v="2"/>
    <x v="68"/>
    <n v="34.22"/>
    <n v="6"/>
    <n v="222.03"/>
    <x v="194"/>
    <x v="2"/>
    <x v="1"/>
    <x v="0"/>
    <n v="187.81"/>
    <n v="121.43"/>
  </r>
  <r>
    <s v="2025-01-01"/>
    <x v="0"/>
    <x v="1"/>
    <x v="476"/>
    <n v="64.34"/>
    <n v="4"/>
    <n v="147.69"/>
    <x v="187"/>
    <x v="1"/>
    <x v="0"/>
    <x v="0"/>
    <n v="83.35"/>
    <n v="163.38999999999999"/>
  </r>
  <r>
    <s v="2025-01-01"/>
    <x v="0"/>
    <x v="3"/>
    <x v="118"/>
    <n v="25.9"/>
    <n v="8"/>
    <n v="57.48"/>
    <x v="341"/>
    <x v="0"/>
    <x v="0"/>
    <x v="0"/>
    <n v="31.58"/>
    <n v="112.37"/>
  </r>
  <r>
    <s v="2025-01-30"/>
    <x v="0"/>
    <x v="2"/>
    <x v="333"/>
    <n v="13.26"/>
    <n v="3"/>
    <n v="479.06"/>
    <x v="85"/>
    <x v="1"/>
    <x v="1"/>
    <x v="0"/>
    <n v="465.8"/>
    <n v="120.26"/>
  </r>
  <r>
    <s v="2025-03-23"/>
    <x v="1"/>
    <x v="2"/>
    <x v="18"/>
    <n v="144.52000000000001"/>
    <n v="10"/>
    <n v="121.41"/>
    <x v="266"/>
    <x v="1"/>
    <x v="1"/>
    <x v="0"/>
    <n v="-23.110000000000014"/>
    <n v="67.58"/>
  </r>
  <r>
    <s v="2024-11-11"/>
    <x v="4"/>
    <x v="2"/>
    <x v="674"/>
    <n v="54.28"/>
    <n v="9"/>
    <n v="431.13"/>
    <x v="356"/>
    <x v="0"/>
    <x v="1"/>
    <x v="0"/>
    <n v="376.85"/>
    <n v="191.57"/>
  </r>
  <r>
    <s v="2025-04-10"/>
    <x v="2"/>
    <x v="2"/>
    <x v="122"/>
    <n v="20.59"/>
    <n v="5"/>
    <n v="222.61"/>
    <x v="199"/>
    <x v="2"/>
    <x v="4"/>
    <x v="0"/>
    <n v="202.02"/>
    <n v="121.4"/>
  </r>
  <r>
    <s v="2024-12-23"/>
    <x v="3"/>
    <x v="0"/>
    <x v="371"/>
    <n v="8.67"/>
    <n v="8"/>
    <n v="147.21"/>
    <x v="164"/>
    <x v="1"/>
    <x v="1"/>
    <x v="0"/>
    <n v="138.54000000000002"/>
    <n v="111.96"/>
  </r>
  <r>
    <s v="2025-01-15"/>
    <x v="0"/>
    <x v="2"/>
    <x v="69"/>
    <n v="119.34"/>
    <n v="0"/>
    <n v="253.78"/>
    <x v="24"/>
    <x v="0"/>
    <x v="2"/>
    <x v="1"/>
    <n v="134.44"/>
    <n v="113.92"/>
  </r>
  <r>
    <s v="2025-02-04"/>
    <x v="5"/>
    <x v="3"/>
    <x v="675"/>
    <n v="113.21"/>
    <n v="5"/>
    <n v="353.29"/>
    <x v="151"/>
    <x v="0"/>
    <x v="2"/>
    <x v="0"/>
    <n v="240.08000000000004"/>
    <n v="117.99"/>
  </r>
  <r>
    <s v="2025-04-13"/>
    <x v="2"/>
    <x v="3"/>
    <x v="87"/>
    <n v="92.07"/>
    <n v="3"/>
    <n v="177.57"/>
    <x v="11"/>
    <x v="2"/>
    <x v="3"/>
    <x v="0"/>
    <n v="85.5"/>
    <n v="134.41"/>
  </r>
  <r>
    <s v="2024-12-23"/>
    <x v="3"/>
    <x v="2"/>
    <x v="589"/>
    <n v="85.49"/>
    <n v="8"/>
    <n v="427.84"/>
    <x v="280"/>
    <x v="2"/>
    <x v="2"/>
    <x v="0"/>
    <n v="342.34999999999997"/>
    <n v="163.92"/>
  </r>
  <r>
    <s v="2025-03-18"/>
    <x v="1"/>
    <x v="2"/>
    <x v="71"/>
    <n v="27.41"/>
    <n v="9"/>
    <n v="91.19"/>
    <x v="121"/>
    <x v="0"/>
    <x v="2"/>
    <x v="0"/>
    <n v="63.78"/>
    <n v="130.30000000000001"/>
  </r>
  <r>
    <s v="2025-01-22"/>
    <x v="0"/>
    <x v="1"/>
    <x v="115"/>
    <n v="81.97"/>
    <n v="8"/>
    <n v="38.28"/>
    <x v="357"/>
    <x v="1"/>
    <x v="1"/>
    <x v="0"/>
    <n v="-43.69"/>
    <n v="33.659999999999997"/>
  </r>
  <r>
    <s v="2025-02-16"/>
    <x v="5"/>
    <x v="0"/>
    <x v="676"/>
    <n v="32.549999999999997"/>
    <n v="6"/>
    <n v="79.7"/>
    <x v="57"/>
    <x v="1"/>
    <x v="4"/>
    <x v="0"/>
    <n v="47.150000000000006"/>
    <n v="110.47"/>
  </r>
  <r>
    <s v="2024-11-10"/>
    <x v="4"/>
    <x v="0"/>
    <x v="479"/>
    <n v="103.96"/>
    <n v="8"/>
    <n v="303.7"/>
    <x v="336"/>
    <x v="1"/>
    <x v="4"/>
    <x v="0"/>
    <n v="199.74"/>
    <n v="123.2"/>
  </r>
  <r>
    <s v="2025-02-17"/>
    <x v="5"/>
    <x v="3"/>
    <x v="300"/>
    <n v="77.73"/>
    <n v="4"/>
    <n v="435.41"/>
    <x v="0"/>
    <x v="1"/>
    <x v="5"/>
    <x v="0"/>
    <n v="357.68"/>
    <n v="122.45"/>
  </r>
  <r>
    <s v="2024-11-20"/>
    <x v="4"/>
    <x v="2"/>
    <x v="631"/>
    <n v="137.25"/>
    <n v="5"/>
    <n v="302.08999999999997"/>
    <x v="106"/>
    <x v="1"/>
    <x v="2"/>
    <x v="0"/>
    <n v="164.83999999999997"/>
    <n v="126.48"/>
  </r>
  <r>
    <s v="2025-04-19"/>
    <x v="2"/>
    <x v="0"/>
    <x v="677"/>
    <n v="77.39"/>
    <n v="4"/>
    <n v="327.69"/>
    <x v="47"/>
    <x v="1"/>
    <x v="3"/>
    <x v="0"/>
    <n v="250.3"/>
    <n v="131.55000000000001"/>
  </r>
  <r>
    <s v="2025-02-20"/>
    <x v="5"/>
    <x v="3"/>
    <x v="678"/>
    <n v="136.22"/>
    <n v="5"/>
    <n v="216.17"/>
    <x v="6"/>
    <x v="2"/>
    <x v="4"/>
    <x v="0"/>
    <n v="79.949999999999989"/>
    <n v="112.02"/>
  </r>
  <r>
    <s v="2025-03-10"/>
    <x v="1"/>
    <x v="3"/>
    <x v="679"/>
    <n v="40.18"/>
    <n v="6"/>
    <n v="318.01"/>
    <x v="17"/>
    <x v="1"/>
    <x v="1"/>
    <x v="0"/>
    <n v="277.83"/>
    <n v="133.22"/>
  </r>
  <r>
    <s v="2024-11-08"/>
    <x v="4"/>
    <x v="3"/>
    <x v="412"/>
    <n v="122.42"/>
    <n v="9"/>
    <n v="229.93"/>
    <x v="204"/>
    <x v="1"/>
    <x v="1"/>
    <x v="0"/>
    <n v="107.51"/>
    <n v="123.51"/>
  </r>
  <r>
    <s v="2024-11-29"/>
    <x v="4"/>
    <x v="0"/>
    <x v="13"/>
    <n v="119.79"/>
    <n v="10"/>
    <n v="196.19"/>
    <x v="105"/>
    <x v="0"/>
    <x v="2"/>
    <x v="0"/>
    <n v="76.399999999999991"/>
    <n v="114.96"/>
  </r>
  <r>
    <s v="2025-02-11"/>
    <x v="5"/>
    <x v="1"/>
    <x v="563"/>
    <n v="44.99"/>
    <n v="7"/>
    <n v="202.1"/>
    <x v="112"/>
    <x v="0"/>
    <x v="1"/>
    <x v="0"/>
    <n v="157.10999999999999"/>
    <n v="156.1"/>
  </r>
  <r>
    <s v="2025-04-29"/>
    <x v="2"/>
    <x v="2"/>
    <x v="346"/>
    <n v="16.47"/>
    <n v="0"/>
    <n v="191.08"/>
    <x v="60"/>
    <x v="1"/>
    <x v="0"/>
    <x v="1"/>
    <n v="174.61"/>
    <n v="126.95"/>
  </r>
  <r>
    <s v="2024-12-31"/>
    <x v="3"/>
    <x v="0"/>
    <x v="661"/>
    <n v="108.76"/>
    <n v="3"/>
    <n v="38.82"/>
    <x v="358"/>
    <x v="0"/>
    <x v="5"/>
    <x v="0"/>
    <n v="-69.94"/>
    <n v="110.97"/>
  </r>
  <r>
    <s v="2025-01-28"/>
    <x v="0"/>
    <x v="2"/>
    <x v="540"/>
    <n v="20.420000000000002"/>
    <n v="2"/>
    <n v="141.01"/>
    <x v="245"/>
    <x v="0"/>
    <x v="3"/>
    <x v="0"/>
    <n v="120.58999999999999"/>
    <n v="123.52"/>
  </r>
  <r>
    <s v="2025-01-29"/>
    <x v="0"/>
    <x v="2"/>
    <x v="669"/>
    <n v="55.54"/>
    <n v="2"/>
    <n v="486.28"/>
    <x v="147"/>
    <x v="2"/>
    <x v="2"/>
    <x v="0"/>
    <n v="430.73999999999995"/>
    <n v="187.63"/>
  </r>
  <r>
    <s v="2024-12-02"/>
    <x v="3"/>
    <x v="0"/>
    <x v="680"/>
    <n v="74.08"/>
    <n v="2"/>
    <n v="435.96"/>
    <x v="132"/>
    <x v="2"/>
    <x v="0"/>
    <x v="0"/>
    <n v="361.88"/>
    <n v="140.94"/>
  </r>
  <r>
    <s v="2024-11-01"/>
    <x v="4"/>
    <x v="0"/>
    <x v="665"/>
    <n v="74.58"/>
    <n v="0"/>
    <n v="146.4"/>
    <x v="26"/>
    <x v="1"/>
    <x v="4"/>
    <x v="1"/>
    <n v="71.820000000000007"/>
    <n v="117.96"/>
  </r>
  <r>
    <s v="2025-04-21"/>
    <x v="2"/>
    <x v="1"/>
    <x v="73"/>
    <n v="68.86"/>
    <n v="1"/>
    <n v="123.91"/>
    <x v="2"/>
    <x v="2"/>
    <x v="2"/>
    <x v="0"/>
    <n v="55.05"/>
    <n v="147.91"/>
  </r>
  <r>
    <s v="2024-12-17"/>
    <x v="3"/>
    <x v="3"/>
    <x v="538"/>
    <n v="138.56"/>
    <n v="7"/>
    <n v="76.2"/>
    <x v="178"/>
    <x v="1"/>
    <x v="5"/>
    <x v="0"/>
    <n v="-62.36"/>
    <n v="106.89"/>
  </r>
  <r>
    <s v="2024-12-19"/>
    <x v="3"/>
    <x v="3"/>
    <x v="681"/>
    <n v="146.59"/>
    <n v="2"/>
    <n v="437.35"/>
    <x v="105"/>
    <x v="0"/>
    <x v="1"/>
    <x v="0"/>
    <n v="290.76"/>
    <n v="115.32"/>
  </r>
  <r>
    <s v="2024-11-23"/>
    <x v="4"/>
    <x v="1"/>
    <x v="682"/>
    <n v="118.43"/>
    <n v="7"/>
    <n v="447.69"/>
    <x v="188"/>
    <x v="1"/>
    <x v="0"/>
    <x v="0"/>
    <n v="329.26"/>
    <n v="162"/>
  </r>
  <r>
    <s v="2024-12-28"/>
    <x v="3"/>
    <x v="2"/>
    <x v="321"/>
    <n v="79.59"/>
    <n v="2"/>
    <n v="58.15"/>
    <x v="274"/>
    <x v="1"/>
    <x v="1"/>
    <x v="0"/>
    <n v="-21.440000000000005"/>
    <n v="109.01"/>
  </r>
  <r>
    <s v="2025-04-25"/>
    <x v="2"/>
    <x v="2"/>
    <x v="120"/>
    <n v="60.82"/>
    <n v="2"/>
    <n v="457.78"/>
    <x v="57"/>
    <x v="2"/>
    <x v="3"/>
    <x v="0"/>
    <n v="396.96"/>
    <n v="120.64"/>
  </r>
  <r>
    <s v="2025-03-31"/>
    <x v="1"/>
    <x v="0"/>
    <x v="432"/>
    <n v="15.35"/>
    <n v="4"/>
    <n v="83.05"/>
    <x v="60"/>
    <x v="1"/>
    <x v="3"/>
    <x v="0"/>
    <n v="67.7"/>
    <n v="121.42"/>
  </r>
  <r>
    <s v="2025-02-26"/>
    <x v="5"/>
    <x v="0"/>
    <x v="652"/>
    <n v="100.56"/>
    <n v="9"/>
    <n v="195.86"/>
    <x v="359"/>
    <x v="2"/>
    <x v="0"/>
    <x v="0"/>
    <n v="95.300000000000011"/>
    <n v="145.84"/>
  </r>
  <r>
    <s v="2025-02-05"/>
    <x v="5"/>
    <x v="1"/>
    <x v="328"/>
    <n v="101.02"/>
    <n v="4"/>
    <n v="51.17"/>
    <x v="319"/>
    <x v="0"/>
    <x v="4"/>
    <x v="0"/>
    <n v="-49.849999999999994"/>
    <n v="100.19"/>
  </r>
  <r>
    <s v="2025-02-17"/>
    <x v="5"/>
    <x v="1"/>
    <x v="268"/>
    <n v="10.18"/>
    <n v="4"/>
    <n v="26.45"/>
    <x v="96"/>
    <x v="1"/>
    <x v="2"/>
    <x v="0"/>
    <n v="16.27"/>
    <n v="80.8"/>
  </r>
  <r>
    <s v="2024-12-14"/>
    <x v="3"/>
    <x v="1"/>
    <x v="261"/>
    <n v="62.48"/>
    <n v="0"/>
    <n v="427.35"/>
    <x v="64"/>
    <x v="2"/>
    <x v="0"/>
    <x v="1"/>
    <n v="364.87"/>
    <n v="143.35"/>
  </r>
  <r>
    <s v="2024-12-28"/>
    <x v="3"/>
    <x v="0"/>
    <x v="264"/>
    <n v="31.76"/>
    <n v="10"/>
    <n v="72.92"/>
    <x v="121"/>
    <x v="0"/>
    <x v="2"/>
    <x v="0"/>
    <n v="41.16"/>
    <n v="132.03"/>
  </r>
  <r>
    <s v="2024-12-19"/>
    <x v="3"/>
    <x v="1"/>
    <x v="274"/>
    <n v="71.489999999999995"/>
    <n v="7"/>
    <n v="315.44"/>
    <x v="9"/>
    <x v="0"/>
    <x v="2"/>
    <x v="0"/>
    <n v="243.95"/>
    <n v="118.18"/>
  </r>
  <r>
    <s v="2025-03-02"/>
    <x v="1"/>
    <x v="3"/>
    <x v="45"/>
    <n v="85.73"/>
    <n v="3"/>
    <n v="449.3"/>
    <x v="40"/>
    <x v="1"/>
    <x v="1"/>
    <x v="0"/>
    <n v="363.57"/>
    <n v="117.03"/>
  </r>
  <r>
    <s v="2025-02-03"/>
    <x v="5"/>
    <x v="2"/>
    <x v="120"/>
    <n v="148.69999999999999"/>
    <n v="7"/>
    <n v="441.31"/>
    <x v="360"/>
    <x v="2"/>
    <x v="0"/>
    <x v="0"/>
    <n v="292.61"/>
    <n v="194.44"/>
  </r>
  <r>
    <s v="2025-02-25"/>
    <x v="5"/>
    <x v="1"/>
    <x v="429"/>
    <n v="64.58"/>
    <n v="8"/>
    <n v="82.53"/>
    <x v="71"/>
    <x v="0"/>
    <x v="4"/>
    <x v="0"/>
    <n v="17.950000000000003"/>
    <n v="119.84"/>
  </r>
  <r>
    <s v="2025-01-05"/>
    <x v="0"/>
    <x v="0"/>
    <x v="683"/>
    <n v="58.26"/>
    <n v="7"/>
    <n v="101.24"/>
    <x v="36"/>
    <x v="0"/>
    <x v="2"/>
    <x v="0"/>
    <n v="42.98"/>
    <n v="138.62"/>
  </r>
  <r>
    <s v="2025-01-15"/>
    <x v="0"/>
    <x v="3"/>
    <x v="589"/>
    <n v="113.14"/>
    <n v="0"/>
    <n v="38.549999999999997"/>
    <x v="41"/>
    <x v="2"/>
    <x v="0"/>
    <x v="1"/>
    <n v="-74.59"/>
    <n v="122.91"/>
  </r>
  <r>
    <s v="2025-03-18"/>
    <x v="1"/>
    <x v="3"/>
    <x v="80"/>
    <n v="149.62"/>
    <n v="1"/>
    <n v="61.63"/>
    <x v="23"/>
    <x v="0"/>
    <x v="3"/>
    <x v="0"/>
    <n v="-87.990000000000009"/>
    <n v="128.97"/>
  </r>
  <r>
    <s v="2024-11-15"/>
    <x v="4"/>
    <x v="3"/>
    <x v="684"/>
    <n v="106.58"/>
    <n v="7"/>
    <n v="448.92"/>
    <x v="338"/>
    <x v="2"/>
    <x v="1"/>
    <x v="0"/>
    <n v="342.34000000000003"/>
    <n v="124.93"/>
  </r>
  <r>
    <s v="2024-11-22"/>
    <x v="4"/>
    <x v="1"/>
    <x v="617"/>
    <n v="47.82"/>
    <n v="5"/>
    <n v="90.87"/>
    <x v="318"/>
    <x v="1"/>
    <x v="0"/>
    <x v="0"/>
    <n v="43.050000000000004"/>
    <n v="68.67"/>
  </r>
  <r>
    <s v="2024-11-24"/>
    <x v="4"/>
    <x v="1"/>
    <x v="676"/>
    <n v="21.42"/>
    <n v="2"/>
    <n v="249.13"/>
    <x v="361"/>
    <x v="0"/>
    <x v="0"/>
    <x v="0"/>
    <n v="227.70999999999998"/>
    <n v="147.09"/>
  </r>
  <r>
    <s v="2025-01-29"/>
    <x v="0"/>
    <x v="2"/>
    <x v="492"/>
    <n v="72.040000000000006"/>
    <n v="8"/>
    <n v="295.05"/>
    <x v="283"/>
    <x v="1"/>
    <x v="1"/>
    <x v="0"/>
    <n v="223.01"/>
    <n v="166.87"/>
  </r>
  <r>
    <s v="2025-02-01"/>
    <x v="5"/>
    <x v="2"/>
    <x v="657"/>
    <n v="107.92"/>
    <n v="8"/>
    <n v="91.76"/>
    <x v="362"/>
    <x v="2"/>
    <x v="0"/>
    <x v="0"/>
    <n v="-16.159999999999997"/>
    <n v="59.86"/>
  </r>
  <r>
    <s v="2025-02-05"/>
    <x v="5"/>
    <x v="1"/>
    <x v="685"/>
    <n v="134.52000000000001"/>
    <n v="2"/>
    <n v="368.14"/>
    <x v="358"/>
    <x v="1"/>
    <x v="2"/>
    <x v="0"/>
    <n v="233.61999999999998"/>
    <n v="110.18"/>
  </r>
  <r>
    <s v="2024-12-31"/>
    <x v="3"/>
    <x v="1"/>
    <x v="296"/>
    <n v="60.74"/>
    <n v="2"/>
    <n v="230.63"/>
    <x v="17"/>
    <x v="2"/>
    <x v="5"/>
    <x v="0"/>
    <n v="169.89"/>
    <n v="122.94"/>
  </r>
  <r>
    <s v="2025-02-22"/>
    <x v="5"/>
    <x v="2"/>
    <x v="686"/>
    <n v="102.39"/>
    <n v="10"/>
    <n v="464.52"/>
    <x v="41"/>
    <x v="1"/>
    <x v="2"/>
    <x v="0"/>
    <n v="362.13"/>
    <n v="121.71"/>
  </r>
  <r>
    <s v="2024-12-07"/>
    <x v="3"/>
    <x v="1"/>
    <x v="563"/>
    <n v="47.54"/>
    <n v="1"/>
    <n v="30"/>
    <x v="363"/>
    <x v="0"/>
    <x v="1"/>
    <x v="0"/>
    <n v="-17.54"/>
    <n v="38.799999999999997"/>
  </r>
  <r>
    <s v="2025-03-29"/>
    <x v="1"/>
    <x v="0"/>
    <x v="411"/>
    <n v="40.68"/>
    <n v="8"/>
    <n v="442.71"/>
    <x v="80"/>
    <x v="0"/>
    <x v="5"/>
    <x v="0"/>
    <n v="402.03"/>
    <n v="145.94999999999999"/>
  </r>
  <r>
    <s v="2025-04-04"/>
    <x v="2"/>
    <x v="2"/>
    <x v="657"/>
    <n v="101.7"/>
    <n v="8"/>
    <n v="256.7"/>
    <x v="364"/>
    <x v="2"/>
    <x v="5"/>
    <x v="0"/>
    <n v="155"/>
    <n v="112.4"/>
  </r>
  <r>
    <s v="2025-04-17"/>
    <x v="2"/>
    <x v="1"/>
    <x v="687"/>
    <n v="64.55"/>
    <n v="10"/>
    <n v="289.52999999999997"/>
    <x v="62"/>
    <x v="2"/>
    <x v="0"/>
    <x v="0"/>
    <n v="224.97999999999996"/>
    <n v="129.9"/>
  </r>
  <r>
    <s v="2025-02-13"/>
    <x v="5"/>
    <x v="2"/>
    <x v="688"/>
    <n v="132.76"/>
    <n v="4"/>
    <n v="286.3"/>
    <x v="134"/>
    <x v="0"/>
    <x v="0"/>
    <x v="0"/>
    <n v="153.54000000000002"/>
    <n v="117.87"/>
  </r>
  <r>
    <s v="2024-12-02"/>
    <x v="3"/>
    <x v="0"/>
    <x v="175"/>
    <n v="23"/>
    <n v="3"/>
    <n v="442.39"/>
    <x v="53"/>
    <x v="0"/>
    <x v="2"/>
    <x v="0"/>
    <n v="419.39"/>
    <n v="107.73"/>
  </r>
  <r>
    <s v="2025-01-24"/>
    <x v="0"/>
    <x v="3"/>
    <x v="207"/>
    <n v="63.26"/>
    <n v="9"/>
    <n v="30.35"/>
    <x v="324"/>
    <x v="1"/>
    <x v="1"/>
    <x v="0"/>
    <n v="-32.909999999999997"/>
    <n v="118.72"/>
  </r>
  <r>
    <s v="2024-11-13"/>
    <x v="4"/>
    <x v="0"/>
    <x v="242"/>
    <n v="101.72"/>
    <n v="4"/>
    <n v="459.84"/>
    <x v="62"/>
    <x v="1"/>
    <x v="5"/>
    <x v="0"/>
    <n v="358.12"/>
    <n v="135.96"/>
  </r>
  <r>
    <s v="2025-03-18"/>
    <x v="1"/>
    <x v="2"/>
    <x v="336"/>
    <n v="147.19"/>
    <n v="10"/>
    <n v="118.45"/>
    <x v="63"/>
    <x v="1"/>
    <x v="0"/>
    <x v="0"/>
    <n v="-28.739999999999995"/>
    <n v="125.6"/>
  </r>
  <r>
    <s v="2025-04-04"/>
    <x v="2"/>
    <x v="2"/>
    <x v="149"/>
    <n v="90.96"/>
    <n v="5"/>
    <n v="154.97"/>
    <x v="12"/>
    <x v="2"/>
    <x v="0"/>
    <x v="0"/>
    <n v="64.010000000000005"/>
    <n v="126.53"/>
  </r>
  <r>
    <s v="2025-04-26"/>
    <x v="2"/>
    <x v="1"/>
    <x v="658"/>
    <n v="74.680000000000007"/>
    <n v="3"/>
    <n v="286.47000000000003"/>
    <x v="2"/>
    <x v="1"/>
    <x v="4"/>
    <x v="0"/>
    <n v="211.79000000000002"/>
    <n v="141.07"/>
  </r>
  <r>
    <s v="2025-01-01"/>
    <x v="0"/>
    <x v="1"/>
    <x v="689"/>
    <n v="87.62"/>
    <n v="5"/>
    <n v="450.91"/>
    <x v="20"/>
    <x v="2"/>
    <x v="4"/>
    <x v="0"/>
    <n v="363.29"/>
    <n v="169.43"/>
  </r>
  <r>
    <s v="2025-01-16"/>
    <x v="0"/>
    <x v="3"/>
    <x v="203"/>
    <n v="82"/>
    <n v="10"/>
    <n v="401.25"/>
    <x v="187"/>
    <x v="2"/>
    <x v="1"/>
    <x v="0"/>
    <n v="319.25"/>
    <n v="159.68"/>
  </r>
  <r>
    <s v="2025-02-26"/>
    <x v="5"/>
    <x v="3"/>
    <x v="523"/>
    <n v="11.82"/>
    <n v="6"/>
    <n v="283.73"/>
    <x v="45"/>
    <x v="2"/>
    <x v="2"/>
    <x v="0"/>
    <n v="271.91000000000003"/>
    <n v="103.29"/>
  </r>
  <r>
    <s v="2025-03-06"/>
    <x v="1"/>
    <x v="2"/>
    <x v="682"/>
    <n v="71.290000000000006"/>
    <n v="2"/>
    <n v="489.41"/>
    <x v="95"/>
    <x v="1"/>
    <x v="2"/>
    <x v="0"/>
    <n v="418.12"/>
    <n v="158.88"/>
  </r>
  <r>
    <s v="2025-01-22"/>
    <x v="0"/>
    <x v="1"/>
    <x v="603"/>
    <n v="67.959999999999994"/>
    <n v="6"/>
    <n v="70.010000000000005"/>
    <x v="232"/>
    <x v="1"/>
    <x v="2"/>
    <x v="0"/>
    <n v="2.0500000000000114"/>
    <n v="125.93"/>
  </r>
  <r>
    <s v="2025-01-29"/>
    <x v="0"/>
    <x v="1"/>
    <x v="251"/>
    <n v="105.96"/>
    <n v="7"/>
    <n v="26"/>
    <x v="57"/>
    <x v="1"/>
    <x v="3"/>
    <x v="0"/>
    <n v="-79.959999999999994"/>
    <n v="119.97"/>
  </r>
  <r>
    <s v="2025-01-26"/>
    <x v="0"/>
    <x v="1"/>
    <x v="322"/>
    <n v="89.39"/>
    <n v="1"/>
    <n v="175.61"/>
    <x v="72"/>
    <x v="2"/>
    <x v="5"/>
    <x v="0"/>
    <n v="86.220000000000013"/>
    <n v="125.72"/>
  </r>
  <r>
    <s v="2025-03-19"/>
    <x v="1"/>
    <x v="2"/>
    <x v="94"/>
    <n v="61.25"/>
    <n v="3"/>
    <n v="324.14"/>
    <x v="27"/>
    <x v="0"/>
    <x v="2"/>
    <x v="0"/>
    <n v="262.89"/>
    <n v="114.2"/>
  </r>
  <r>
    <s v="2024-11-11"/>
    <x v="4"/>
    <x v="0"/>
    <x v="690"/>
    <n v="89.56"/>
    <n v="3"/>
    <n v="255.05"/>
    <x v="139"/>
    <x v="1"/>
    <x v="2"/>
    <x v="0"/>
    <n v="165.49"/>
    <n v="145.65"/>
  </r>
  <r>
    <s v="2024-11-07"/>
    <x v="4"/>
    <x v="0"/>
    <x v="691"/>
    <n v="109.26"/>
    <n v="5"/>
    <n v="374.51"/>
    <x v="60"/>
    <x v="0"/>
    <x v="2"/>
    <x v="0"/>
    <n v="265.25"/>
    <n v="119.1"/>
  </r>
  <r>
    <s v="2025-01-29"/>
    <x v="0"/>
    <x v="0"/>
    <x v="84"/>
    <n v="142.97999999999999"/>
    <n v="7"/>
    <n v="201.27"/>
    <x v="217"/>
    <x v="2"/>
    <x v="2"/>
    <x v="0"/>
    <n v="58.29000000000002"/>
    <n v="143.22999999999999"/>
  </r>
  <r>
    <s v="2025-04-09"/>
    <x v="2"/>
    <x v="0"/>
    <x v="378"/>
    <n v="21.21"/>
    <n v="7"/>
    <n v="410.92"/>
    <x v="84"/>
    <x v="1"/>
    <x v="5"/>
    <x v="0"/>
    <n v="389.71000000000004"/>
    <n v="103.11"/>
  </r>
  <r>
    <s v="2024-12-28"/>
    <x v="3"/>
    <x v="3"/>
    <x v="570"/>
    <n v="132.31"/>
    <n v="7"/>
    <n v="190.12"/>
    <x v="329"/>
    <x v="0"/>
    <x v="3"/>
    <x v="0"/>
    <n v="57.81"/>
    <n v="81.91"/>
  </r>
  <r>
    <s v="2024-11-27"/>
    <x v="4"/>
    <x v="2"/>
    <x v="99"/>
    <n v="13.11"/>
    <n v="7"/>
    <n v="60.55"/>
    <x v="365"/>
    <x v="0"/>
    <x v="2"/>
    <x v="0"/>
    <n v="47.44"/>
    <n v="83.3"/>
  </r>
  <r>
    <s v="2025-03-22"/>
    <x v="1"/>
    <x v="2"/>
    <x v="692"/>
    <n v="74.97"/>
    <n v="8"/>
    <n v="140.94999999999999"/>
    <x v="224"/>
    <x v="0"/>
    <x v="4"/>
    <x v="0"/>
    <n v="65.97999999999999"/>
    <n v="121.28"/>
  </r>
  <r>
    <s v="2025-02-16"/>
    <x v="5"/>
    <x v="0"/>
    <x v="693"/>
    <n v="71.430000000000007"/>
    <n v="6"/>
    <n v="28.61"/>
    <x v="84"/>
    <x v="1"/>
    <x v="1"/>
    <x v="0"/>
    <n v="-42.820000000000007"/>
    <n v="98.77"/>
  </r>
  <r>
    <s v="2025-03-13"/>
    <x v="1"/>
    <x v="0"/>
    <x v="694"/>
    <n v="47.94"/>
    <n v="10"/>
    <n v="417.81"/>
    <x v="198"/>
    <x v="2"/>
    <x v="4"/>
    <x v="0"/>
    <n v="369.87"/>
    <n v="132.30000000000001"/>
  </r>
  <r>
    <s v="2024-12-08"/>
    <x v="3"/>
    <x v="1"/>
    <x v="695"/>
    <n v="37.979999999999997"/>
    <n v="1"/>
    <n v="381.15"/>
    <x v="336"/>
    <x v="0"/>
    <x v="2"/>
    <x v="0"/>
    <n v="343.16999999999996"/>
    <n v="130.49"/>
  </r>
  <r>
    <s v="2024-12-11"/>
    <x v="3"/>
    <x v="0"/>
    <x v="317"/>
    <n v="32.83"/>
    <n v="6"/>
    <n v="104.98"/>
    <x v="366"/>
    <x v="0"/>
    <x v="1"/>
    <x v="0"/>
    <n v="72.150000000000006"/>
    <n v="70.08"/>
  </r>
  <r>
    <s v="2024-11-26"/>
    <x v="4"/>
    <x v="2"/>
    <x v="564"/>
    <n v="53.17"/>
    <n v="3"/>
    <n v="146.74"/>
    <x v="41"/>
    <x v="1"/>
    <x v="2"/>
    <x v="0"/>
    <n v="93.570000000000007"/>
    <n v="124.03"/>
  </r>
  <r>
    <s v="2024-11-20"/>
    <x v="4"/>
    <x v="3"/>
    <x v="696"/>
    <n v="99.55"/>
    <n v="0"/>
    <n v="334.86"/>
    <x v="197"/>
    <x v="0"/>
    <x v="0"/>
    <x v="1"/>
    <n v="235.31"/>
    <n v="132.44"/>
  </r>
  <r>
    <s v="2024-12-31"/>
    <x v="3"/>
    <x v="3"/>
    <x v="592"/>
    <n v="148.66999999999999"/>
    <n v="4"/>
    <n v="422.86"/>
    <x v="341"/>
    <x v="0"/>
    <x v="5"/>
    <x v="0"/>
    <n v="274.19000000000005"/>
    <n v="115.53"/>
  </r>
  <r>
    <s v="2025-02-12"/>
    <x v="5"/>
    <x v="3"/>
    <x v="255"/>
    <n v="9.7899999999999991"/>
    <n v="1"/>
    <n v="276.88"/>
    <x v="28"/>
    <x v="2"/>
    <x v="3"/>
    <x v="0"/>
    <n v="267.08999999999997"/>
    <n v="117.39"/>
  </r>
  <r>
    <s v="2025-04-28"/>
    <x v="2"/>
    <x v="3"/>
    <x v="536"/>
    <n v="47.57"/>
    <n v="9"/>
    <n v="218.21"/>
    <x v="40"/>
    <x v="1"/>
    <x v="5"/>
    <x v="0"/>
    <n v="170.64000000000001"/>
    <n v="117.44"/>
  </r>
  <r>
    <s v="2025-02-01"/>
    <x v="5"/>
    <x v="1"/>
    <x v="697"/>
    <n v="87.85"/>
    <n v="8"/>
    <n v="39.03"/>
    <x v="349"/>
    <x v="0"/>
    <x v="2"/>
    <x v="0"/>
    <n v="-48.819999999999993"/>
    <n v="69.849999999999994"/>
  </r>
  <r>
    <s v="2025-04-26"/>
    <x v="2"/>
    <x v="1"/>
    <x v="698"/>
    <n v="99.99"/>
    <n v="0"/>
    <n v="331.44"/>
    <x v="53"/>
    <x v="1"/>
    <x v="2"/>
    <x v="1"/>
    <n v="231.45"/>
    <n v="115.17"/>
  </r>
  <r>
    <s v="2024-12-24"/>
    <x v="3"/>
    <x v="3"/>
    <x v="672"/>
    <n v="64.38"/>
    <n v="7"/>
    <n v="285.70999999999998"/>
    <x v="21"/>
    <x v="0"/>
    <x v="3"/>
    <x v="0"/>
    <n v="221.32999999999998"/>
    <n v="128.80000000000001"/>
  </r>
  <r>
    <s v="2024-11-18"/>
    <x v="4"/>
    <x v="3"/>
    <x v="116"/>
    <n v="58.3"/>
    <n v="6"/>
    <n v="65.260000000000005"/>
    <x v="2"/>
    <x v="0"/>
    <x v="3"/>
    <x v="0"/>
    <n v="6.960000000000008"/>
    <n v="138.62"/>
  </r>
  <r>
    <s v="2025-02-12"/>
    <x v="5"/>
    <x v="1"/>
    <x v="699"/>
    <n v="39.700000000000003"/>
    <n v="7"/>
    <n v="459"/>
    <x v="86"/>
    <x v="0"/>
    <x v="1"/>
    <x v="0"/>
    <n v="419.3"/>
    <n v="107.15"/>
  </r>
  <r>
    <s v="2024-11-10"/>
    <x v="4"/>
    <x v="1"/>
    <x v="406"/>
    <n v="77.11"/>
    <n v="8"/>
    <n v="181.4"/>
    <x v="367"/>
    <x v="1"/>
    <x v="0"/>
    <x v="0"/>
    <n v="104.29"/>
    <n v="142.78"/>
  </r>
  <r>
    <s v="2025-03-20"/>
    <x v="1"/>
    <x v="1"/>
    <x v="119"/>
    <n v="133.32"/>
    <n v="0"/>
    <n v="315.97000000000003"/>
    <x v="33"/>
    <x v="1"/>
    <x v="3"/>
    <x v="1"/>
    <n v="182.65000000000003"/>
    <n v="129.74"/>
  </r>
  <r>
    <s v="2025-02-01"/>
    <x v="5"/>
    <x v="3"/>
    <x v="508"/>
    <n v="33.57"/>
    <n v="3"/>
    <n v="171.68"/>
    <x v="72"/>
    <x v="1"/>
    <x v="4"/>
    <x v="0"/>
    <n v="138.11000000000001"/>
    <n v="125.42"/>
  </r>
  <r>
    <s v="2025-04-21"/>
    <x v="2"/>
    <x v="0"/>
    <x v="21"/>
    <n v="40.81"/>
    <n v="3"/>
    <n v="342.79"/>
    <x v="217"/>
    <x v="1"/>
    <x v="3"/>
    <x v="0"/>
    <n v="301.98"/>
    <n v="151.01"/>
  </r>
  <r>
    <s v="2025-03-07"/>
    <x v="1"/>
    <x v="2"/>
    <x v="700"/>
    <n v="140.84"/>
    <n v="6"/>
    <n v="388.67"/>
    <x v="368"/>
    <x v="1"/>
    <x v="1"/>
    <x v="0"/>
    <n v="247.83"/>
    <n v="95.49"/>
  </r>
  <r>
    <s v="2025-03-07"/>
    <x v="1"/>
    <x v="0"/>
    <x v="701"/>
    <n v="146.24"/>
    <n v="6"/>
    <n v="338.61"/>
    <x v="364"/>
    <x v="2"/>
    <x v="2"/>
    <x v="0"/>
    <n v="192.37"/>
    <n v="104.37"/>
  </r>
  <r>
    <s v="2025-02-06"/>
    <x v="5"/>
    <x v="2"/>
    <x v="526"/>
    <n v="31.8"/>
    <n v="10"/>
    <n v="363.25"/>
    <x v="369"/>
    <x v="0"/>
    <x v="5"/>
    <x v="0"/>
    <n v="331.45"/>
    <n v="168.45"/>
  </r>
  <r>
    <s v="2025-02-17"/>
    <x v="5"/>
    <x v="1"/>
    <x v="315"/>
    <n v="22.45"/>
    <n v="5"/>
    <n v="218.21"/>
    <x v="144"/>
    <x v="2"/>
    <x v="2"/>
    <x v="0"/>
    <n v="195.76000000000002"/>
    <n v="159.66999999999999"/>
  </r>
  <r>
    <s v="2025-01-20"/>
    <x v="0"/>
    <x v="3"/>
    <x v="702"/>
    <n v="21.82"/>
    <n v="6"/>
    <n v="334.28"/>
    <x v="106"/>
    <x v="0"/>
    <x v="1"/>
    <x v="0"/>
    <n v="312.45999999999998"/>
    <n v="118.98"/>
  </r>
  <r>
    <s v="2025-04-27"/>
    <x v="2"/>
    <x v="3"/>
    <x v="181"/>
    <n v="69.569999999999993"/>
    <n v="10"/>
    <n v="474.78"/>
    <x v="370"/>
    <x v="2"/>
    <x v="0"/>
    <x v="0"/>
    <n v="405.21"/>
    <n v="192.91"/>
  </r>
  <r>
    <s v="2024-11-22"/>
    <x v="4"/>
    <x v="0"/>
    <x v="15"/>
    <n v="93.15"/>
    <n v="5"/>
    <n v="340.95"/>
    <x v="102"/>
    <x v="2"/>
    <x v="1"/>
    <x v="0"/>
    <n v="247.79999999999998"/>
    <n v="127.37"/>
  </r>
  <r>
    <s v="2025-02-28"/>
    <x v="5"/>
    <x v="3"/>
    <x v="703"/>
    <n v="69.989999999999995"/>
    <n v="6"/>
    <n v="261.79000000000002"/>
    <x v="72"/>
    <x v="0"/>
    <x v="1"/>
    <x v="0"/>
    <n v="191.8"/>
    <n v="116.08"/>
  </r>
  <r>
    <s v="2024-11-08"/>
    <x v="4"/>
    <x v="0"/>
    <x v="206"/>
    <n v="16.600000000000001"/>
    <n v="7"/>
    <n v="222.42"/>
    <x v="9"/>
    <x v="2"/>
    <x v="5"/>
    <x v="0"/>
    <n v="205.82"/>
    <n v="122.07"/>
  </r>
  <r>
    <s v="2024-12-02"/>
    <x v="3"/>
    <x v="2"/>
    <x v="613"/>
    <n v="60.33"/>
    <n v="4"/>
    <n v="382.63"/>
    <x v="262"/>
    <x v="0"/>
    <x v="0"/>
    <x v="0"/>
    <n v="322.3"/>
    <n v="124.36"/>
  </r>
  <r>
    <s v="2025-03-28"/>
    <x v="1"/>
    <x v="0"/>
    <x v="190"/>
    <n v="72.63"/>
    <n v="6"/>
    <n v="473.85"/>
    <x v="281"/>
    <x v="1"/>
    <x v="0"/>
    <x v="0"/>
    <n v="401.22"/>
    <n v="148.83000000000001"/>
  </r>
  <r>
    <s v="2024-12-19"/>
    <x v="3"/>
    <x v="2"/>
    <x v="221"/>
    <n v="147.88"/>
    <n v="5"/>
    <n v="49.19"/>
    <x v="345"/>
    <x v="2"/>
    <x v="4"/>
    <x v="0"/>
    <n v="-98.69"/>
    <n v="88.6"/>
  </r>
  <r>
    <s v="2024-11-25"/>
    <x v="4"/>
    <x v="0"/>
    <x v="554"/>
    <n v="119.15"/>
    <n v="3"/>
    <n v="60.63"/>
    <x v="311"/>
    <x v="1"/>
    <x v="1"/>
    <x v="0"/>
    <n v="-58.52"/>
    <n v="52.86"/>
  </r>
  <r>
    <s v="2024-12-11"/>
    <x v="3"/>
    <x v="3"/>
    <x v="211"/>
    <n v="24.1"/>
    <n v="6"/>
    <n v="163.72999999999999"/>
    <x v="160"/>
    <x v="2"/>
    <x v="1"/>
    <x v="0"/>
    <n v="139.63"/>
    <n v="113.56"/>
  </r>
  <r>
    <s v="2024-11-08"/>
    <x v="4"/>
    <x v="3"/>
    <x v="613"/>
    <n v="138.55000000000001"/>
    <n v="5"/>
    <n v="139.77000000000001"/>
    <x v="155"/>
    <x v="0"/>
    <x v="2"/>
    <x v="0"/>
    <n v="1.2199999999999989"/>
    <n v="153.06"/>
  </r>
  <r>
    <s v="2025-03-10"/>
    <x v="1"/>
    <x v="1"/>
    <x v="67"/>
    <n v="84.69"/>
    <n v="6"/>
    <n v="401.27"/>
    <x v="21"/>
    <x v="1"/>
    <x v="4"/>
    <x v="0"/>
    <n v="316.58"/>
    <n v="131.99"/>
  </r>
  <r>
    <s v="2025-01-24"/>
    <x v="0"/>
    <x v="3"/>
    <x v="287"/>
    <n v="100.81"/>
    <n v="6"/>
    <n v="98.08"/>
    <x v="371"/>
    <x v="1"/>
    <x v="1"/>
    <x v="0"/>
    <n v="-2.730000000000004"/>
    <n v="63.68"/>
  </r>
  <r>
    <s v="2025-04-04"/>
    <x v="2"/>
    <x v="3"/>
    <x v="81"/>
    <n v="97.18"/>
    <n v="3"/>
    <n v="183.15"/>
    <x v="9"/>
    <x v="2"/>
    <x v="1"/>
    <x v="0"/>
    <n v="85.97"/>
    <n v="124.75"/>
  </r>
  <r>
    <s v="2025-02-14"/>
    <x v="5"/>
    <x v="1"/>
    <x v="4"/>
    <n v="56.21"/>
    <n v="10"/>
    <n v="181.13"/>
    <x v="106"/>
    <x v="1"/>
    <x v="2"/>
    <x v="0"/>
    <n v="124.91999999999999"/>
    <n v="120.87"/>
  </r>
  <r>
    <s v="2025-01-29"/>
    <x v="0"/>
    <x v="0"/>
    <x v="466"/>
    <n v="90.07"/>
    <n v="0"/>
    <n v="136.49"/>
    <x v="52"/>
    <x v="0"/>
    <x v="5"/>
    <x v="1"/>
    <n v="46.420000000000016"/>
    <n v="107.33"/>
  </r>
  <r>
    <s v="2025-01-25"/>
    <x v="0"/>
    <x v="3"/>
    <x v="697"/>
    <n v="87.44"/>
    <n v="7"/>
    <n v="337.77"/>
    <x v="12"/>
    <x v="0"/>
    <x v="5"/>
    <x v="0"/>
    <n v="250.32999999999998"/>
    <n v="119.86"/>
  </r>
  <r>
    <s v="2025-03-03"/>
    <x v="1"/>
    <x v="2"/>
    <x v="411"/>
    <n v="51.73"/>
    <n v="10"/>
    <n v="301.72000000000003"/>
    <x v="9"/>
    <x v="2"/>
    <x v="1"/>
    <x v="0"/>
    <n v="249.99000000000004"/>
    <n v="123.18"/>
  </r>
  <r>
    <s v="2025-04-10"/>
    <x v="2"/>
    <x v="3"/>
    <x v="429"/>
    <n v="74.180000000000007"/>
    <n v="4"/>
    <n v="206.3"/>
    <x v="260"/>
    <x v="2"/>
    <x v="3"/>
    <x v="0"/>
    <n v="132.12"/>
    <n v="117.62"/>
  </r>
  <r>
    <s v="2025-01-29"/>
    <x v="0"/>
    <x v="1"/>
    <x v="265"/>
    <n v="28.78"/>
    <n v="4"/>
    <n v="232.11"/>
    <x v="6"/>
    <x v="1"/>
    <x v="1"/>
    <x v="0"/>
    <n v="203.33"/>
    <n v="114.89"/>
  </r>
  <r>
    <s v="2025-02-22"/>
    <x v="5"/>
    <x v="1"/>
    <x v="695"/>
    <n v="7.83"/>
    <n v="2"/>
    <n v="376.88"/>
    <x v="372"/>
    <x v="0"/>
    <x v="1"/>
    <x v="0"/>
    <n v="369.05"/>
    <n v="150.54"/>
  </r>
  <r>
    <s v="2025-01-18"/>
    <x v="0"/>
    <x v="3"/>
    <x v="704"/>
    <n v="63.67"/>
    <n v="9"/>
    <n v="320.25"/>
    <x v="55"/>
    <x v="2"/>
    <x v="0"/>
    <x v="0"/>
    <n v="256.58"/>
    <n v="170.53"/>
  </r>
  <r>
    <s v="2024-12-04"/>
    <x v="3"/>
    <x v="3"/>
    <x v="122"/>
    <n v="65.45"/>
    <n v="0"/>
    <n v="419.42"/>
    <x v="187"/>
    <x v="0"/>
    <x v="1"/>
    <x v="1"/>
    <n v="353.97"/>
    <n v="154.65"/>
  </r>
  <r>
    <s v="2025-02-27"/>
    <x v="5"/>
    <x v="3"/>
    <x v="662"/>
    <n v="116.61"/>
    <n v="10"/>
    <n v="490.94"/>
    <x v="268"/>
    <x v="2"/>
    <x v="1"/>
    <x v="0"/>
    <n v="374.33"/>
    <n v="114.39"/>
  </r>
  <r>
    <s v="2025-04-23"/>
    <x v="2"/>
    <x v="2"/>
    <x v="47"/>
    <n v="119.2"/>
    <n v="10"/>
    <n v="422.43"/>
    <x v="95"/>
    <x v="0"/>
    <x v="4"/>
    <x v="0"/>
    <n v="303.23"/>
    <n v="153.36000000000001"/>
  </r>
  <r>
    <s v="2024-12-27"/>
    <x v="3"/>
    <x v="3"/>
    <x v="393"/>
    <n v="36.49"/>
    <n v="0"/>
    <n v="76.73"/>
    <x v="373"/>
    <x v="0"/>
    <x v="2"/>
    <x v="1"/>
    <n v="40.24"/>
    <n v="48.61"/>
  </r>
  <r>
    <s v="2025-01-11"/>
    <x v="0"/>
    <x v="3"/>
    <x v="390"/>
    <n v="63.83"/>
    <n v="4"/>
    <n v="94.33"/>
    <x v="274"/>
    <x v="2"/>
    <x v="2"/>
    <x v="0"/>
    <n v="30.5"/>
    <n v="103.08"/>
  </r>
  <r>
    <s v="2025-02-21"/>
    <x v="5"/>
    <x v="2"/>
    <x v="89"/>
    <n v="44.77"/>
    <n v="4"/>
    <n v="246.46"/>
    <x v="374"/>
    <x v="2"/>
    <x v="1"/>
    <x v="0"/>
    <n v="201.69"/>
    <n v="120.61"/>
  </r>
  <r>
    <s v="2025-03-21"/>
    <x v="1"/>
    <x v="2"/>
    <x v="96"/>
    <n v="37.25"/>
    <n v="3"/>
    <n v="462.3"/>
    <x v="211"/>
    <x v="2"/>
    <x v="5"/>
    <x v="0"/>
    <n v="425.05"/>
    <n v="132.85"/>
  </r>
  <r>
    <s v="2024-11-01"/>
    <x v="4"/>
    <x v="3"/>
    <x v="644"/>
    <n v="143.08000000000001"/>
    <n v="6"/>
    <n v="273.61"/>
    <x v="8"/>
    <x v="0"/>
    <x v="0"/>
    <x v="0"/>
    <n v="130.53"/>
    <n v="128.94999999999999"/>
  </r>
  <r>
    <s v="2024-10-30"/>
    <x v="6"/>
    <x v="1"/>
    <x v="705"/>
    <n v="45.33"/>
    <n v="5"/>
    <n v="385.48"/>
    <x v="375"/>
    <x v="1"/>
    <x v="5"/>
    <x v="0"/>
    <n v="340.15000000000003"/>
    <n v="195.01"/>
  </r>
  <r>
    <s v="2025-03-08"/>
    <x v="1"/>
    <x v="0"/>
    <x v="242"/>
    <n v="10.98"/>
    <n v="0"/>
    <n v="313.56"/>
    <x v="164"/>
    <x v="1"/>
    <x v="1"/>
    <x v="1"/>
    <n v="302.58"/>
    <n v="110.02"/>
  </r>
  <r>
    <s v="2024-11-25"/>
    <x v="4"/>
    <x v="3"/>
    <x v="37"/>
    <n v="118.11"/>
    <n v="8"/>
    <n v="243.35"/>
    <x v="249"/>
    <x v="0"/>
    <x v="5"/>
    <x v="0"/>
    <n v="125.24"/>
    <n v="121.25"/>
  </r>
  <r>
    <s v="2024-11-14"/>
    <x v="4"/>
    <x v="2"/>
    <x v="298"/>
    <n v="130.13"/>
    <n v="5"/>
    <n v="438.78"/>
    <x v="3"/>
    <x v="1"/>
    <x v="1"/>
    <x v="0"/>
    <n v="308.64999999999998"/>
    <n v="139.08000000000001"/>
  </r>
  <r>
    <s v="2025-01-06"/>
    <x v="0"/>
    <x v="3"/>
    <x v="647"/>
    <n v="138.47999999999999"/>
    <n v="6"/>
    <n v="169.39"/>
    <x v="328"/>
    <x v="0"/>
    <x v="2"/>
    <x v="0"/>
    <n v="30.909999999999997"/>
    <n v="118.07"/>
  </r>
  <r>
    <s v="2025-01-12"/>
    <x v="0"/>
    <x v="0"/>
    <x v="444"/>
    <n v="43.72"/>
    <n v="2"/>
    <n v="99.8"/>
    <x v="210"/>
    <x v="2"/>
    <x v="3"/>
    <x v="0"/>
    <n v="56.08"/>
    <n v="125.71"/>
  </r>
  <r>
    <s v="2025-04-08"/>
    <x v="2"/>
    <x v="1"/>
    <x v="706"/>
    <n v="91.22"/>
    <n v="1"/>
    <n v="320.77"/>
    <x v="47"/>
    <x v="1"/>
    <x v="5"/>
    <x v="0"/>
    <n v="229.54999999999998"/>
    <n v="138.6"/>
  </r>
  <r>
    <s v="2025-03-17"/>
    <x v="1"/>
    <x v="0"/>
    <x v="130"/>
    <n v="74.739999999999995"/>
    <n v="7"/>
    <n v="419.85"/>
    <x v="103"/>
    <x v="0"/>
    <x v="0"/>
    <x v="0"/>
    <n v="345.11"/>
    <n v="166.15"/>
  </r>
  <r>
    <s v="2025-04-30"/>
    <x v="2"/>
    <x v="3"/>
    <x v="702"/>
    <n v="65.489999999999995"/>
    <n v="10"/>
    <n v="341.49"/>
    <x v="376"/>
    <x v="1"/>
    <x v="2"/>
    <x v="0"/>
    <n v="276"/>
    <n v="164.69"/>
  </r>
  <r>
    <s v="2025-04-15"/>
    <x v="2"/>
    <x v="1"/>
    <x v="474"/>
    <n v="143.66999999999999"/>
    <n v="7"/>
    <n v="394.41"/>
    <x v="377"/>
    <x v="1"/>
    <x v="2"/>
    <x v="0"/>
    <n v="250.74000000000004"/>
    <n v="178.75"/>
  </r>
  <r>
    <s v="2025-01-24"/>
    <x v="0"/>
    <x v="3"/>
    <x v="635"/>
    <n v="20.059999999999999"/>
    <n v="6"/>
    <n v="63.47"/>
    <x v="378"/>
    <x v="1"/>
    <x v="0"/>
    <x v="0"/>
    <n v="43.41"/>
    <n v="51.58"/>
  </r>
  <r>
    <s v="2025-03-20"/>
    <x v="1"/>
    <x v="2"/>
    <x v="311"/>
    <n v="73.209999999999994"/>
    <n v="9"/>
    <n v="96.12"/>
    <x v="61"/>
    <x v="0"/>
    <x v="1"/>
    <x v="0"/>
    <n v="22.910000000000011"/>
    <n v="92.85"/>
  </r>
  <r>
    <s v="2024-12-07"/>
    <x v="3"/>
    <x v="0"/>
    <x v="278"/>
    <n v="22.66"/>
    <n v="9"/>
    <n v="220.19"/>
    <x v="102"/>
    <x v="1"/>
    <x v="5"/>
    <x v="0"/>
    <n v="197.53"/>
    <n v="125.84"/>
  </r>
  <r>
    <s v="2024-12-04"/>
    <x v="3"/>
    <x v="3"/>
    <x v="21"/>
    <n v="115.84"/>
    <n v="4"/>
    <n v="466.71"/>
    <x v="379"/>
    <x v="1"/>
    <x v="2"/>
    <x v="0"/>
    <n v="350.87"/>
    <n v="215.19"/>
  </r>
  <r>
    <s v="2024-10-30"/>
    <x v="6"/>
    <x v="1"/>
    <x v="589"/>
    <n v="99.07"/>
    <n v="6"/>
    <n v="292.62"/>
    <x v="57"/>
    <x v="0"/>
    <x v="5"/>
    <x v="0"/>
    <n v="193.55"/>
    <n v="111.37"/>
  </r>
  <r>
    <s v="2025-02-01"/>
    <x v="5"/>
    <x v="1"/>
    <x v="265"/>
    <n v="100.96"/>
    <n v="7"/>
    <n v="90.71"/>
    <x v="52"/>
    <x v="2"/>
    <x v="5"/>
    <x v="0"/>
    <n v="-10.25"/>
    <n v="108.09"/>
  </r>
  <r>
    <s v="2025-04-11"/>
    <x v="2"/>
    <x v="2"/>
    <x v="268"/>
    <n v="134.26"/>
    <n v="2"/>
    <n v="171.02"/>
    <x v="72"/>
    <x v="0"/>
    <x v="3"/>
    <x v="0"/>
    <n v="36.760000000000019"/>
    <n v="117.37"/>
  </r>
  <r>
    <s v="2025-02-28"/>
    <x v="5"/>
    <x v="0"/>
    <x v="144"/>
    <n v="66.459999999999994"/>
    <n v="7"/>
    <n v="377.65"/>
    <x v="19"/>
    <x v="1"/>
    <x v="1"/>
    <x v="0"/>
    <n v="311.19"/>
    <n v="150.77000000000001"/>
  </r>
  <r>
    <s v="2025-01-13"/>
    <x v="0"/>
    <x v="1"/>
    <x v="660"/>
    <n v="127.84"/>
    <n v="1"/>
    <n v="361.82"/>
    <x v="253"/>
    <x v="1"/>
    <x v="3"/>
    <x v="0"/>
    <n v="233.98"/>
    <n v="105.24"/>
  </r>
  <r>
    <s v="2025-02-28"/>
    <x v="5"/>
    <x v="1"/>
    <x v="582"/>
    <n v="89.24"/>
    <n v="7"/>
    <n v="426.05"/>
    <x v="27"/>
    <x v="1"/>
    <x v="2"/>
    <x v="0"/>
    <n v="336.81"/>
    <n v="103.74"/>
  </r>
  <r>
    <s v="2024-11-08"/>
    <x v="4"/>
    <x v="3"/>
    <x v="467"/>
    <n v="59.14"/>
    <n v="0"/>
    <n v="127.62"/>
    <x v="84"/>
    <x v="0"/>
    <x v="5"/>
    <x v="1"/>
    <n v="68.48"/>
    <n v="100.09"/>
  </r>
  <r>
    <s v="2025-01-30"/>
    <x v="0"/>
    <x v="3"/>
    <x v="707"/>
    <n v="143.69999999999999"/>
    <n v="2"/>
    <n v="360.07"/>
    <x v="319"/>
    <x v="2"/>
    <x v="1"/>
    <x v="0"/>
    <n v="216.37"/>
    <n v="101.07"/>
  </r>
  <r>
    <s v="2024-12-09"/>
    <x v="3"/>
    <x v="0"/>
    <x v="228"/>
    <n v="34.35"/>
    <n v="4"/>
    <n v="252.21"/>
    <x v="292"/>
    <x v="2"/>
    <x v="1"/>
    <x v="0"/>
    <n v="217.86"/>
    <n v="151.84"/>
  </r>
  <r>
    <s v="2024-11-19"/>
    <x v="4"/>
    <x v="0"/>
    <x v="343"/>
    <n v="66.400000000000006"/>
    <n v="2"/>
    <n v="125.56"/>
    <x v="319"/>
    <x v="0"/>
    <x v="5"/>
    <x v="0"/>
    <n v="59.16"/>
    <n v="108.85"/>
  </r>
  <r>
    <s v="2025-03-17"/>
    <x v="1"/>
    <x v="3"/>
    <x v="171"/>
    <n v="132.66999999999999"/>
    <n v="3"/>
    <n v="278.29000000000002"/>
    <x v="194"/>
    <x v="0"/>
    <x v="1"/>
    <x v="0"/>
    <n v="145.62000000000003"/>
    <n v="120.72"/>
  </r>
  <r>
    <s v="2024-11-05"/>
    <x v="4"/>
    <x v="0"/>
    <x v="550"/>
    <n v="134.62"/>
    <n v="0"/>
    <n v="273.42"/>
    <x v="235"/>
    <x v="1"/>
    <x v="1"/>
    <x v="1"/>
    <n v="138.80000000000001"/>
    <n v="153.54"/>
  </r>
  <r>
    <s v="2024-11-18"/>
    <x v="4"/>
    <x v="0"/>
    <x v="79"/>
    <n v="57.57"/>
    <n v="6"/>
    <n v="232.05"/>
    <x v="66"/>
    <x v="2"/>
    <x v="3"/>
    <x v="0"/>
    <n v="174.48000000000002"/>
    <n v="120.34"/>
  </r>
  <r>
    <s v="2025-04-26"/>
    <x v="2"/>
    <x v="1"/>
    <x v="237"/>
    <n v="51.94"/>
    <n v="7"/>
    <n v="320.27"/>
    <x v="224"/>
    <x v="1"/>
    <x v="1"/>
    <x v="0"/>
    <n v="268.33"/>
    <n v="120.02"/>
  </r>
  <r>
    <s v="2025-01-17"/>
    <x v="0"/>
    <x v="3"/>
    <x v="440"/>
    <n v="106.42"/>
    <n v="10"/>
    <n v="424.64"/>
    <x v="114"/>
    <x v="0"/>
    <x v="2"/>
    <x v="0"/>
    <n v="318.21999999999997"/>
    <n v="130.47"/>
  </r>
  <r>
    <s v="2024-12-27"/>
    <x v="3"/>
    <x v="1"/>
    <x v="379"/>
    <n v="124.45"/>
    <n v="2"/>
    <n v="135.01"/>
    <x v="274"/>
    <x v="2"/>
    <x v="0"/>
    <x v="0"/>
    <n v="10.559999999999988"/>
    <n v="109.13"/>
  </r>
  <r>
    <s v="2025-02-05"/>
    <x v="5"/>
    <x v="1"/>
    <x v="708"/>
    <n v="132.72999999999999"/>
    <n v="4"/>
    <n v="405.38"/>
    <x v="222"/>
    <x v="1"/>
    <x v="5"/>
    <x v="0"/>
    <n v="272.64999999999998"/>
    <n v="109.41"/>
  </r>
  <r>
    <s v="2025-04-02"/>
    <x v="2"/>
    <x v="3"/>
    <x v="41"/>
    <n v="61.61"/>
    <n v="8"/>
    <n v="174.14"/>
    <x v="24"/>
    <x v="1"/>
    <x v="4"/>
    <x v="0"/>
    <n v="112.52999999999999"/>
    <n v="117.72"/>
  </r>
  <r>
    <s v="2025-03-03"/>
    <x v="1"/>
    <x v="2"/>
    <x v="172"/>
    <n v="87.21"/>
    <n v="0"/>
    <n v="319.32"/>
    <x v="216"/>
    <x v="0"/>
    <x v="3"/>
    <x v="1"/>
    <n v="232.11"/>
    <n v="116.47"/>
  </r>
  <r>
    <s v="2025-02-18"/>
    <x v="5"/>
    <x v="3"/>
    <x v="314"/>
    <n v="120.95"/>
    <n v="2"/>
    <n v="472.08"/>
    <x v="210"/>
    <x v="0"/>
    <x v="3"/>
    <x v="0"/>
    <n v="351.13"/>
    <n v="128.47999999999999"/>
  </r>
  <r>
    <s v="2024-12-18"/>
    <x v="3"/>
    <x v="2"/>
    <x v="538"/>
    <n v="6.52"/>
    <n v="1"/>
    <n v="386.42"/>
    <x v="361"/>
    <x v="0"/>
    <x v="2"/>
    <x v="0"/>
    <n v="379.90000000000003"/>
    <n v="150.13999999999999"/>
  </r>
  <r>
    <s v="2025-04-16"/>
    <x v="2"/>
    <x v="3"/>
    <x v="709"/>
    <n v="84.91"/>
    <n v="2"/>
    <n v="423.38"/>
    <x v="106"/>
    <x v="2"/>
    <x v="1"/>
    <x v="0"/>
    <n v="338.47"/>
    <n v="118.54"/>
  </r>
  <r>
    <s v="2025-01-27"/>
    <x v="0"/>
    <x v="1"/>
    <x v="710"/>
    <n v="118.45"/>
    <n v="5"/>
    <n v="453.57"/>
    <x v="284"/>
    <x v="1"/>
    <x v="5"/>
    <x v="0"/>
    <n v="335.12"/>
    <n v="171.5"/>
  </r>
  <r>
    <s v="2025-04-16"/>
    <x v="2"/>
    <x v="2"/>
    <x v="18"/>
    <n v="68.89"/>
    <n v="4"/>
    <n v="45.73"/>
    <x v="318"/>
    <x v="1"/>
    <x v="1"/>
    <x v="0"/>
    <n v="-23.160000000000004"/>
    <n v="66.099999999999994"/>
  </r>
  <r>
    <s v="2024-11-05"/>
    <x v="4"/>
    <x v="1"/>
    <x v="711"/>
    <n v="43.15"/>
    <n v="6"/>
    <n v="469.86"/>
    <x v="380"/>
    <x v="2"/>
    <x v="2"/>
    <x v="0"/>
    <n v="426.71000000000004"/>
    <n v="126.59"/>
  </r>
  <r>
    <s v="2025-04-03"/>
    <x v="2"/>
    <x v="3"/>
    <x v="367"/>
    <n v="93.6"/>
    <n v="1"/>
    <n v="275.95999999999998"/>
    <x v="277"/>
    <x v="2"/>
    <x v="2"/>
    <x v="0"/>
    <n v="182.35999999999999"/>
    <n v="105.34"/>
  </r>
  <r>
    <s v="2025-01-06"/>
    <x v="0"/>
    <x v="0"/>
    <x v="168"/>
    <n v="90.91"/>
    <n v="0"/>
    <n v="235.59"/>
    <x v="170"/>
    <x v="1"/>
    <x v="1"/>
    <x v="1"/>
    <n v="144.68"/>
    <n v="128.44999999999999"/>
  </r>
  <r>
    <s v="2025-02-24"/>
    <x v="5"/>
    <x v="2"/>
    <x v="178"/>
    <n v="28.05"/>
    <n v="2"/>
    <n v="304.92"/>
    <x v="103"/>
    <x v="1"/>
    <x v="1"/>
    <x v="0"/>
    <n v="276.87"/>
    <n v="169.82"/>
  </r>
  <r>
    <s v="2025-03-11"/>
    <x v="1"/>
    <x v="0"/>
    <x v="712"/>
    <n v="145.91999999999999"/>
    <n v="9"/>
    <n v="41.78"/>
    <x v="119"/>
    <x v="2"/>
    <x v="2"/>
    <x v="0"/>
    <n v="-104.13999999999999"/>
    <n v="131.91"/>
  </r>
  <r>
    <s v="2024-11-12"/>
    <x v="4"/>
    <x v="0"/>
    <x v="710"/>
    <n v="143.15"/>
    <n v="0"/>
    <n v="56.24"/>
    <x v="363"/>
    <x v="2"/>
    <x v="2"/>
    <x v="1"/>
    <n v="-86.91"/>
    <n v="43.87"/>
  </r>
  <r>
    <s v="2024-11-07"/>
    <x v="4"/>
    <x v="0"/>
    <x v="473"/>
    <n v="98.55"/>
    <n v="4"/>
    <n v="208.32"/>
    <x v="211"/>
    <x v="0"/>
    <x v="5"/>
    <x v="0"/>
    <n v="109.77"/>
    <n v="130.32"/>
  </r>
  <r>
    <s v="2024-11-02"/>
    <x v="4"/>
    <x v="3"/>
    <x v="713"/>
    <n v="104.94"/>
    <n v="5"/>
    <n v="432.34"/>
    <x v="195"/>
    <x v="0"/>
    <x v="1"/>
    <x v="0"/>
    <n v="327.39999999999998"/>
    <n v="188.53"/>
  </r>
  <r>
    <s v="2024-12-08"/>
    <x v="3"/>
    <x v="0"/>
    <x v="439"/>
    <n v="125.46"/>
    <n v="6"/>
    <n v="404.75"/>
    <x v="280"/>
    <x v="2"/>
    <x v="2"/>
    <x v="0"/>
    <n v="279.29000000000002"/>
    <n v="157.44999999999999"/>
  </r>
  <r>
    <s v="2025-03-29"/>
    <x v="1"/>
    <x v="1"/>
    <x v="714"/>
    <n v="142.26"/>
    <n v="8"/>
    <n v="226.03"/>
    <x v="74"/>
    <x v="1"/>
    <x v="4"/>
    <x v="0"/>
    <n v="83.77000000000001"/>
    <n v="134.12"/>
  </r>
  <r>
    <s v="2025-02-27"/>
    <x v="5"/>
    <x v="0"/>
    <x v="715"/>
    <n v="63.13"/>
    <n v="7"/>
    <n v="54.46"/>
    <x v="110"/>
    <x v="0"/>
    <x v="4"/>
    <x v="0"/>
    <n v="-8.6700000000000017"/>
    <n v="90.13"/>
  </r>
  <r>
    <s v="2024-11-06"/>
    <x v="4"/>
    <x v="0"/>
    <x v="600"/>
    <n v="142.83000000000001"/>
    <n v="3"/>
    <n v="40.520000000000003"/>
    <x v="187"/>
    <x v="2"/>
    <x v="3"/>
    <x v="0"/>
    <n v="-102.31"/>
    <n v="163.63999999999999"/>
  </r>
  <r>
    <s v="2025-01-28"/>
    <x v="0"/>
    <x v="0"/>
    <x v="169"/>
    <n v="80.319999999999993"/>
    <n v="4"/>
    <n v="412.43"/>
    <x v="77"/>
    <x v="0"/>
    <x v="2"/>
    <x v="0"/>
    <n v="332.11"/>
    <n v="119.03"/>
  </r>
  <r>
    <s v="2024-11-28"/>
    <x v="4"/>
    <x v="3"/>
    <x v="640"/>
    <n v="62.1"/>
    <n v="9"/>
    <n v="198.32"/>
    <x v="297"/>
    <x v="0"/>
    <x v="3"/>
    <x v="0"/>
    <n v="136.22"/>
    <n v="155.77000000000001"/>
  </r>
  <r>
    <s v="2024-12-14"/>
    <x v="3"/>
    <x v="3"/>
    <x v="450"/>
    <n v="139.21"/>
    <n v="7"/>
    <n v="56.08"/>
    <x v="41"/>
    <x v="2"/>
    <x v="2"/>
    <x v="0"/>
    <n v="-83.13000000000001"/>
    <n v="122.16"/>
  </r>
  <r>
    <s v="2025-04-08"/>
    <x v="2"/>
    <x v="2"/>
    <x v="599"/>
    <n v="96.6"/>
    <n v="1"/>
    <n v="167.32"/>
    <x v="240"/>
    <x v="1"/>
    <x v="3"/>
    <x v="0"/>
    <n v="70.72"/>
    <n v="155.02000000000001"/>
  </r>
  <r>
    <s v="2025-02-06"/>
    <x v="5"/>
    <x v="0"/>
    <x v="301"/>
    <n v="119.1"/>
    <n v="5"/>
    <n v="440.13"/>
    <x v="20"/>
    <x v="2"/>
    <x v="2"/>
    <x v="0"/>
    <n v="321.02999999999997"/>
    <n v="172.6"/>
  </r>
  <r>
    <s v="2025-04-21"/>
    <x v="2"/>
    <x v="2"/>
    <x v="458"/>
    <n v="16.91"/>
    <n v="1"/>
    <n v="371.71"/>
    <x v="142"/>
    <x v="1"/>
    <x v="0"/>
    <x v="0"/>
    <n v="354.79999999999995"/>
    <n v="98.91"/>
  </r>
  <r>
    <s v="2024-11-05"/>
    <x v="4"/>
    <x v="0"/>
    <x v="420"/>
    <n v="40.479999999999997"/>
    <n v="9"/>
    <n v="99.97"/>
    <x v="76"/>
    <x v="1"/>
    <x v="2"/>
    <x v="0"/>
    <n v="59.49"/>
    <n v="134.57"/>
  </r>
  <r>
    <s v="2025-03-17"/>
    <x v="1"/>
    <x v="2"/>
    <x v="52"/>
    <n v="39.25"/>
    <n v="1"/>
    <n v="37.78"/>
    <x v="222"/>
    <x v="1"/>
    <x v="0"/>
    <x v="0"/>
    <n v="-1.4699999999999989"/>
    <n v="114.56"/>
  </r>
  <r>
    <s v="2025-01-06"/>
    <x v="0"/>
    <x v="3"/>
    <x v="716"/>
    <n v="43.42"/>
    <n v="1"/>
    <n v="69.180000000000007"/>
    <x v="124"/>
    <x v="1"/>
    <x v="2"/>
    <x v="0"/>
    <n v="25.760000000000005"/>
    <n v="115.62"/>
  </r>
  <r>
    <s v="2024-11-06"/>
    <x v="4"/>
    <x v="3"/>
    <x v="392"/>
    <n v="103.11"/>
    <n v="2"/>
    <n v="172.16"/>
    <x v="74"/>
    <x v="1"/>
    <x v="5"/>
    <x v="0"/>
    <n v="69.05"/>
    <n v="130.68"/>
  </r>
  <r>
    <s v="2024-11-30"/>
    <x v="4"/>
    <x v="2"/>
    <x v="717"/>
    <n v="66.27"/>
    <n v="6"/>
    <n v="349.66"/>
    <x v="3"/>
    <x v="1"/>
    <x v="1"/>
    <x v="0"/>
    <n v="283.39000000000004"/>
    <n v="135.18"/>
  </r>
  <r>
    <s v="2025-02-08"/>
    <x v="5"/>
    <x v="0"/>
    <x v="543"/>
    <n v="95.79"/>
    <n v="1"/>
    <n v="375.57"/>
    <x v="132"/>
    <x v="2"/>
    <x v="0"/>
    <x v="0"/>
    <n v="279.77999999999997"/>
    <n v="143.74"/>
  </r>
  <r>
    <s v="2024-12-28"/>
    <x v="3"/>
    <x v="2"/>
    <x v="188"/>
    <n v="92.66"/>
    <n v="3"/>
    <n v="279.12"/>
    <x v="180"/>
    <x v="0"/>
    <x v="0"/>
    <x v="0"/>
    <n v="186.46"/>
    <n v="94.79"/>
  </r>
  <r>
    <s v="2025-03-18"/>
    <x v="1"/>
    <x v="0"/>
    <x v="613"/>
    <n v="96.14"/>
    <n v="8"/>
    <n v="248.21"/>
    <x v="381"/>
    <x v="2"/>
    <x v="1"/>
    <x v="0"/>
    <n v="152.07"/>
    <n v="143.53"/>
  </r>
  <r>
    <s v="2025-01-17"/>
    <x v="0"/>
    <x v="2"/>
    <x v="718"/>
    <n v="77.02"/>
    <n v="1"/>
    <n v="175.44"/>
    <x v="80"/>
    <x v="2"/>
    <x v="4"/>
    <x v="0"/>
    <n v="98.42"/>
    <n v="142.46"/>
  </r>
  <r>
    <s v="2025-04-26"/>
    <x v="2"/>
    <x v="0"/>
    <x v="719"/>
    <n v="30.04"/>
    <n v="6"/>
    <n v="373.05"/>
    <x v="41"/>
    <x v="1"/>
    <x v="1"/>
    <x v="0"/>
    <n v="343.01"/>
    <n v="116.28"/>
  </r>
  <r>
    <s v="2025-03-22"/>
    <x v="1"/>
    <x v="3"/>
    <x v="585"/>
    <n v="42.59"/>
    <n v="3"/>
    <n v="417.62"/>
    <x v="49"/>
    <x v="1"/>
    <x v="0"/>
    <x v="0"/>
    <n v="375.03"/>
    <n v="120.75"/>
  </r>
  <r>
    <s v="2025-02-27"/>
    <x v="5"/>
    <x v="0"/>
    <x v="109"/>
    <n v="133.9"/>
    <n v="2"/>
    <n v="426.85"/>
    <x v="60"/>
    <x v="1"/>
    <x v="2"/>
    <x v="0"/>
    <n v="292.95000000000005"/>
    <n v="125.47"/>
  </r>
  <r>
    <s v="2025-02-10"/>
    <x v="5"/>
    <x v="1"/>
    <x v="59"/>
    <n v="133.56"/>
    <n v="9"/>
    <n v="487.89"/>
    <x v="16"/>
    <x v="0"/>
    <x v="1"/>
    <x v="0"/>
    <n v="354.33"/>
    <n v="153.11000000000001"/>
  </r>
  <r>
    <s v="2024-12-11"/>
    <x v="3"/>
    <x v="2"/>
    <x v="106"/>
    <n v="93.56"/>
    <n v="4"/>
    <n v="250.96"/>
    <x v="10"/>
    <x v="0"/>
    <x v="5"/>
    <x v="0"/>
    <n v="157.4"/>
    <n v="137.97999999999999"/>
  </r>
  <r>
    <s v="2025-03-20"/>
    <x v="1"/>
    <x v="1"/>
    <x v="468"/>
    <n v="41.02"/>
    <n v="10"/>
    <n v="105.96"/>
    <x v="36"/>
    <x v="2"/>
    <x v="1"/>
    <x v="0"/>
    <n v="64.94"/>
    <n v="141.43"/>
  </r>
  <r>
    <s v="2025-03-16"/>
    <x v="1"/>
    <x v="0"/>
    <x v="106"/>
    <n v="93.91"/>
    <n v="1"/>
    <n v="90.74"/>
    <x v="41"/>
    <x v="1"/>
    <x v="5"/>
    <x v="0"/>
    <n v="-3.1700000000000017"/>
    <n v="124.33"/>
  </r>
  <r>
    <s v="2025-02-14"/>
    <x v="5"/>
    <x v="1"/>
    <x v="720"/>
    <n v="127.84"/>
    <n v="10"/>
    <n v="150.84"/>
    <x v="268"/>
    <x v="2"/>
    <x v="5"/>
    <x v="0"/>
    <n v="23"/>
    <n v="108.51"/>
  </r>
  <r>
    <s v="2024-12-10"/>
    <x v="3"/>
    <x v="0"/>
    <x v="28"/>
    <n v="64.959999999999994"/>
    <n v="0"/>
    <n v="46.44"/>
    <x v="167"/>
    <x v="2"/>
    <x v="5"/>
    <x v="1"/>
    <n v="-18.519999999999996"/>
    <n v="124.69"/>
  </r>
  <r>
    <s v="2024-11-24"/>
    <x v="4"/>
    <x v="1"/>
    <x v="721"/>
    <n v="117.01"/>
    <n v="8"/>
    <n v="267.08999999999997"/>
    <x v="359"/>
    <x v="2"/>
    <x v="4"/>
    <x v="0"/>
    <n v="150.07999999999998"/>
    <n v="148.47999999999999"/>
  </r>
  <r>
    <s v="2024-12-17"/>
    <x v="3"/>
    <x v="0"/>
    <x v="698"/>
    <n v="48.54"/>
    <n v="8"/>
    <n v="268.19"/>
    <x v="245"/>
    <x v="0"/>
    <x v="2"/>
    <x v="0"/>
    <n v="219.65"/>
    <n v="115.15"/>
  </r>
  <r>
    <s v="2025-01-16"/>
    <x v="0"/>
    <x v="0"/>
    <x v="68"/>
    <n v="14.77"/>
    <n v="6"/>
    <n v="364.81"/>
    <x v="342"/>
    <x v="1"/>
    <x v="1"/>
    <x v="0"/>
    <n v="350.04"/>
    <n v="137.84"/>
  </r>
  <r>
    <s v="2025-01-29"/>
    <x v="0"/>
    <x v="2"/>
    <x v="561"/>
    <n v="80.989999999999995"/>
    <n v="2"/>
    <n v="410.86"/>
    <x v="274"/>
    <x v="2"/>
    <x v="5"/>
    <x v="0"/>
    <n v="329.87"/>
    <n v="99.84"/>
  </r>
  <r>
    <s v="2025-01-07"/>
    <x v="0"/>
    <x v="0"/>
    <x v="255"/>
    <n v="95.95"/>
    <n v="7"/>
    <n v="178.41"/>
    <x v="34"/>
    <x v="0"/>
    <x v="4"/>
    <x v="0"/>
    <n v="82.46"/>
    <n v="145.87"/>
  </r>
  <r>
    <s v="2025-04-25"/>
    <x v="2"/>
    <x v="2"/>
    <x v="647"/>
    <n v="29.27"/>
    <n v="10"/>
    <n v="339.28"/>
    <x v="24"/>
    <x v="0"/>
    <x v="3"/>
    <x v="0"/>
    <n v="310.01"/>
    <n v="117.72"/>
  </r>
  <r>
    <s v="2025-03-29"/>
    <x v="1"/>
    <x v="2"/>
    <x v="170"/>
    <n v="39.76"/>
    <n v="7"/>
    <n v="404.35"/>
    <x v="63"/>
    <x v="2"/>
    <x v="1"/>
    <x v="0"/>
    <n v="364.59000000000003"/>
    <n v="128.13999999999999"/>
  </r>
  <r>
    <s v="2025-01-08"/>
    <x v="0"/>
    <x v="0"/>
    <x v="298"/>
    <n v="136.24"/>
    <n v="1"/>
    <n v="159.1"/>
    <x v="382"/>
    <x v="2"/>
    <x v="5"/>
    <x v="0"/>
    <n v="22.859999999999985"/>
    <n v="98.81"/>
  </r>
  <r>
    <s v="2024-11-01"/>
    <x v="4"/>
    <x v="2"/>
    <x v="722"/>
    <n v="18.489999999999998"/>
    <n v="2"/>
    <n v="225.46"/>
    <x v="45"/>
    <x v="2"/>
    <x v="4"/>
    <x v="0"/>
    <n v="206.97"/>
    <n v="103.98"/>
  </r>
  <r>
    <s v="2024-11-02"/>
    <x v="4"/>
    <x v="3"/>
    <x v="723"/>
    <n v="34.67"/>
    <n v="8"/>
    <n v="84.63"/>
    <x v="22"/>
    <x v="0"/>
    <x v="2"/>
    <x v="0"/>
    <n v="49.959999999999994"/>
    <n v="92.91"/>
  </r>
  <r>
    <s v="2025-01-23"/>
    <x v="0"/>
    <x v="1"/>
    <x v="188"/>
    <n v="93.85"/>
    <n v="3"/>
    <n v="403.78"/>
    <x v="85"/>
    <x v="2"/>
    <x v="4"/>
    <x v="0"/>
    <n v="309.92999999999995"/>
    <n v="121.31"/>
  </r>
  <r>
    <s v="2024-12-31"/>
    <x v="3"/>
    <x v="3"/>
    <x v="222"/>
    <n v="133.78"/>
    <n v="3"/>
    <n v="209.13"/>
    <x v="119"/>
    <x v="1"/>
    <x v="2"/>
    <x v="0"/>
    <n v="75.349999999999994"/>
    <n v="134.75"/>
  </r>
  <r>
    <s v="2025-04-04"/>
    <x v="2"/>
    <x v="2"/>
    <x v="555"/>
    <n v="46.53"/>
    <n v="7"/>
    <n v="166.85"/>
    <x v="277"/>
    <x v="1"/>
    <x v="2"/>
    <x v="0"/>
    <n v="120.32"/>
    <n v="104.59"/>
  </r>
  <r>
    <s v="2024-11-05"/>
    <x v="4"/>
    <x v="2"/>
    <x v="87"/>
    <n v="140.56"/>
    <n v="3"/>
    <n v="198.22"/>
    <x v="139"/>
    <x v="1"/>
    <x v="1"/>
    <x v="0"/>
    <n v="57.66"/>
    <n v="148.1"/>
  </r>
  <r>
    <s v="2025-02-16"/>
    <x v="5"/>
    <x v="1"/>
    <x v="508"/>
    <n v="51.98"/>
    <n v="4"/>
    <n v="419.05"/>
    <x v="383"/>
    <x v="2"/>
    <x v="3"/>
    <x v="0"/>
    <n v="367.07"/>
    <n v="172.06"/>
  </r>
  <r>
    <s v="2025-03-01"/>
    <x v="1"/>
    <x v="2"/>
    <x v="400"/>
    <n v="123.27"/>
    <n v="4"/>
    <n v="223.29"/>
    <x v="112"/>
    <x v="1"/>
    <x v="0"/>
    <x v="0"/>
    <n v="100.02"/>
    <n v="149.05000000000001"/>
  </r>
  <r>
    <s v="2025-04-29"/>
    <x v="2"/>
    <x v="2"/>
    <x v="157"/>
    <n v="91.86"/>
    <n v="5"/>
    <n v="356.01"/>
    <x v="381"/>
    <x v="1"/>
    <x v="0"/>
    <x v="0"/>
    <n v="264.14999999999998"/>
    <n v="153.13"/>
  </r>
  <r>
    <s v="2024-12-18"/>
    <x v="3"/>
    <x v="1"/>
    <x v="724"/>
    <n v="145.44999999999999"/>
    <n v="10"/>
    <n v="170.29"/>
    <x v="6"/>
    <x v="2"/>
    <x v="2"/>
    <x v="0"/>
    <n v="24.840000000000003"/>
    <n v="115.16"/>
  </r>
  <r>
    <s v="2025-03-28"/>
    <x v="1"/>
    <x v="0"/>
    <x v="701"/>
    <n v="44.49"/>
    <n v="4"/>
    <n v="169.48"/>
    <x v="3"/>
    <x v="1"/>
    <x v="1"/>
    <x v="0"/>
    <n v="124.98999999999998"/>
    <n v="141.58000000000001"/>
  </r>
  <r>
    <s v="2025-02-07"/>
    <x v="5"/>
    <x v="0"/>
    <x v="152"/>
    <n v="26.11"/>
    <n v="6"/>
    <n v="172.68"/>
    <x v="329"/>
    <x v="0"/>
    <x v="1"/>
    <x v="0"/>
    <n v="146.57"/>
    <n v="74.78"/>
  </r>
  <r>
    <s v="2025-03-28"/>
    <x v="1"/>
    <x v="3"/>
    <x v="498"/>
    <n v="47.54"/>
    <n v="9"/>
    <n v="130.19999999999999"/>
    <x v="384"/>
    <x v="0"/>
    <x v="2"/>
    <x v="0"/>
    <n v="82.66"/>
    <n v="70.180000000000007"/>
  </r>
  <r>
    <s v="2025-04-20"/>
    <x v="2"/>
    <x v="3"/>
    <x v="725"/>
    <n v="120.95"/>
    <n v="3"/>
    <n v="41.78"/>
    <x v="134"/>
    <x v="1"/>
    <x v="0"/>
    <x v="0"/>
    <n v="-79.17"/>
    <n v="119.01"/>
  </r>
  <r>
    <s v="2025-04-11"/>
    <x v="2"/>
    <x v="2"/>
    <x v="714"/>
    <n v="119.99"/>
    <n v="4"/>
    <n v="153.72"/>
    <x v="102"/>
    <x v="1"/>
    <x v="1"/>
    <x v="0"/>
    <n v="33.730000000000004"/>
    <n v="134.84"/>
  </r>
  <r>
    <s v="2024-11-12"/>
    <x v="4"/>
    <x v="3"/>
    <x v="567"/>
    <n v="31.46"/>
    <n v="0"/>
    <n v="202.36"/>
    <x v="385"/>
    <x v="1"/>
    <x v="0"/>
    <x v="1"/>
    <n v="170.9"/>
    <n v="106.12"/>
  </r>
  <r>
    <s v="2024-11-15"/>
    <x v="4"/>
    <x v="2"/>
    <x v="726"/>
    <n v="143.74"/>
    <n v="7"/>
    <n v="183.8"/>
    <x v="160"/>
    <x v="2"/>
    <x v="1"/>
    <x v="0"/>
    <n v="40.06"/>
    <n v="119.51"/>
  </r>
  <r>
    <s v="2025-02-23"/>
    <x v="5"/>
    <x v="2"/>
    <x v="727"/>
    <n v="143.46"/>
    <n v="0"/>
    <n v="164.9"/>
    <x v="386"/>
    <x v="0"/>
    <x v="0"/>
    <x v="1"/>
    <n v="21.439999999999998"/>
    <n v="90.16"/>
  </r>
  <r>
    <s v="2025-04-01"/>
    <x v="2"/>
    <x v="3"/>
    <x v="620"/>
    <n v="119.06"/>
    <n v="8"/>
    <n v="80.89"/>
    <x v="239"/>
    <x v="0"/>
    <x v="2"/>
    <x v="0"/>
    <n v="-38.17"/>
    <n v="99.12"/>
  </r>
  <r>
    <s v="2025-04-16"/>
    <x v="2"/>
    <x v="3"/>
    <x v="65"/>
    <n v="103.59"/>
    <n v="6"/>
    <n v="86.45"/>
    <x v="41"/>
    <x v="0"/>
    <x v="3"/>
    <x v="0"/>
    <n v="-17.14"/>
    <n v="115.42"/>
  </r>
  <r>
    <s v="2024-12-11"/>
    <x v="3"/>
    <x v="1"/>
    <x v="215"/>
    <n v="56.49"/>
    <n v="0"/>
    <n v="46"/>
    <x v="345"/>
    <x v="1"/>
    <x v="5"/>
    <x v="1"/>
    <n v="-10.490000000000002"/>
    <n v="95.58"/>
  </r>
  <r>
    <s v="2025-03-09"/>
    <x v="1"/>
    <x v="2"/>
    <x v="301"/>
    <n v="38.86"/>
    <n v="2"/>
    <n v="312.88"/>
    <x v="288"/>
    <x v="2"/>
    <x v="2"/>
    <x v="0"/>
    <n v="274.02"/>
    <n v="72.5"/>
  </r>
  <r>
    <s v="2025-01-27"/>
    <x v="0"/>
    <x v="1"/>
    <x v="139"/>
    <n v="58.66"/>
    <n v="7"/>
    <n v="464.11"/>
    <x v="150"/>
    <x v="2"/>
    <x v="2"/>
    <x v="0"/>
    <n v="405.45000000000005"/>
    <n v="140.34"/>
  </r>
  <r>
    <s v="2025-02-19"/>
    <x v="5"/>
    <x v="1"/>
    <x v="114"/>
    <n v="34.950000000000003"/>
    <n v="10"/>
    <n v="119.26"/>
    <x v="142"/>
    <x v="0"/>
    <x v="1"/>
    <x v="0"/>
    <n v="84.31"/>
    <n v="100.88"/>
  </r>
  <r>
    <s v="2024-11-21"/>
    <x v="4"/>
    <x v="3"/>
    <x v="36"/>
    <n v="10.17"/>
    <n v="10"/>
    <n v="152.41"/>
    <x v="16"/>
    <x v="0"/>
    <x v="4"/>
    <x v="0"/>
    <n v="142.24"/>
    <n v="149.87"/>
  </r>
  <r>
    <s v="2025-04-06"/>
    <x v="2"/>
    <x v="3"/>
    <x v="372"/>
    <n v="48.13"/>
    <n v="6"/>
    <n v="153.69"/>
    <x v="387"/>
    <x v="2"/>
    <x v="2"/>
    <x v="0"/>
    <n v="105.56"/>
    <n v="84.31"/>
  </r>
  <r>
    <s v="2025-02-15"/>
    <x v="5"/>
    <x v="1"/>
    <x v="49"/>
    <n v="32.01"/>
    <n v="5"/>
    <n v="292.5"/>
    <x v="231"/>
    <x v="2"/>
    <x v="1"/>
    <x v="0"/>
    <n v="260.49"/>
    <n v="140.43"/>
  </r>
  <r>
    <s v="2024-11-19"/>
    <x v="4"/>
    <x v="3"/>
    <x v="649"/>
    <n v="32.22"/>
    <n v="1"/>
    <n v="308.17"/>
    <x v="52"/>
    <x v="2"/>
    <x v="4"/>
    <x v="0"/>
    <n v="275.95000000000005"/>
    <n v="114.1"/>
  </r>
  <r>
    <s v="2025-04-14"/>
    <x v="2"/>
    <x v="1"/>
    <x v="134"/>
    <n v="147.63999999999999"/>
    <n v="4"/>
    <n v="71.06"/>
    <x v="159"/>
    <x v="1"/>
    <x v="5"/>
    <x v="0"/>
    <n v="-76.579999999999984"/>
    <n v="118.21"/>
  </r>
  <r>
    <s v="2024-12-27"/>
    <x v="3"/>
    <x v="1"/>
    <x v="296"/>
    <n v="81.48"/>
    <n v="1"/>
    <n v="136.75"/>
    <x v="102"/>
    <x v="1"/>
    <x v="2"/>
    <x v="0"/>
    <n v="55.269999999999996"/>
    <n v="127.41"/>
  </r>
  <r>
    <s v="2024-12-30"/>
    <x v="3"/>
    <x v="3"/>
    <x v="68"/>
    <n v="108.99"/>
    <n v="9"/>
    <n v="265.05"/>
    <x v="256"/>
    <x v="0"/>
    <x v="3"/>
    <x v="0"/>
    <n v="156.06"/>
    <n v="86.8"/>
  </r>
  <r>
    <s v="2025-03-15"/>
    <x v="1"/>
    <x v="2"/>
    <x v="506"/>
    <n v="74.03"/>
    <n v="8"/>
    <n v="166.83"/>
    <x v="60"/>
    <x v="1"/>
    <x v="4"/>
    <x v="0"/>
    <n v="92.800000000000011"/>
    <n v="120.24"/>
  </r>
  <r>
    <s v="2025-04-11"/>
    <x v="2"/>
    <x v="2"/>
    <x v="594"/>
    <n v="33.11"/>
    <n v="0"/>
    <n v="429.15"/>
    <x v="388"/>
    <x v="0"/>
    <x v="5"/>
    <x v="1"/>
    <n v="396.03999999999996"/>
    <n v="197.3"/>
  </r>
  <r>
    <s v="2025-03-31"/>
    <x v="1"/>
    <x v="1"/>
    <x v="580"/>
    <n v="140.4"/>
    <n v="9"/>
    <n v="69.86"/>
    <x v="338"/>
    <x v="2"/>
    <x v="3"/>
    <x v="0"/>
    <n v="-70.540000000000006"/>
    <n v="124.95"/>
  </r>
  <r>
    <s v="2025-02-07"/>
    <x v="5"/>
    <x v="3"/>
    <x v="717"/>
    <n v="31.57"/>
    <n v="4"/>
    <n v="191.03"/>
    <x v="16"/>
    <x v="0"/>
    <x v="5"/>
    <x v="0"/>
    <n v="159.46"/>
    <n v="149.57"/>
  </r>
  <r>
    <s v="2024-11-21"/>
    <x v="4"/>
    <x v="2"/>
    <x v="606"/>
    <n v="112.96"/>
    <n v="8"/>
    <n v="428.45"/>
    <x v="139"/>
    <x v="2"/>
    <x v="2"/>
    <x v="0"/>
    <n v="315.49"/>
    <n v="139.44"/>
  </r>
  <r>
    <s v="2025-01-09"/>
    <x v="0"/>
    <x v="3"/>
    <x v="482"/>
    <n v="8.77"/>
    <n v="7"/>
    <n v="290.2"/>
    <x v="16"/>
    <x v="0"/>
    <x v="2"/>
    <x v="0"/>
    <n v="281.43"/>
    <n v="150.57"/>
  </r>
  <r>
    <s v="2025-03-24"/>
    <x v="1"/>
    <x v="0"/>
    <x v="268"/>
    <n v="137.59"/>
    <n v="5"/>
    <n v="26.61"/>
    <x v="365"/>
    <x v="1"/>
    <x v="4"/>
    <x v="0"/>
    <n v="-110.98"/>
    <n v="84.46"/>
  </r>
  <r>
    <s v="2024-11-03"/>
    <x v="4"/>
    <x v="2"/>
    <x v="367"/>
    <n v="43.22"/>
    <n v="8"/>
    <n v="472.22"/>
    <x v="389"/>
    <x v="1"/>
    <x v="2"/>
    <x v="0"/>
    <n v="429"/>
    <n v="154.9"/>
  </r>
  <r>
    <s v="2025-02-27"/>
    <x v="5"/>
    <x v="2"/>
    <x v="346"/>
    <n v="50.4"/>
    <n v="0"/>
    <n v="389.56"/>
    <x v="109"/>
    <x v="2"/>
    <x v="0"/>
    <x v="1"/>
    <n v="339.16"/>
    <n v="105.33"/>
  </r>
  <r>
    <s v="2025-01-22"/>
    <x v="0"/>
    <x v="3"/>
    <x v="326"/>
    <n v="6.72"/>
    <n v="1"/>
    <n v="334.78"/>
    <x v="146"/>
    <x v="0"/>
    <x v="5"/>
    <x v="0"/>
    <n v="328.05999999999995"/>
    <n v="150.22999999999999"/>
  </r>
  <r>
    <s v="2025-01-28"/>
    <x v="0"/>
    <x v="3"/>
    <x v="728"/>
    <n v="5.69"/>
    <n v="6"/>
    <n v="143"/>
    <x v="390"/>
    <x v="1"/>
    <x v="2"/>
    <x v="0"/>
    <n v="137.31"/>
    <n v="83.98"/>
  </r>
  <r>
    <s v="2025-04-21"/>
    <x v="2"/>
    <x v="3"/>
    <x v="629"/>
    <n v="43.15"/>
    <n v="5"/>
    <n v="96.08"/>
    <x v="232"/>
    <x v="2"/>
    <x v="4"/>
    <x v="0"/>
    <n v="52.93"/>
    <n v="126.96"/>
  </r>
  <r>
    <s v="2025-03-30"/>
    <x v="1"/>
    <x v="2"/>
    <x v="727"/>
    <n v="6.33"/>
    <n v="8"/>
    <n v="440.54"/>
    <x v="284"/>
    <x v="1"/>
    <x v="4"/>
    <x v="0"/>
    <n v="434.21000000000004"/>
    <n v="165.86"/>
  </r>
  <r>
    <s v="2025-04-14"/>
    <x v="2"/>
    <x v="3"/>
    <x v="729"/>
    <n v="52.53"/>
    <n v="1"/>
    <n v="479.88"/>
    <x v="74"/>
    <x v="1"/>
    <x v="4"/>
    <x v="0"/>
    <n v="427.35"/>
    <n v="137.02000000000001"/>
  </r>
  <r>
    <s v="2025-01-18"/>
    <x v="0"/>
    <x v="2"/>
    <x v="671"/>
    <n v="147.53"/>
    <n v="2"/>
    <n v="270.68"/>
    <x v="226"/>
    <x v="1"/>
    <x v="5"/>
    <x v="0"/>
    <n v="123.15"/>
    <n v="111.98"/>
  </r>
  <r>
    <s v="2025-03-04"/>
    <x v="1"/>
    <x v="1"/>
    <x v="730"/>
    <n v="48.44"/>
    <n v="5"/>
    <n v="464.71"/>
    <x v="2"/>
    <x v="1"/>
    <x v="2"/>
    <x v="0"/>
    <n v="416.27"/>
    <n v="145.84"/>
  </r>
  <r>
    <s v="2024-12-16"/>
    <x v="3"/>
    <x v="1"/>
    <x v="731"/>
    <n v="73.48"/>
    <n v="9"/>
    <n v="127.78"/>
    <x v="24"/>
    <x v="1"/>
    <x v="1"/>
    <x v="0"/>
    <n v="54.3"/>
    <n v="123.53"/>
  </r>
  <r>
    <s v="2024-10-31"/>
    <x v="6"/>
    <x v="0"/>
    <x v="168"/>
    <n v="51.3"/>
    <n v="9"/>
    <n v="292.87"/>
    <x v="7"/>
    <x v="1"/>
    <x v="4"/>
    <x v="0"/>
    <n v="241.57"/>
    <n v="130.77000000000001"/>
  </r>
  <r>
    <s v="2025-03-11"/>
    <x v="1"/>
    <x v="2"/>
    <x v="629"/>
    <n v="79.040000000000006"/>
    <n v="4"/>
    <n v="145.15"/>
    <x v="62"/>
    <x v="0"/>
    <x v="4"/>
    <x v="0"/>
    <n v="66.11"/>
    <n v="130.65"/>
  </r>
  <r>
    <s v="2025-03-01"/>
    <x v="1"/>
    <x v="1"/>
    <x v="498"/>
    <n v="137.59"/>
    <n v="0"/>
    <n v="62.34"/>
    <x v="391"/>
    <x v="1"/>
    <x v="1"/>
    <x v="1"/>
    <n v="-75.25"/>
    <n v="47.01"/>
  </r>
  <r>
    <s v="2024-10-30"/>
    <x v="6"/>
    <x v="1"/>
    <x v="641"/>
    <n v="120.07"/>
    <n v="3"/>
    <n v="325.57"/>
    <x v="315"/>
    <x v="2"/>
    <x v="1"/>
    <x v="0"/>
    <n v="205.5"/>
    <n v="161.07"/>
  </r>
  <r>
    <s v="2025-02-13"/>
    <x v="5"/>
    <x v="1"/>
    <x v="517"/>
    <n v="104.2"/>
    <n v="6"/>
    <n v="277.54000000000002"/>
    <x v="263"/>
    <x v="2"/>
    <x v="5"/>
    <x v="0"/>
    <n v="173.34000000000003"/>
    <n v="131.18"/>
  </r>
  <r>
    <s v="2025-04-20"/>
    <x v="2"/>
    <x v="3"/>
    <x v="728"/>
    <n v="82.94"/>
    <n v="3"/>
    <n v="67"/>
    <x v="142"/>
    <x v="0"/>
    <x v="1"/>
    <x v="0"/>
    <n v="-15.939999999999998"/>
    <n v="98.73"/>
  </r>
  <r>
    <s v="2025-04-11"/>
    <x v="2"/>
    <x v="3"/>
    <x v="732"/>
    <n v="123.04"/>
    <n v="6"/>
    <n v="317.99"/>
    <x v="297"/>
    <x v="2"/>
    <x v="0"/>
    <x v="0"/>
    <n v="194.95"/>
    <n v="147.78"/>
  </r>
  <r>
    <s v="2024-12-20"/>
    <x v="3"/>
    <x v="3"/>
    <x v="733"/>
    <n v="29.14"/>
    <n v="3"/>
    <n v="34.49"/>
    <x v="3"/>
    <x v="1"/>
    <x v="1"/>
    <x v="0"/>
    <n v="5.3500000000000014"/>
    <n v="142.09"/>
  </r>
  <r>
    <s v="2024-12-02"/>
    <x v="3"/>
    <x v="0"/>
    <x v="252"/>
    <n v="104.1"/>
    <n v="9"/>
    <n v="387.62"/>
    <x v="72"/>
    <x v="2"/>
    <x v="3"/>
    <x v="0"/>
    <n v="283.52"/>
    <n v="123.73"/>
  </r>
  <r>
    <s v="2025-02-10"/>
    <x v="5"/>
    <x v="3"/>
    <x v="422"/>
    <n v="53.06"/>
    <n v="3"/>
    <n v="438.23"/>
    <x v="36"/>
    <x v="0"/>
    <x v="3"/>
    <x v="0"/>
    <n v="385.17"/>
    <n v="144.63"/>
  </r>
  <r>
    <s v="2025-04-03"/>
    <x v="2"/>
    <x v="0"/>
    <x v="98"/>
    <n v="120.79"/>
    <n v="8"/>
    <n v="187.93"/>
    <x v="392"/>
    <x v="1"/>
    <x v="5"/>
    <x v="0"/>
    <n v="67.14"/>
    <n v="114.43"/>
  </r>
  <r>
    <s v="2025-04-13"/>
    <x v="2"/>
    <x v="0"/>
    <x v="113"/>
    <n v="94.04"/>
    <n v="2"/>
    <n v="381.31"/>
    <x v="0"/>
    <x v="1"/>
    <x v="3"/>
    <x v="0"/>
    <n v="287.27"/>
    <n v="115"/>
  </r>
  <r>
    <s v="2025-04-18"/>
    <x v="2"/>
    <x v="1"/>
    <x v="434"/>
    <n v="25.12"/>
    <n v="6"/>
    <n v="256.13"/>
    <x v="74"/>
    <x v="1"/>
    <x v="1"/>
    <x v="0"/>
    <n v="231.01"/>
    <n v="137.52000000000001"/>
  </r>
  <r>
    <s v="2025-01-31"/>
    <x v="0"/>
    <x v="3"/>
    <x v="704"/>
    <n v="83.64"/>
    <n v="4"/>
    <n v="307.73"/>
    <x v="21"/>
    <x v="1"/>
    <x v="1"/>
    <x v="0"/>
    <n v="224.09000000000003"/>
    <n v="130.66"/>
  </r>
  <r>
    <s v="2024-12-19"/>
    <x v="3"/>
    <x v="2"/>
    <x v="259"/>
    <n v="127.6"/>
    <n v="9"/>
    <n v="29.99"/>
    <x v="27"/>
    <x v="2"/>
    <x v="1"/>
    <x v="0"/>
    <n v="-97.61"/>
    <n v="111.07"/>
  </r>
  <r>
    <s v="2024-11-29"/>
    <x v="4"/>
    <x v="3"/>
    <x v="734"/>
    <n v="27.2"/>
    <n v="7"/>
    <n v="168.69"/>
    <x v="393"/>
    <x v="1"/>
    <x v="2"/>
    <x v="0"/>
    <n v="141.49"/>
    <n v="125.3"/>
  </r>
  <r>
    <s v="2024-12-16"/>
    <x v="3"/>
    <x v="3"/>
    <x v="513"/>
    <n v="46.38"/>
    <n v="1"/>
    <n v="255.08"/>
    <x v="2"/>
    <x v="2"/>
    <x v="4"/>
    <x v="0"/>
    <n v="208.70000000000002"/>
    <n v="145.41"/>
  </r>
  <r>
    <s v="2025-04-20"/>
    <x v="2"/>
    <x v="3"/>
    <x v="239"/>
    <n v="65.03"/>
    <n v="9"/>
    <n v="89.95"/>
    <x v="41"/>
    <x v="0"/>
    <x v="4"/>
    <x v="0"/>
    <n v="24.92"/>
    <n v="126.39"/>
  </r>
  <r>
    <s v="2024-12-18"/>
    <x v="3"/>
    <x v="3"/>
    <x v="735"/>
    <n v="23.94"/>
    <n v="0"/>
    <n v="35.36"/>
    <x v="27"/>
    <x v="1"/>
    <x v="2"/>
    <x v="1"/>
    <n v="11.419999999999998"/>
    <n v="108.81"/>
  </r>
  <r>
    <s v="2025-03-04"/>
    <x v="1"/>
    <x v="0"/>
    <x v="103"/>
    <n v="145.43"/>
    <n v="10"/>
    <n v="247.5"/>
    <x v="394"/>
    <x v="0"/>
    <x v="5"/>
    <x v="0"/>
    <n v="102.07"/>
    <n v="126.85"/>
  </r>
  <r>
    <s v="2024-12-23"/>
    <x v="3"/>
    <x v="0"/>
    <x v="60"/>
    <n v="85.61"/>
    <n v="8"/>
    <n v="308.58"/>
    <x v="42"/>
    <x v="1"/>
    <x v="2"/>
    <x v="0"/>
    <n v="222.96999999999997"/>
    <n v="139.79"/>
  </r>
  <r>
    <s v="2025-01-22"/>
    <x v="0"/>
    <x v="3"/>
    <x v="309"/>
    <n v="47.12"/>
    <n v="1"/>
    <n v="166.93"/>
    <x v="110"/>
    <x v="1"/>
    <x v="1"/>
    <x v="0"/>
    <n v="119.81"/>
    <n v="87.31"/>
  </r>
  <r>
    <s v="2024-11-11"/>
    <x v="4"/>
    <x v="1"/>
    <x v="525"/>
    <n v="28.39"/>
    <n v="9"/>
    <n v="366.95"/>
    <x v="36"/>
    <x v="1"/>
    <x v="1"/>
    <x v="0"/>
    <n v="338.56"/>
    <n v="141.58000000000001"/>
  </r>
  <r>
    <s v="2025-03-13"/>
    <x v="1"/>
    <x v="3"/>
    <x v="199"/>
    <n v="21.84"/>
    <n v="8"/>
    <n v="368.89"/>
    <x v="226"/>
    <x v="2"/>
    <x v="5"/>
    <x v="0"/>
    <n v="347.05"/>
    <n v="117.15"/>
  </r>
  <r>
    <s v="2025-01-02"/>
    <x v="0"/>
    <x v="2"/>
    <x v="529"/>
    <n v="126.47"/>
    <n v="2"/>
    <n v="292.58999999999997"/>
    <x v="245"/>
    <x v="2"/>
    <x v="1"/>
    <x v="0"/>
    <n v="166.11999999999998"/>
    <n v="121.76"/>
  </r>
  <r>
    <s v="2025-04-21"/>
    <x v="2"/>
    <x v="2"/>
    <x v="269"/>
    <n v="79.260000000000005"/>
    <n v="7"/>
    <n v="454.7"/>
    <x v="90"/>
    <x v="0"/>
    <x v="2"/>
    <x v="0"/>
    <n v="375.44"/>
    <n v="149.34"/>
  </r>
  <r>
    <s v="2025-02-19"/>
    <x v="5"/>
    <x v="2"/>
    <x v="665"/>
    <n v="91.54"/>
    <n v="7"/>
    <n v="272.62"/>
    <x v="262"/>
    <x v="1"/>
    <x v="2"/>
    <x v="0"/>
    <n v="181.07999999999998"/>
    <n v="124.86"/>
  </r>
  <r>
    <s v="2025-04-06"/>
    <x v="2"/>
    <x v="2"/>
    <x v="80"/>
    <n v="137.13999999999999"/>
    <n v="5"/>
    <n v="32.47"/>
    <x v="0"/>
    <x v="2"/>
    <x v="3"/>
    <x v="0"/>
    <n v="-104.66999999999999"/>
    <n v="122.05"/>
  </r>
  <r>
    <s v="2025-02-16"/>
    <x v="5"/>
    <x v="3"/>
    <x v="637"/>
    <n v="23.67"/>
    <n v="7"/>
    <n v="383.09"/>
    <x v="3"/>
    <x v="2"/>
    <x v="1"/>
    <x v="0"/>
    <n v="359.41999999999996"/>
    <n v="133.03"/>
  </r>
  <r>
    <s v="2025-03-11"/>
    <x v="1"/>
    <x v="0"/>
    <x v="721"/>
    <n v="82.23"/>
    <n v="8"/>
    <n v="301.67"/>
    <x v="63"/>
    <x v="0"/>
    <x v="1"/>
    <x v="0"/>
    <n v="219.44"/>
    <n v="122.89"/>
  </r>
  <r>
    <s v="2025-04-14"/>
    <x v="2"/>
    <x v="1"/>
    <x v="196"/>
    <n v="67.849999999999994"/>
    <n v="7"/>
    <n v="201.67"/>
    <x v="128"/>
    <x v="1"/>
    <x v="2"/>
    <x v="0"/>
    <n v="133.82"/>
    <n v="141.72"/>
  </r>
  <r>
    <s v="2025-02-20"/>
    <x v="5"/>
    <x v="3"/>
    <x v="492"/>
    <n v="62.41"/>
    <n v="1"/>
    <n v="178.81"/>
    <x v="395"/>
    <x v="0"/>
    <x v="0"/>
    <x v="0"/>
    <n v="116.4"/>
    <n v="75.7"/>
  </r>
  <r>
    <s v="2025-04-22"/>
    <x v="2"/>
    <x v="3"/>
    <x v="201"/>
    <n v="104.17"/>
    <n v="0"/>
    <n v="113.38"/>
    <x v="396"/>
    <x v="0"/>
    <x v="2"/>
    <x v="1"/>
    <n v="9.2099999999999937"/>
    <n v="108.53"/>
  </r>
  <r>
    <s v="2024-11-26"/>
    <x v="4"/>
    <x v="0"/>
    <x v="263"/>
    <n v="66.94"/>
    <n v="7"/>
    <n v="214.6"/>
    <x v="140"/>
    <x v="2"/>
    <x v="5"/>
    <x v="0"/>
    <n v="147.66"/>
    <n v="130.63"/>
  </r>
  <r>
    <s v="2024-12-29"/>
    <x v="3"/>
    <x v="3"/>
    <x v="736"/>
    <n v="16.309999999999999"/>
    <n v="0"/>
    <n v="401.74"/>
    <x v="74"/>
    <x v="0"/>
    <x v="0"/>
    <x v="1"/>
    <n v="385.43"/>
    <n v="131.18"/>
  </r>
  <r>
    <s v="2025-04-02"/>
    <x v="2"/>
    <x v="2"/>
    <x v="72"/>
    <n v="40.630000000000003"/>
    <n v="5"/>
    <n v="497.53"/>
    <x v="397"/>
    <x v="0"/>
    <x v="1"/>
    <x v="0"/>
    <n v="456.9"/>
    <n v="224.71"/>
  </r>
  <r>
    <s v="2024-11-14"/>
    <x v="4"/>
    <x v="2"/>
    <x v="737"/>
    <n v="144.35"/>
    <n v="3"/>
    <n v="97.69"/>
    <x v="63"/>
    <x v="0"/>
    <x v="1"/>
    <x v="0"/>
    <n v="-46.66"/>
    <n v="131.46"/>
  </r>
  <r>
    <s v="2025-02-16"/>
    <x v="5"/>
    <x v="0"/>
    <x v="307"/>
    <n v="16.489999999999998"/>
    <n v="4"/>
    <n v="205.29"/>
    <x v="24"/>
    <x v="0"/>
    <x v="5"/>
    <x v="0"/>
    <n v="188.79999999999998"/>
    <n v="120.08"/>
  </r>
  <r>
    <s v="2024-12-01"/>
    <x v="3"/>
    <x v="0"/>
    <x v="738"/>
    <n v="131.81"/>
    <n v="1"/>
    <n v="448.2"/>
    <x v="210"/>
    <x v="0"/>
    <x v="3"/>
    <x v="0"/>
    <n v="316.39"/>
    <n v="125.48"/>
  </r>
  <r>
    <s v="2025-04-26"/>
    <x v="2"/>
    <x v="0"/>
    <x v="577"/>
    <n v="95.88"/>
    <n v="0"/>
    <n v="458.15"/>
    <x v="6"/>
    <x v="2"/>
    <x v="4"/>
    <x v="1"/>
    <n v="362.27"/>
    <n v="122.33"/>
  </r>
  <r>
    <s v="2024-12-20"/>
    <x v="3"/>
    <x v="3"/>
    <x v="154"/>
    <n v="92.56"/>
    <n v="5"/>
    <n v="472.85"/>
    <x v="195"/>
    <x v="1"/>
    <x v="0"/>
    <x v="0"/>
    <n v="380.29"/>
    <n v="191.04"/>
  </r>
  <r>
    <s v="2025-04-10"/>
    <x v="2"/>
    <x v="2"/>
    <x v="272"/>
    <n v="12.09"/>
    <n v="6"/>
    <n v="110.99"/>
    <x v="247"/>
    <x v="0"/>
    <x v="4"/>
    <x v="0"/>
    <n v="98.899999999999991"/>
    <n v="123.36"/>
  </r>
  <r>
    <s v="2025-02-03"/>
    <x v="5"/>
    <x v="3"/>
    <x v="43"/>
    <n v="101.02"/>
    <n v="7"/>
    <n v="294.85000000000002"/>
    <x v="57"/>
    <x v="0"/>
    <x v="1"/>
    <x v="0"/>
    <n v="193.83000000000004"/>
    <n v="113.01"/>
  </r>
  <r>
    <s v="2025-03-10"/>
    <x v="1"/>
    <x v="0"/>
    <x v="596"/>
    <n v="17.27"/>
    <n v="10"/>
    <n v="198.81"/>
    <x v="274"/>
    <x v="0"/>
    <x v="5"/>
    <x v="0"/>
    <n v="181.54"/>
    <n v="110.14"/>
  </r>
  <r>
    <s v="2024-11-24"/>
    <x v="4"/>
    <x v="2"/>
    <x v="346"/>
    <n v="116"/>
    <n v="0"/>
    <n v="496.86"/>
    <x v="172"/>
    <x v="0"/>
    <x v="5"/>
    <x v="1"/>
    <n v="380.86"/>
    <n v="176.23"/>
  </r>
  <r>
    <s v="2025-03-07"/>
    <x v="1"/>
    <x v="0"/>
    <x v="229"/>
    <n v="102.07"/>
    <n v="3"/>
    <n v="148.21"/>
    <x v="141"/>
    <x v="2"/>
    <x v="2"/>
    <x v="0"/>
    <n v="46.140000000000015"/>
    <n v="90.62"/>
  </r>
  <r>
    <s v="2024-12-12"/>
    <x v="3"/>
    <x v="2"/>
    <x v="443"/>
    <n v="60.95"/>
    <n v="5"/>
    <n v="455.01"/>
    <x v="122"/>
    <x v="0"/>
    <x v="2"/>
    <x v="0"/>
    <n v="394.06"/>
    <n v="171.07"/>
  </r>
  <r>
    <s v="2025-02-15"/>
    <x v="5"/>
    <x v="0"/>
    <x v="497"/>
    <n v="71.66"/>
    <n v="2"/>
    <n v="68.03"/>
    <x v="398"/>
    <x v="1"/>
    <x v="5"/>
    <x v="0"/>
    <n v="-3.6299999999999955"/>
    <n v="44.79"/>
  </r>
  <r>
    <s v="2024-11-20"/>
    <x v="4"/>
    <x v="3"/>
    <x v="739"/>
    <n v="35.26"/>
    <n v="10"/>
    <n v="192.12"/>
    <x v="191"/>
    <x v="1"/>
    <x v="2"/>
    <x v="0"/>
    <n v="156.86000000000001"/>
    <n v="154.38999999999999"/>
  </r>
  <r>
    <s v="2025-03-30"/>
    <x v="1"/>
    <x v="1"/>
    <x v="194"/>
    <n v="108.37"/>
    <n v="5"/>
    <n v="299.20999999999998"/>
    <x v="9"/>
    <x v="1"/>
    <x v="0"/>
    <x v="0"/>
    <n v="190.83999999999997"/>
    <n v="125.16"/>
  </r>
  <r>
    <s v="2025-02-15"/>
    <x v="5"/>
    <x v="0"/>
    <x v="740"/>
    <n v="120.44"/>
    <n v="10"/>
    <n v="34.229999999999997"/>
    <x v="106"/>
    <x v="1"/>
    <x v="5"/>
    <x v="0"/>
    <n v="-86.210000000000008"/>
    <n v="126.04"/>
  </r>
  <r>
    <s v="2025-03-13"/>
    <x v="1"/>
    <x v="0"/>
    <x v="108"/>
    <n v="105.09"/>
    <n v="7"/>
    <n v="462.2"/>
    <x v="399"/>
    <x v="1"/>
    <x v="3"/>
    <x v="0"/>
    <n v="357.11"/>
    <n v="214.31"/>
  </r>
  <r>
    <s v="2025-01-04"/>
    <x v="0"/>
    <x v="2"/>
    <x v="382"/>
    <n v="63.5"/>
    <n v="10"/>
    <n v="222.05"/>
    <x v="400"/>
    <x v="1"/>
    <x v="2"/>
    <x v="0"/>
    <n v="158.55000000000001"/>
    <n v="107.37"/>
  </r>
  <r>
    <s v="2025-03-04"/>
    <x v="1"/>
    <x v="0"/>
    <x v="417"/>
    <n v="97.46"/>
    <n v="7"/>
    <n v="144.03"/>
    <x v="60"/>
    <x v="1"/>
    <x v="0"/>
    <x v="0"/>
    <n v="46.570000000000007"/>
    <n v="125.75"/>
  </r>
  <r>
    <s v="2025-02-13"/>
    <x v="5"/>
    <x v="3"/>
    <x v="464"/>
    <n v="120.29"/>
    <n v="3"/>
    <n v="41.43"/>
    <x v="65"/>
    <x v="0"/>
    <x v="0"/>
    <x v="0"/>
    <n v="-78.860000000000014"/>
    <n v="150.38"/>
  </r>
  <r>
    <s v="2024-11-28"/>
    <x v="4"/>
    <x v="1"/>
    <x v="741"/>
    <n v="117.76"/>
    <n v="9"/>
    <n v="452.71"/>
    <x v="65"/>
    <x v="2"/>
    <x v="1"/>
    <x v="0"/>
    <n v="334.95"/>
    <n v="150.31"/>
  </r>
  <r>
    <s v="2025-01-24"/>
    <x v="0"/>
    <x v="3"/>
    <x v="469"/>
    <n v="41.01"/>
    <n v="6"/>
    <n v="161.32"/>
    <x v="68"/>
    <x v="1"/>
    <x v="3"/>
    <x v="0"/>
    <n v="120.31"/>
    <n v="114.06"/>
  </r>
  <r>
    <s v="2024-11-19"/>
    <x v="4"/>
    <x v="1"/>
    <x v="395"/>
    <n v="23.61"/>
    <n v="8"/>
    <n v="45.41"/>
    <x v="7"/>
    <x v="2"/>
    <x v="4"/>
    <x v="0"/>
    <n v="21.799999999999997"/>
    <n v="120.48"/>
  </r>
  <r>
    <s v="2025-03-14"/>
    <x v="1"/>
    <x v="2"/>
    <x v="472"/>
    <n v="117.25"/>
    <n v="10"/>
    <n v="26.72"/>
    <x v="401"/>
    <x v="1"/>
    <x v="2"/>
    <x v="0"/>
    <n v="-90.53"/>
    <n v="58.7"/>
  </r>
  <r>
    <s v="2025-01-15"/>
    <x v="0"/>
    <x v="2"/>
    <x v="308"/>
    <n v="130.22999999999999"/>
    <n v="1"/>
    <n v="207.42"/>
    <x v="53"/>
    <x v="0"/>
    <x v="3"/>
    <x v="0"/>
    <n v="77.19"/>
    <n v="114.89"/>
  </r>
  <r>
    <s v="2024-12-02"/>
    <x v="3"/>
    <x v="1"/>
    <x v="742"/>
    <n v="80.08"/>
    <n v="5"/>
    <n v="311.01"/>
    <x v="76"/>
    <x v="0"/>
    <x v="1"/>
    <x v="0"/>
    <n v="230.93"/>
    <n v="127.46"/>
  </r>
  <r>
    <s v="2025-01-05"/>
    <x v="0"/>
    <x v="2"/>
    <x v="743"/>
    <n v="61.79"/>
    <n v="0"/>
    <n v="220.61"/>
    <x v="402"/>
    <x v="1"/>
    <x v="1"/>
    <x v="1"/>
    <n v="158.82000000000002"/>
    <n v="140.29"/>
  </r>
  <r>
    <s v="2025-02-05"/>
    <x v="5"/>
    <x v="2"/>
    <x v="743"/>
    <n v="148.26"/>
    <n v="2"/>
    <n v="138.15"/>
    <x v="77"/>
    <x v="2"/>
    <x v="5"/>
    <x v="0"/>
    <n v="-10.109999999999985"/>
    <n v="114.1"/>
  </r>
  <r>
    <s v="2024-12-13"/>
    <x v="3"/>
    <x v="1"/>
    <x v="182"/>
    <n v="35.68"/>
    <n v="8"/>
    <n v="469.79"/>
    <x v="102"/>
    <x v="2"/>
    <x v="2"/>
    <x v="0"/>
    <n v="434.11"/>
    <n v="123.64"/>
  </r>
  <r>
    <s v="2025-04-25"/>
    <x v="2"/>
    <x v="2"/>
    <x v="744"/>
    <n v="134.56"/>
    <n v="7"/>
    <n v="45.57"/>
    <x v="26"/>
    <x v="2"/>
    <x v="0"/>
    <x v="0"/>
    <n v="-88.990000000000009"/>
    <n v="121.32"/>
  </r>
  <r>
    <s v="2024-11-01"/>
    <x v="4"/>
    <x v="3"/>
    <x v="130"/>
    <n v="42.62"/>
    <n v="8"/>
    <n v="468.3"/>
    <x v="403"/>
    <x v="0"/>
    <x v="1"/>
    <x v="0"/>
    <n v="425.68"/>
    <n v="155.46"/>
  </r>
  <r>
    <s v="2025-03-23"/>
    <x v="1"/>
    <x v="2"/>
    <x v="484"/>
    <n v="64.12"/>
    <n v="4"/>
    <n v="435.39"/>
    <x v="258"/>
    <x v="2"/>
    <x v="2"/>
    <x v="0"/>
    <n v="371.27"/>
    <n v="150.35"/>
  </r>
  <r>
    <s v="2025-04-15"/>
    <x v="2"/>
    <x v="1"/>
    <x v="107"/>
    <n v="112.73"/>
    <n v="7"/>
    <n v="305.73"/>
    <x v="21"/>
    <x v="1"/>
    <x v="5"/>
    <x v="0"/>
    <n v="193"/>
    <n v="131.55000000000001"/>
  </r>
  <r>
    <s v="2024-12-16"/>
    <x v="3"/>
    <x v="3"/>
    <x v="273"/>
    <n v="47.75"/>
    <n v="5"/>
    <n v="167.96"/>
    <x v="6"/>
    <x v="2"/>
    <x v="3"/>
    <x v="0"/>
    <n v="120.21000000000001"/>
    <n v="114.91"/>
  </r>
  <r>
    <s v="2025-03-02"/>
    <x v="1"/>
    <x v="3"/>
    <x v="533"/>
    <n v="15.25"/>
    <n v="3"/>
    <n v="255.52"/>
    <x v="9"/>
    <x v="0"/>
    <x v="1"/>
    <x v="0"/>
    <n v="240.27"/>
    <n v="127.63"/>
  </r>
  <r>
    <s v="2025-03-11"/>
    <x v="1"/>
    <x v="1"/>
    <x v="157"/>
    <n v="43.08"/>
    <n v="8"/>
    <n v="493.47"/>
    <x v="63"/>
    <x v="0"/>
    <x v="1"/>
    <x v="0"/>
    <n v="450.39000000000004"/>
    <n v="127.04"/>
  </r>
  <r>
    <s v="2025-01-20"/>
    <x v="0"/>
    <x v="3"/>
    <x v="384"/>
    <n v="121.88"/>
    <n v="5"/>
    <n v="340.24"/>
    <x v="166"/>
    <x v="1"/>
    <x v="2"/>
    <x v="0"/>
    <n v="218.36"/>
    <n v="118.97"/>
  </r>
  <r>
    <s v="2024-11-15"/>
    <x v="4"/>
    <x v="3"/>
    <x v="224"/>
    <n v="75.89"/>
    <n v="4"/>
    <n v="84.06"/>
    <x v="250"/>
    <x v="2"/>
    <x v="0"/>
    <x v="0"/>
    <n v="8.1700000000000017"/>
    <n v="139.1"/>
  </r>
  <r>
    <s v="2025-02-11"/>
    <x v="5"/>
    <x v="0"/>
    <x v="671"/>
    <n v="135.9"/>
    <n v="3"/>
    <n v="44.8"/>
    <x v="24"/>
    <x v="2"/>
    <x v="2"/>
    <x v="0"/>
    <n v="-91.100000000000009"/>
    <n v="119.28"/>
  </r>
  <r>
    <s v="2025-02-28"/>
    <x v="5"/>
    <x v="0"/>
    <x v="555"/>
    <n v="17.86"/>
    <n v="2"/>
    <n v="253.6"/>
    <x v="273"/>
    <x v="1"/>
    <x v="4"/>
    <x v="0"/>
    <n v="235.74"/>
    <n v="142.87"/>
  </r>
  <r>
    <s v="2025-02-03"/>
    <x v="5"/>
    <x v="1"/>
    <x v="743"/>
    <n v="111.95"/>
    <n v="1"/>
    <n v="101.58"/>
    <x v="194"/>
    <x v="1"/>
    <x v="3"/>
    <x v="0"/>
    <n v="-10.370000000000005"/>
    <n v="126.02"/>
  </r>
  <r>
    <s v="2024-12-02"/>
    <x v="3"/>
    <x v="1"/>
    <x v="11"/>
    <n v="32.700000000000003"/>
    <n v="5"/>
    <n v="460.12"/>
    <x v="191"/>
    <x v="0"/>
    <x v="2"/>
    <x v="0"/>
    <n v="427.42"/>
    <n v="147.59"/>
  </r>
  <r>
    <s v="2024-12-24"/>
    <x v="3"/>
    <x v="2"/>
    <x v="75"/>
    <n v="143.44999999999999"/>
    <n v="3"/>
    <n v="385.09"/>
    <x v="84"/>
    <x v="1"/>
    <x v="1"/>
    <x v="0"/>
    <n v="241.64"/>
    <n v="102.26"/>
  </r>
  <r>
    <s v="2025-02-18"/>
    <x v="5"/>
    <x v="0"/>
    <x v="444"/>
    <n v="121.88"/>
    <n v="1"/>
    <n v="358.96"/>
    <x v="24"/>
    <x v="0"/>
    <x v="2"/>
    <x v="0"/>
    <n v="237.07999999999998"/>
    <n v="122.13"/>
  </r>
  <r>
    <s v="2024-12-11"/>
    <x v="3"/>
    <x v="2"/>
    <x v="476"/>
    <n v="115.58"/>
    <n v="0"/>
    <n v="129.59"/>
    <x v="3"/>
    <x v="2"/>
    <x v="5"/>
    <x v="1"/>
    <n v="14.010000000000005"/>
    <n v="133.86000000000001"/>
  </r>
  <r>
    <s v="2025-04-03"/>
    <x v="2"/>
    <x v="2"/>
    <x v="307"/>
    <n v="52.01"/>
    <n v="9"/>
    <n v="380.74"/>
    <x v="235"/>
    <x v="1"/>
    <x v="5"/>
    <x v="0"/>
    <n v="328.73"/>
    <n v="149.76"/>
  </r>
  <r>
    <s v="2025-03-31"/>
    <x v="1"/>
    <x v="2"/>
    <x v="577"/>
    <n v="20.77"/>
    <n v="4"/>
    <n v="359.73"/>
    <x v="197"/>
    <x v="2"/>
    <x v="0"/>
    <x v="0"/>
    <n v="338.96000000000004"/>
    <n v="134.22"/>
  </r>
  <r>
    <s v="2025-01-01"/>
    <x v="0"/>
    <x v="2"/>
    <x v="363"/>
    <n v="35.93"/>
    <n v="2"/>
    <n v="152.54"/>
    <x v="231"/>
    <x v="0"/>
    <x v="1"/>
    <x v="0"/>
    <n v="116.60999999999999"/>
    <n v="138.91"/>
  </r>
  <r>
    <s v="2025-03-05"/>
    <x v="1"/>
    <x v="3"/>
    <x v="97"/>
    <n v="16.55"/>
    <n v="0"/>
    <n v="23.23"/>
    <x v="316"/>
    <x v="2"/>
    <x v="1"/>
    <x v="1"/>
    <n v="6.68"/>
    <n v="113.53"/>
  </r>
  <r>
    <s v="2025-02-22"/>
    <x v="5"/>
    <x v="0"/>
    <x v="180"/>
    <n v="8.8000000000000007"/>
    <n v="1"/>
    <n v="230.46"/>
    <x v="139"/>
    <x v="1"/>
    <x v="1"/>
    <x v="0"/>
    <n v="221.66"/>
    <n v="142.68"/>
  </r>
  <r>
    <s v="2025-03-20"/>
    <x v="1"/>
    <x v="0"/>
    <x v="471"/>
    <n v="39.520000000000003"/>
    <n v="5"/>
    <n v="493.51"/>
    <x v="60"/>
    <x v="1"/>
    <x v="4"/>
    <x v="0"/>
    <n v="453.99"/>
    <n v="125.85"/>
  </r>
  <r>
    <s v="2025-01-23"/>
    <x v="0"/>
    <x v="3"/>
    <x v="406"/>
    <n v="43.3"/>
    <n v="8"/>
    <n v="162.72"/>
    <x v="401"/>
    <x v="0"/>
    <x v="1"/>
    <x v="0"/>
    <n v="119.42"/>
    <n v="64.84"/>
  </r>
  <r>
    <s v="2025-03-28"/>
    <x v="1"/>
    <x v="0"/>
    <x v="30"/>
    <n v="92.05"/>
    <n v="0"/>
    <n v="446.55"/>
    <x v="119"/>
    <x v="0"/>
    <x v="0"/>
    <x v="1"/>
    <n v="354.5"/>
    <n v="140.61000000000001"/>
  </r>
  <r>
    <s v="2024-11-25"/>
    <x v="4"/>
    <x v="1"/>
    <x v="27"/>
    <n v="17.89"/>
    <n v="9"/>
    <n v="187.2"/>
    <x v="85"/>
    <x v="2"/>
    <x v="1"/>
    <x v="0"/>
    <n v="169.31"/>
    <n v="125.38"/>
  </r>
  <r>
    <s v="2025-02-03"/>
    <x v="5"/>
    <x v="1"/>
    <x v="553"/>
    <n v="47.31"/>
    <n v="10"/>
    <n v="21.79"/>
    <x v="77"/>
    <x v="1"/>
    <x v="3"/>
    <x v="0"/>
    <n v="-25.520000000000003"/>
    <n v="112.79"/>
  </r>
  <r>
    <s v="2024-11-28"/>
    <x v="4"/>
    <x v="1"/>
    <x v="745"/>
    <n v="9.2899999999999991"/>
    <n v="2"/>
    <n v="471.34"/>
    <x v="36"/>
    <x v="2"/>
    <x v="2"/>
    <x v="0"/>
    <n v="462.04999999999995"/>
    <n v="134.87"/>
  </r>
  <r>
    <s v="2024-12-13"/>
    <x v="3"/>
    <x v="0"/>
    <x v="404"/>
    <n v="20.76"/>
    <n v="0"/>
    <n v="434.21"/>
    <x v="197"/>
    <x v="0"/>
    <x v="1"/>
    <x v="1"/>
    <n v="413.45"/>
    <n v="129.74"/>
  </r>
  <r>
    <s v="2025-03-13"/>
    <x v="1"/>
    <x v="0"/>
    <x v="153"/>
    <n v="72.739999999999995"/>
    <n v="2"/>
    <n v="106.55"/>
    <x v="117"/>
    <x v="1"/>
    <x v="1"/>
    <x v="0"/>
    <n v="33.81"/>
    <n v="129.16"/>
  </r>
  <r>
    <s v="2025-02-01"/>
    <x v="5"/>
    <x v="2"/>
    <x v="393"/>
    <n v="142.78"/>
    <n v="3"/>
    <n v="42.9"/>
    <x v="28"/>
    <x v="0"/>
    <x v="4"/>
    <x v="0"/>
    <n v="-99.88"/>
    <n v="127.45"/>
  </r>
  <r>
    <s v="2025-02-08"/>
    <x v="5"/>
    <x v="2"/>
    <x v="746"/>
    <n v="26.88"/>
    <n v="0"/>
    <n v="30.22"/>
    <x v="109"/>
    <x v="1"/>
    <x v="2"/>
    <x v="1"/>
    <n v="3.34"/>
    <n v="108.45"/>
  </r>
  <r>
    <s v="2025-03-24"/>
    <x v="1"/>
    <x v="3"/>
    <x v="747"/>
    <n v="118.98"/>
    <n v="8"/>
    <n v="46.87"/>
    <x v="404"/>
    <x v="1"/>
    <x v="5"/>
    <x v="0"/>
    <n v="-72.110000000000014"/>
    <n v="136.36000000000001"/>
  </r>
  <r>
    <s v="2025-03-30"/>
    <x v="1"/>
    <x v="2"/>
    <x v="741"/>
    <n v="60.04"/>
    <n v="10"/>
    <n v="264.37"/>
    <x v="74"/>
    <x v="2"/>
    <x v="2"/>
    <x v="0"/>
    <n v="204.33"/>
    <n v="134.25"/>
  </r>
  <r>
    <s v="2025-04-12"/>
    <x v="2"/>
    <x v="3"/>
    <x v="460"/>
    <n v="125.24"/>
    <n v="5"/>
    <n v="89.6"/>
    <x v="262"/>
    <x v="0"/>
    <x v="1"/>
    <x v="0"/>
    <n v="-35.64"/>
    <n v="125.42"/>
  </r>
  <r>
    <s v="2024-12-25"/>
    <x v="3"/>
    <x v="3"/>
    <x v="736"/>
    <n v="136.75"/>
    <n v="7"/>
    <n v="162.46"/>
    <x v="405"/>
    <x v="0"/>
    <x v="1"/>
    <x v="0"/>
    <n v="25.710000000000008"/>
    <n v="138.71"/>
  </r>
  <r>
    <s v="2024-12-15"/>
    <x v="3"/>
    <x v="0"/>
    <x v="728"/>
    <n v="74.2"/>
    <n v="6"/>
    <n v="176.19"/>
    <x v="9"/>
    <x v="0"/>
    <x v="5"/>
    <x v="0"/>
    <n v="101.99"/>
    <n v="125.38"/>
  </r>
  <r>
    <s v="2025-02-11"/>
    <x v="5"/>
    <x v="0"/>
    <x v="748"/>
    <n v="63.61"/>
    <n v="3"/>
    <n v="340.38"/>
    <x v="80"/>
    <x v="2"/>
    <x v="5"/>
    <x v="0"/>
    <n v="276.77"/>
    <n v="153.43"/>
  </r>
  <r>
    <s v="2024-11-29"/>
    <x v="4"/>
    <x v="3"/>
    <x v="276"/>
    <n v="90.64"/>
    <n v="2"/>
    <n v="393.11"/>
    <x v="280"/>
    <x v="1"/>
    <x v="2"/>
    <x v="0"/>
    <n v="302.47000000000003"/>
    <n v="158.5"/>
  </r>
  <r>
    <s v="2025-02-07"/>
    <x v="5"/>
    <x v="0"/>
    <x v="175"/>
    <n v="27.54"/>
    <n v="7"/>
    <n v="296.49"/>
    <x v="22"/>
    <x v="0"/>
    <x v="2"/>
    <x v="0"/>
    <n v="268.95"/>
    <n v="95.78"/>
  </r>
  <r>
    <s v="2024-11-06"/>
    <x v="4"/>
    <x v="3"/>
    <x v="703"/>
    <n v="92.97"/>
    <n v="7"/>
    <n v="315.44"/>
    <x v="58"/>
    <x v="0"/>
    <x v="4"/>
    <x v="0"/>
    <n v="222.47"/>
    <n v="145.54"/>
  </r>
  <r>
    <s v="2025-02-18"/>
    <x v="5"/>
    <x v="3"/>
    <x v="143"/>
    <n v="97.66"/>
    <n v="6"/>
    <n v="486.01"/>
    <x v="359"/>
    <x v="0"/>
    <x v="0"/>
    <x v="0"/>
    <n v="388.35"/>
    <n v="151.15"/>
  </r>
  <r>
    <s v="2024-11-19"/>
    <x v="4"/>
    <x v="1"/>
    <x v="97"/>
    <n v="139.54"/>
    <n v="8"/>
    <n v="288.64999999999998"/>
    <x v="163"/>
    <x v="1"/>
    <x v="1"/>
    <x v="0"/>
    <n v="149.10999999999999"/>
    <n v="125.52"/>
  </r>
  <r>
    <s v="2025-01-06"/>
    <x v="0"/>
    <x v="3"/>
    <x v="353"/>
    <n v="93.59"/>
    <n v="10"/>
    <n v="131.43"/>
    <x v="406"/>
    <x v="1"/>
    <x v="0"/>
    <x v="0"/>
    <n v="37.840000000000003"/>
    <n v="72.739999999999995"/>
  </r>
  <r>
    <s v="2025-01-19"/>
    <x v="0"/>
    <x v="3"/>
    <x v="169"/>
    <n v="102.19"/>
    <n v="0"/>
    <n v="424.82"/>
    <x v="274"/>
    <x v="0"/>
    <x v="5"/>
    <x v="1"/>
    <n v="322.63"/>
    <n v="101.75"/>
  </r>
  <r>
    <s v="2024-12-29"/>
    <x v="3"/>
    <x v="3"/>
    <x v="749"/>
    <n v="27.23"/>
    <n v="10"/>
    <n v="245.97"/>
    <x v="407"/>
    <x v="2"/>
    <x v="2"/>
    <x v="0"/>
    <n v="218.74"/>
    <n v="148.44"/>
  </r>
  <r>
    <s v="2025-04-09"/>
    <x v="2"/>
    <x v="3"/>
    <x v="593"/>
    <n v="38.67"/>
    <n v="10"/>
    <n v="114.68"/>
    <x v="74"/>
    <x v="0"/>
    <x v="1"/>
    <x v="0"/>
    <n v="76.010000000000005"/>
    <n v="131.63"/>
  </r>
  <r>
    <s v="2025-04-14"/>
    <x v="2"/>
    <x v="3"/>
    <x v="740"/>
    <n v="17.59"/>
    <n v="10"/>
    <n v="289.36"/>
    <x v="10"/>
    <x v="2"/>
    <x v="5"/>
    <x v="0"/>
    <n v="271.77000000000004"/>
    <n v="134.6"/>
  </r>
  <r>
    <s v="2024-12-08"/>
    <x v="3"/>
    <x v="0"/>
    <x v="750"/>
    <n v="99.55"/>
    <n v="0"/>
    <n v="457.43"/>
    <x v="32"/>
    <x v="1"/>
    <x v="2"/>
    <x v="1"/>
    <n v="357.88"/>
    <n v="162.31"/>
  </r>
  <r>
    <s v="2024-12-11"/>
    <x v="3"/>
    <x v="3"/>
    <x v="374"/>
    <n v="41.98"/>
    <n v="2"/>
    <n v="93.95"/>
    <x v="8"/>
    <x v="1"/>
    <x v="2"/>
    <x v="0"/>
    <n v="51.970000000000006"/>
    <n v="118.83"/>
  </r>
  <r>
    <s v="2025-03-13"/>
    <x v="1"/>
    <x v="2"/>
    <x v="192"/>
    <n v="37.25"/>
    <n v="3"/>
    <n v="210.57"/>
    <x v="225"/>
    <x v="1"/>
    <x v="5"/>
    <x v="0"/>
    <n v="173.32"/>
    <n v="99.3"/>
  </r>
  <r>
    <s v="2025-04-11"/>
    <x v="2"/>
    <x v="0"/>
    <x v="494"/>
    <n v="93.93"/>
    <n v="3"/>
    <n v="402.26"/>
    <x v="7"/>
    <x v="1"/>
    <x v="1"/>
    <x v="0"/>
    <n v="308.33"/>
    <n v="130.4"/>
  </r>
  <r>
    <s v="2025-03-23"/>
    <x v="1"/>
    <x v="1"/>
    <x v="136"/>
    <n v="116.73"/>
    <n v="3"/>
    <n v="103.09"/>
    <x v="152"/>
    <x v="1"/>
    <x v="2"/>
    <x v="0"/>
    <n v="-13.64"/>
    <n v="99.77"/>
  </r>
  <r>
    <s v="2024-12-21"/>
    <x v="3"/>
    <x v="3"/>
    <x v="69"/>
    <n v="84.99"/>
    <n v="4"/>
    <n v="369.44"/>
    <x v="365"/>
    <x v="0"/>
    <x v="4"/>
    <x v="0"/>
    <n v="284.45"/>
    <n v="85.91"/>
  </r>
  <r>
    <s v="2025-04-01"/>
    <x v="2"/>
    <x v="0"/>
    <x v="597"/>
    <n v="59.09"/>
    <n v="5"/>
    <n v="51.2"/>
    <x v="225"/>
    <x v="2"/>
    <x v="2"/>
    <x v="0"/>
    <n v="-7.8900000000000006"/>
    <n v="98.97"/>
  </r>
  <r>
    <s v="2025-04-03"/>
    <x v="2"/>
    <x v="3"/>
    <x v="27"/>
    <n v="27.41"/>
    <n v="5"/>
    <n v="418.4"/>
    <x v="121"/>
    <x v="2"/>
    <x v="2"/>
    <x v="0"/>
    <n v="390.98999999999995"/>
    <n v="140.03"/>
  </r>
  <r>
    <s v="2025-01-12"/>
    <x v="0"/>
    <x v="3"/>
    <x v="572"/>
    <n v="114.52"/>
    <n v="3"/>
    <n v="357.43"/>
    <x v="306"/>
    <x v="0"/>
    <x v="0"/>
    <x v="0"/>
    <n v="242.91000000000003"/>
    <n v="142.93"/>
  </r>
  <r>
    <s v="2025-02-01"/>
    <x v="5"/>
    <x v="3"/>
    <x v="751"/>
    <n v="65.48"/>
    <n v="8"/>
    <n v="434.38"/>
    <x v="205"/>
    <x v="1"/>
    <x v="3"/>
    <x v="0"/>
    <n v="368.9"/>
    <n v="146.25"/>
  </r>
  <r>
    <s v="2025-04-09"/>
    <x v="2"/>
    <x v="2"/>
    <x v="79"/>
    <n v="43.34"/>
    <n v="1"/>
    <n v="284.52999999999997"/>
    <x v="372"/>
    <x v="1"/>
    <x v="2"/>
    <x v="0"/>
    <n v="241.18999999999997"/>
    <n v="159.54"/>
  </r>
  <r>
    <s v="2025-04-02"/>
    <x v="2"/>
    <x v="2"/>
    <x v="497"/>
    <n v="24.51"/>
    <n v="1"/>
    <n v="66.69"/>
    <x v="180"/>
    <x v="1"/>
    <x v="1"/>
    <x v="0"/>
    <n v="42.179999999999993"/>
    <n v="93.37"/>
  </r>
  <r>
    <s v="2024-12-04"/>
    <x v="3"/>
    <x v="0"/>
    <x v="473"/>
    <n v="50.02"/>
    <n v="2"/>
    <n v="418.41"/>
    <x v="109"/>
    <x v="0"/>
    <x v="5"/>
    <x v="0"/>
    <n v="368.39000000000004"/>
    <n v="108.92"/>
  </r>
  <r>
    <s v="2025-02-08"/>
    <x v="5"/>
    <x v="2"/>
    <x v="390"/>
    <n v="109.56"/>
    <n v="9"/>
    <n v="464.57"/>
    <x v="3"/>
    <x v="2"/>
    <x v="0"/>
    <x v="0"/>
    <n v="355.01"/>
    <n v="135.15"/>
  </r>
  <r>
    <s v="2025-04-15"/>
    <x v="2"/>
    <x v="1"/>
    <x v="734"/>
    <n v="74.39"/>
    <n v="4"/>
    <n v="459.48"/>
    <x v="139"/>
    <x v="0"/>
    <x v="2"/>
    <x v="0"/>
    <n v="385.09000000000003"/>
    <n v="149.04"/>
  </r>
  <r>
    <s v="2025-01-04"/>
    <x v="0"/>
    <x v="2"/>
    <x v="182"/>
    <n v="21.78"/>
    <n v="8"/>
    <n v="303.3"/>
    <x v="104"/>
    <x v="1"/>
    <x v="2"/>
    <x v="0"/>
    <n v="281.52"/>
    <n v="100.06"/>
  </r>
  <r>
    <s v="2025-03-18"/>
    <x v="1"/>
    <x v="2"/>
    <x v="752"/>
    <n v="147.78"/>
    <n v="2"/>
    <n v="493.67"/>
    <x v="139"/>
    <x v="0"/>
    <x v="0"/>
    <x v="0"/>
    <n v="345.89"/>
    <n v="148.05000000000001"/>
  </r>
  <r>
    <s v="2024-11-21"/>
    <x v="4"/>
    <x v="1"/>
    <x v="561"/>
    <n v="136.76"/>
    <n v="3"/>
    <n v="345.36"/>
    <x v="408"/>
    <x v="1"/>
    <x v="2"/>
    <x v="0"/>
    <n v="208.60000000000002"/>
    <n v="193.02"/>
  </r>
  <r>
    <s v="2025-03-31"/>
    <x v="1"/>
    <x v="1"/>
    <x v="275"/>
    <n v="58.15"/>
    <n v="10"/>
    <n v="481.94"/>
    <x v="106"/>
    <x v="0"/>
    <x v="2"/>
    <x v="0"/>
    <n v="423.79"/>
    <n v="121.31"/>
  </r>
  <r>
    <s v="2024-11-09"/>
    <x v="4"/>
    <x v="1"/>
    <x v="359"/>
    <n v="148.79"/>
    <n v="2"/>
    <n v="432.54"/>
    <x v="409"/>
    <x v="1"/>
    <x v="2"/>
    <x v="0"/>
    <n v="283.75"/>
    <n v="197.18"/>
  </r>
  <r>
    <s v="2025-01-07"/>
    <x v="0"/>
    <x v="0"/>
    <x v="246"/>
    <n v="93"/>
    <n v="1"/>
    <n v="98.9"/>
    <x v="61"/>
    <x v="2"/>
    <x v="0"/>
    <x v="0"/>
    <n v="5.9000000000000057"/>
    <n v="95.51"/>
  </r>
  <r>
    <s v="2024-12-11"/>
    <x v="3"/>
    <x v="3"/>
    <x v="82"/>
    <n v="94.85"/>
    <n v="9"/>
    <n v="44.77"/>
    <x v="72"/>
    <x v="1"/>
    <x v="3"/>
    <x v="0"/>
    <n v="-50.079999999999991"/>
    <n v="122.6"/>
  </r>
  <r>
    <s v="2025-02-16"/>
    <x v="5"/>
    <x v="2"/>
    <x v="28"/>
    <n v="120.16"/>
    <n v="4"/>
    <n v="355.95"/>
    <x v="41"/>
    <x v="2"/>
    <x v="0"/>
    <x v="0"/>
    <n v="235.79"/>
    <n v="125.25"/>
  </r>
  <r>
    <s v="2025-01-31"/>
    <x v="0"/>
    <x v="2"/>
    <x v="505"/>
    <n v="141.85"/>
    <n v="5"/>
    <n v="58.37"/>
    <x v="74"/>
    <x v="0"/>
    <x v="2"/>
    <x v="0"/>
    <n v="-83.47999999999999"/>
    <n v="138.30000000000001"/>
  </r>
  <r>
    <s v="2025-02-23"/>
    <x v="5"/>
    <x v="0"/>
    <x v="39"/>
    <n v="71.17"/>
    <n v="7"/>
    <n v="322.83999999999997"/>
    <x v="119"/>
    <x v="0"/>
    <x v="2"/>
    <x v="0"/>
    <n v="251.66999999999996"/>
    <n v="131.72999999999999"/>
  </r>
  <r>
    <s v="2024-12-29"/>
    <x v="3"/>
    <x v="3"/>
    <x v="753"/>
    <n v="27.82"/>
    <n v="2"/>
    <n v="163.86"/>
    <x v="200"/>
    <x v="1"/>
    <x v="2"/>
    <x v="0"/>
    <n v="136.04000000000002"/>
    <n v="178.76"/>
  </r>
  <r>
    <s v="2024-11-09"/>
    <x v="4"/>
    <x v="3"/>
    <x v="590"/>
    <n v="7.16"/>
    <n v="10"/>
    <n v="116.33"/>
    <x v="292"/>
    <x v="0"/>
    <x v="1"/>
    <x v="0"/>
    <n v="109.17"/>
    <n v="148.44999999999999"/>
  </r>
  <r>
    <s v="2024-12-21"/>
    <x v="3"/>
    <x v="2"/>
    <x v="371"/>
    <n v="92.24"/>
    <n v="9"/>
    <n v="78.72"/>
    <x v="355"/>
    <x v="2"/>
    <x v="1"/>
    <x v="0"/>
    <n v="-13.519999999999996"/>
    <n v="102.26"/>
  </r>
  <r>
    <s v="2025-04-17"/>
    <x v="2"/>
    <x v="3"/>
    <x v="428"/>
    <n v="131.05000000000001"/>
    <n v="2"/>
    <n v="386.31"/>
    <x v="3"/>
    <x v="2"/>
    <x v="2"/>
    <x v="0"/>
    <n v="255.26"/>
    <n v="142.24"/>
  </r>
  <r>
    <s v="2025-03-24"/>
    <x v="1"/>
    <x v="0"/>
    <x v="589"/>
    <n v="138.63"/>
    <n v="7"/>
    <n v="405.61"/>
    <x v="80"/>
    <x v="1"/>
    <x v="1"/>
    <x v="0"/>
    <n v="266.98"/>
    <n v="149.78"/>
  </r>
  <r>
    <s v="2024-12-22"/>
    <x v="3"/>
    <x v="2"/>
    <x v="206"/>
    <n v="113.63"/>
    <n v="0"/>
    <n v="469.28"/>
    <x v="23"/>
    <x v="0"/>
    <x v="5"/>
    <x v="1"/>
    <n v="355.65"/>
    <n v="121.57"/>
  </r>
  <r>
    <s v="2024-11-05"/>
    <x v="4"/>
    <x v="0"/>
    <x v="263"/>
    <n v="110.62"/>
    <n v="1"/>
    <n v="328.87"/>
    <x v="381"/>
    <x v="0"/>
    <x v="1"/>
    <x v="0"/>
    <n v="218.25"/>
    <n v="147.61000000000001"/>
  </r>
  <r>
    <s v="2025-01-26"/>
    <x v="0"/>
    <x v="0"/>
    <x v="754"/>
    <n v="145.69999999999999"/>
    <n v="8"/>
    <n v="186.89"/>
    <x v="410"/>
    <x v="1"/>
    <x v="1"/>
    <x v="0"/>
    <n v="41.19"/>
    <n v="99.27"/>
  </r>
  <r>
    <s v="2025-02-13"/>
    <x v="5"/>
    <x v="3"/>
    <x v="187"/>
    <n v="24.14"/>
    <n v="8"/>
    <n v="452.79"/>
    <x v="411"/>
    <x v="1"/>
    <x v="1"/>
    <x v="0"/>
    <n v="428.65000000000003"/>
    <n v="201.6"/>
  </r>
  <r>
    <s v="2024-11-08"/>
    <x v="4"/>
    <x v="1"/>
    <x v="526"/>
    <n v="116.09"/>
    <n v="10"/>
    <n v="155.1"/>
    <x v="412"/>
    <x v="0"/>
    <x v="1"/>
    <x v="0"/>
    <n v="39.009999999999991"/>
    <n v="117.27"/>
  </r>
  <r>
    <s v="2024-12-16"/>
    <x v="3"/>
    <x v="3"/>
    <x v="223"/>
    <n v="128.46"/>
    <n v="7"/>
    <n v="460.16"/>
    <x v="187"/>
    <x v="1"/>
    <x v="1"/>
    <x v="0"/>
    <n v="331.70000000000005"/>
    <n v="163.41999999999999"/>
  </r>
  <r>
    <s v="2025-03-18"/>
    <x v="1"/>
    <x v="0"/>
    <x v="144"/>
    <n v="28.12"/>
    <n v="4"/>
    <n v="255.71"/>
    <x v="9"/>
    <x v="0"/>
    <x v="5"/>
    <x v="0"/>
    <n v="227.59"/>
    <n v="127.51"/>
  </r>
  <r>
    <s v="2024-11-21"/>
    <x v="4"/>
    <x v="3"/>
    <x v="716"/>
    <n v="9.34"/>
    <n v="0"/>
    <n v="269.88"/>
    <x v="114"/>
    <x v="1"/>
    <x v="2"/>
    <x v="1"/>
    <n v="260.54000000000002"/>
    <n v="135.97999999999999"/>
  </r>
  <r>
    <s v="2024-12-12"/>
    <x v="3"/>
    <x v="1"/>
    <x v="106"/>
    <n v="83.19"/>
    <n v="7"/>
    <n v="336.86"/>
    <x v="413"/>
    <x v="1"/>
    <x v="1"/>
    <x v="0"/>
    <n v="253.67000000000002"/>
    <n v="152.86000000000001"/>
  </r>
  <r>
    <s v="2024-11-15"/>
    <x v="4"/>
    <x v="1"/>
    <x v="395"/>
    <n v="146.86000000000001"/>
    <n v="2"/>
    <n v="463.69"/>
    <x v="80"/>
    <x v="2"/>
    <x v="5"/>
    <x v="0"/>
    <n v="316.83"/>
    <n v="145.04"/>
  </r>
  <r>
    <s v="2025-02-18"/>
    <x v="5"/>
    <x v="2"/>
    <x v="644"/>
    <n v="30.38"/>
    <n v="1"/>
    <n v="173.46"/>
    <x v="260"/>
    <x v="1"/>
    <x v="1"/>
    <x v="0"/>
    <n v="143.08000000000001"/>
    <n v="124.9"/>
  </r>
  <r>
    <s v="2024-11-25"/>
    <x v="4"/>
    <x v="3"/>
    <x v="755"/>
    <n v="24.14"/>
    <n v="1"/>
    <n v="435.99"/>
    <x v="317"/>
    <x v="0"/>
    <x v="4"/>
    <x v="0"/>
    <n v="411.85"/>
    <n v="93.59"/>
  </r>
  <r>
    <s v="2025-03-22"/>
    <x v="1"/>
    <x v="3"/>
    <x v="420"/>
    <n v="111.35"/>
    <n v="1"/>
    <n v="279.75"/>
    <x v="414"/>
    <x v="0"/>
    <x v="3"/>
    <x v="0"/>
    <n v="168.4"/>
    <n v="130.25"/>
  </r>
  <r>
    <s v="2024-12-27"/>
    <x v="3"/>
    <x v="2"/>
    <x v="659"/>
    <n v="38.07"/>
    <n v="9"/>
    <n v="66.94"/>
    <x v="45"/>
    <x v="0"/>
    <x v="0"/>
    <x v="0"/>
    <n v="28.869999999999997"/>
    <n v="107.85"/>
  </r>
  <r>
    <s v="2025-01-24"/>
    <x v="0"/>
    <x v="0"/>
    <x v="146"/>
    <n v="149.38"/>
    <n v="6"/>
    <n v="149.22999999999999"/>
    <x v="0"/>
    <x v="2"/>
    <x v="2"/>
    <x v="0"/>
    <n v="-0.15000000000000568"/>
    <n v="111.39"/>
  </r>
  <r>
    <s v="2025-02-20"/>
    <x v="5"/>
    <x v="3"/>
    <x v="756"/>
    <n v="91.73"/>
    <n v="7"/>
    <n v="80.37"/>
    <x v="63"/>
    <x v="2"/>
    <x v="2"/>
    <x v="0"/>
    <n v="-11.36"/>
    <n v="124.61"/>
  </r>
  <r>
    <s v="2024-11-27"/>
    <x v="4"/>
    <x v="1"/>
    <x v="6"/>
    <n v="121.62"/>
    <n v="10"/>
    <n v="57.75"/>
    <x v="210"/>
    <x v="0"/>
    <x v="1"/>
    <x v="0"/>
    <n v="-63.870000000000005"/>
    <n v="126.24"/>
  </r>
  <r>
    <s v="2025-01-12"/>
    <x v="0"/>
    <x v="2"/>
    <x v="524"/>
    <n v="139.31"/>
    <n v="3"/>
    <n v="207.84"/>
    <x v="43"/>
    <x v="1"/>
    <x v="1"/>
    <x v="0"/>
    <n v="68.53"/>
    <n v="140.44999999999999"/>
  </r>
  <r>
    <s v="2025-03-20"/>
    <x v="1"/>
    <x v="0"/>
    <x v="757"/>
    <n v="142.69"/>
    <n v="0"/>
    <n v="95.87"/>
    <x v="79"/>
    <x v="2"/>
    <x v="3"/>
    <x v="1"/>
    <n v="-46.819999999999993"/>
    <n v="137.26"/>
  </r>
  <r>
    <s v="2025-01-11"/>
    <x v="0"/>
    <x v="1"/>
    <x v="758"/>
    <n v="51.82"/>
    <n v="2"/>
    <n v="151.19"/>
    <x v="67"/>
    <x v="1"/>
    <x v="5"/>
    <x v="0"/>
    <n v="99.37"/>
    <n v="112.52"/>
  </r>
  <r>
    <s v="2025-01-15"/>
    <x v="0"/>
    <x v="3"/>
    <x v="482"/>
    <n v="46.04"/>
    <n v="7"/>
    <n v="142.79"/>
    <x v="60"/>
    <x v="2"/>
    <x v="3"/>
    <x v="0"/>
    <n v="96.75"/>
    <n v="124.91"/>
  </r>
  <r>
    <s v="2024-12-19"/>
    <x v="3"/>
    <x v="1"/>
    <x v="759"/>
    <n v="140.22"/>
    <n v="0"/>
    <n v="24.35"/>
    <x v="190"/>
    <x v="2"/>
    <x v="5"/>
    <x v="1"/>
    <n v="-115.87"/>
    <n v="112.03"/>
  </r>
  <r>
    <s v="2024-11-25"/>
    <x v="4"/>
    <x v="2"/>
    <x v="760"/>
    <n v="44.92"/>
    <n v="6"/>
    <n v="278.04000000000002"/>
    <x v="121"/>
    <x v="1"/>
    <x v="5"/>
    <x v="0"/>
    <n v="233.12"/>
    <n v="138.36000000000001"/>
  </r>
  <r>
    <s v="2025-04-13"/>
    <x v="2"/>
    <x v="0"/>
    <x v="359"/>
    <n v="129.32"/>
    <n v="9"/>
    <n v="33.619999999999997"/>
    <x v="194"/>
    <x v="2"/>
    <x v="2"/>
    <x v="0"/>
    <n v="-95.699999999999989"/>
    <n v="123.96"/>
  </r>
  <r>
    <s v="2024-11-04"/>
    <x v="4"/>
    <x v="3"/>
    <x v="530"/>
    <n v="106.4"/>
    <n v="10"/>
    <n v="369.76"/>
    <x v="407"/>
    <x v="0"/>
    <x v="2"/>
    <x v="0"/>
    <n v="263.36"/>
    <n v="151.93"/>
  </r>
  <r>
    <s v="2025-03-09"/>
    <x v="1"/>
    <x v="2"/>
    <x v="761"/>
    <n v="17.98"/>
    <n v="4"/>
    <n v="277.61"/>
    <x v="249"/>
    <x v="1"/>
    <x v="0"/>
    <x v="0"/>
    <n v="259.63"/>
    <n v="125.1"/>
  </r>
  <r>
    <s v="2025-04-08"/>
    <x v="2"/>
    <x v="1"/>
    <x v="71"/>
    <n v="128.38"/>
    <n v="6"/>
    <n v="299.18"/>
    <x v="222"/>
    <x v="1"/>
    <x v="4"/>
    <x v="0"/>
    <n v="170.8"/>
    <n v="118.42"/>
  </r>
  <r>
    <s v="2025-04-10"/>
    <x v="2"/>
    <x v="2"/>
    <x v="762"/>
    <n v="88.33"/>
    <n v="5"/>
    <n v="463.54"/>
    <x v="2"/>
    <x v="0"/>
    <x v="1"/>
    <x v="0"/>
    <n v="375.21000000000004"/>
    <n v="143.09"/>
  </r>
  <r>
    <s v="2024-11-12"/>
    <x v="4"/>
    <x v="0"/>
    <x v="360"/>
    <n v="148.5"/>
    <n v="10"/>
    <n v="330.58"/>
    <x v="102"/>
    <x v="2"/>
    <x v="0"/>
    <x v="0"/>
    <n v="182.07999999999998"/>
    <n v="127.29"/>
  </r>
  <r>
    <s v="2025-02-14"/>
    <x v="5"/>
    <x v="3"/>
    <x v="171"/>
    <n v="69.8"/>
    <n v="3"/>
    <n v="336.26"/>
    <x v="231"/>
    <x v="0"/>
    <x v="2"/>
    <x v="0"/>
    <n v="266.45999999999998"/>
    <n v="144.80000000000001"/>
  </r>
  <r>
    <s v="2025-01-22"/>
    <x v="0"/>
    <x v="3"/>
    <x v="164"/>
    <n v="76.3"/>
    <n v="9"/>
    <n v="201.13"/>
    <x v="52"/>
    <x v="2"/>
    <x v="1"/>
    <x v="0"/>
    <n v="124.83"/>
    <n v="116.42"/>
  </r>
  <r>
    <s v="2024-11-23"/>
    <x v="4"/>
    <x v="0"/>
    <x v="688"/>
    <n v="79.430000000000007"/>
    <n v="1"/>
    <n v="294.58"/>
    <x v="187"/>
    <x v="0"/>
    <x v="2"/>
    <x v="0"/>
    <n v="215.14999999999998"/>
    <n v="165.26"/>
  </r>
  <r>
    <s v="2025-01-02"/>
    <x v="0"/>
    <x v="0"/>
    <x v="204"/>
    <n v="21.81"/>
    <n v="7"/>
    <n v="468.23"/>
    <x v="112"/>
    <x v="0"/>
    <x v="3"/>
    <x v="0"/>
    <n v="446.42"/>
    <n v="146.93"/>
  </r>
  <r>
    <s v="2024-11-30"/>
    <x v="4"/>
    <x v="2"/>
    <x v="290"/>
    <n v="50.54"/>
    <n v="0"/>
    <n v="499.37"/>
    <x v="24"/>
    <x v="0"/>
    <x v="1"/>
    <x v="1"/>
    <n v="448.83"/>
    <n v="114.62"/>
  </r>
  <r>
    <s v="2025-03-04"/>
    <x v="1"/>
    <x v="0"/>
    <x v="329"/>
    <n v="104.88"/>
    <n v="2"/>
    <n v="355.72"/>
    <x v="43"/>
    <x v="1"/>
    <x v="2"/>
    <x v="0"/>
    <n v="250.84000000000003"/>
    <n v="140.41999999999999"/>
  </r>
  <r>
    <s v="2024-11-10"/>
    <x v="4"/>
    <x v="0"/>
    <x v="327"/>
    <n v="138.9"/>
    <n v="3"/>
    <n v="447.74"/>
    <x v="16"/>
    <x v="0"/>
    <x v="2"/>
    <x v="0"/>
    <n v="308.84000000000003"/>
    <n v="150"/>
  </r>
  <r>
    <s v="2024-11-17"/>
    <x v="4"/>
    <x v="0"/>
    <x v="486"/>
    <n v="89.52"/>
    <n v="9"/>
    <n v="486.67"/>
    <x v="97"/>
    <x v="0"/>
    <x v="1"/>
    <x v="0"/>
    <n v="397.15000000000003"/>
    <n v="120.26"/>
  </r>
  <r>
    <s v="2024-11-05"/>
    <x v="4"/>
    <x v="3"/>
    <x v="763"/>
    <n v="77.959999999999994"/>
    <n v="1"/>
    <n v="357.96"/>
    <x v="84"/>
    <x v="0"/>
    <x v="0"/>
    <x v="0"/>
    <n v="280"/>
    <n v="107.14"/>
  </r>
  <r>
    <s v="2025-01-06"/>
    <x v="0"/>
    <x v="0"/>
    <x v="561"/>
    <n v="34.39"/>
    <n v="0"/>
    <n v="295.18"/>
    <x v="392"/>
    <x v="0"/>
    <x v="1"/>
    <x v="1"/>
    <n v="260.79000000000002"/>
    <n v="126.04"/>
  </r>
  <r>
    <s v="2024-11-02"/>
    <x v="4"/>
    <x v="1"/>
    <x v="230"/>
    <n v="67.34"/>
    <n v="7"/>
    <n v="238.2"/>
    <x v="2"/>
    <x v="1"/>
    <x v="2"/>
    <x v="0"/>
    <n v="170.85999999999999"/>
    <n v="136.29"/>
  </r>
  <r>
    <s v="2025-03-22"/>
    <x v="1"/>
    <x v="2"/>
    <x v="247"/>
    <n v="134.72999999999999"/>
    <n v="3"/>
    <n v="303.48"/>
    <x v="9"/>
    <x v="0"/>
    <x v="0"/>
    <x v="0"/>
    <n v="168.75000000000003"/>
    <n v="123.61"/>
  </r>
  <r>
    <s v="2025-03-03"/>
    <x v="1"/>
    <x v="1"/>
    <x v="164"/>
    <n v="106.15"/>
    <n v="6"/>
    <n v="292.92"/>
    <x v="269"/>
    <x v="0"/>
    <x v="0"/>
    <x v="0"/>
    <n v="186.77"/>
    <n v="167.03"/>
  </r>
  <r>
    <s v="2024-11-01"/>
    <x v="4"/>
    <x v="3"/>
    <x v="447"/>
    <n v="13.44"/>
    <n v="0"/>
    <n v="322.29000000000002"/>
    <x v="217"/>
    <x v="1"/>
    <x v="0"/>
    <x v="1"/>
    <n v="308.85000000000002"/>
    <n v="145.91999999999999"/>
  </r>
  <r>
    <s v="2025-02-01"/>
    <x v="5"/>
    <x v="2"/>
    <x v="764"/>
    <n v="116.07"/>
    <n v="2"/>
    <n v="482.68"/>
    <x v="415"/>
    <x v="1"/>
    <x v="3"/>
    <x v="0"/>
    <n v="366.61"/>
    <n v="151.03"/>
  </r>
  <r>
    <s v="2024-12-29"/>
    <x v="3"/>
    <x v="0"/>
    <x v="705"/>
    <n v="91.25"/>
    <n v="2"/>
    <n v="452.12"/>
    <x v="292"/>
    <x v="0"/>
    <x v="0"/>
    <x v="0"/>
    <n v="360.87"/>
    <n v="152.04"/>
  </r>
  <r>
    <s v="2025-01-16"/>
    <x v="0"/>
    <x v="1"/>
    <x v="280"/>
    <n v="50.51"/>
    <n v="7"/>
    <n v="176.07"/>
    <x v="2"/>
    <x v="2"/>
    <x v="2"/>
    <x v="0"/>
    <n v="125.56"/>
    <n v="139.83000000000001"/>
  </r>
  <r>
    <s v="2024-12-30"/>
    <x v="3"/>
    <x v="0"/>
    <x v="765"/>
    <n v="13.99"/>
    <n v="4"/>
    <n v="129.28"/>
    <x v="150"/>
    <x v="2"/>
    <x v="4"/>
    <x v="0"/>
    <n v="115.29"/>
    <n v="141.5"/>
  </r>
  <r>
    <s v="2024-11-29"/>
    <x v="4"/>
    <x v="1"/>
    <x v="766"/>
    <n v="113.51"/>
    <n v="6"/>
    <n v="455.85"/>
    <x v="105"/>
    <x v="0"/>
    <x v="3"/>
    <x v="0"/>
    <n v="342.34000000000003"/>
    <n v="122.03"/>
  </r>
  <r>
    <s v="2024-11-28"/>
    <x v="4"/>
    <x v="3"/>
    <x v="767"/>
    <n v="126.36"/>
    <n v="3"/>
    <n v="361.02"/>
    <x v="119"/>
    <x v="1"/>
    <x v="2"/>
    <x v="0"/>
    <n v="234.65999999999997"/>
    <n v="140.66"/>
  </r>
  <r>
    <s v="2025-01-04"/>
    <x v="0"/>
    <x v="0"/>
    <x v="699"/>
    <n v="16.670000000000002"/>
    <n v="3"/>
    <n v="336.7"/>
    <x v="85"/>
    <x v="1"/>
    <x v="2"/>
    <x v="0"/>
    <n v="320.02999999999997"/>
    <n v="122.87"/>
  </r>
  <r>
    <s v="2025-02-09"/>
    <x v="5"/>
    <x v="2"/>
    <x v="402"/>
    <n v="125.23"/>
    <n v="10"/>
    <n v="239.91"/>
    <x v="36"/>
    <x v="0"/>
    <x v="1"/>
    <x v="0"/>
    <n v="114.67999999999999"/>
    <n v="142.78"/>
  </r>
  <r>
    <s v="2025-03-09"/>
    <x v="1"/>
    <x v="1"/>
    <x v="306"/>
    <n v="65.63"/>
    <n v="1"/>
    <n v="225.47"/>
    <x v="416"/>
    <x v="2"/>
    <x v="4"/>
    <x v="0"/>
    <n v="159.84"/>
    <n v="111.67"/>
  </r>
  <r>
    <s v="2024-12-21"/>
    <x v="3"/>
    <x v="2"/>
    <x v="262"/>
    <n v="107.68"/>
    <n v="10"/>
    <n v="183.58"/>
    <x v="212"/>
    <x v="0"/>
    <x v="2"/>
    <x v="0"/>
    <n v="75.900000000000006"/>
    <n v="114.69"/>
  </r>
  <r>
    <s v="2025-03-31"/>
    <x v="1"/>
    <x v="3"/>
    <x v="485"/>
    <n v="139.12"/>
    <n v="2"/>
    <n v="290.02999999999997"/>
    <x v="42"/>
    <x v="2"/>
    <x v="3"/>
    <x v="0"/>
    <n v="150.90999999999997"/>
    <n v="135.18"/>
  </r>
  <r>
    <s v="2024-11-14"/>
    <x v="4"/>
    <x v="1"/>
    <x v="647"/>
    <n v="109.57"/>
    <n v="4"/>
    <n v="327.45"/>
    <x v="59"/>
    <x v="1"/>
    <x v="5"/>
    <x v="0"/>
    <n v="217.88"/>
    <n v="142.41999999999999"/>
  </r>
  <r>
    <s v="2024-12-10"/>
    <x v="3"/>
    <x v="3"/>
    <x v="559"/>
    <n v="126.49"/>
    <n v="6"/>
    <n v="76.66"/>
    <x v="45"/>
    <x v="0"/>
    <x v="5"/>
    <x v="0"/>
    <n v="-49.83"/>
    <n v="108.18"/>
  </r>
  <r>
    <s v="2025-03-08"/>
    <x v="1"/>
    <x v="1"/>
    <x v="768"/>
    <n v="74.16"/>
    <n v="8"/>
    <n v="103.16"/>
    <x v="72"/>
    <x v="0"/>
    <x v="1"/>
    <x v="0"/>
    <n v="29"/>
    <n v="120.63"/>
  </r>
  <r>
    <s v="2025-03-11"/>
    <x v="1"/>
    <x v="2"/>
    <x v="292"/>
    <n v="45.97"/>
    <n v="0"/>
    <n v="264.75"/>
    <x v="23"/>
    <x v="2"/>
    <x v="1"/>
    <x v="1"/>
    <n v="218.78"/>
    <n v="127.13"/>
  </r>
  <r>
    <s v="2024-12-16"/>
    <x v="3"/>
    <x v="2"/>
    <x v="140"/>
    <n v="125.68"/>
    <n v="10"/>
    <n v="229.67"/>
    <x v="179"/>
    <x v="2"/>
    <x v="1"/>
    <x v="0"/>
    <n v="103.98999999999998"/>
    <n v="123.55"/>
  </r>
  <r>
    <s v="2025-04-07"/>
    <x v="2"/>
    <x v="0"/>
    <x v="106"/>
    <n v="22.88"/>
    <n v="10"/>
    <n v="298.23"/>
    <x v="417"/>
    <x v="0"/>
    <x v="2"/>
    <x v="0"/>
    <n v="275.35000000000002"/>
    <n v="182.25"/>
  </r>
  <r>
    <s v="2025-02-06"/>
    <x v="5"/>
    <x v="3"/>
    <x v="769"/>
    <n v="127.5"/>
    <n v="2"/>
    <n v="117.63"/>
    <x v="160"/>
    <x v="2"/>
    <x v="2"/>
    <x v="0"/>
    <n v="-9.8700000000000045"/>
    <n v="110.09"/>
  </r>
  <r>
    <s v="2025-03-25"/>
    <x v="1"/>
    <x v="0"/>
    <x v="770"/>
    <n v="35.15"/>
    <n v="3"/>
    <n v="170.46"/>
    <x v="418"/>
    <x v="1"/>
    <x v="4"/>
    <x v="0"/>
    <n v="135.31"/>
    <n v="97.16"/>
  </r>
  <r>
    <s v="2024-11-28"/>
    <x v="4"/>
    <x v="0"/>
    <x v="671"/>
    <n v="84.45"/>
    <n v="3"/>
    <n v="320.23"/>
    <x v="24"/>
    <x v="2"/>
    <x v="1"/>
    <x v="0"/>
    <n v="235.78000000000003"/>
    <n v="123.88"/>
  </r>
  <r>
    <s v="2025-03-21"/>
    <x v="1"/>
    <x v="0"/>
    <x v="742"/>
    <n v="105.6"/>
    <n v="10"/>
    <n v="193.33"/>
    <x v="92"/>
    <x v="0"/>
    <x v="1"/>
    <x v="0"/>
    <n v="87.730000000000018"/>
    <n v="131.65"/>
  </r>
  <r>
    <s v="2025-04-23"/>
    <x v="2"/>
    <x v="3"/>
    <x v="533"/>
    <n v="88.87"/>
    <n v="3"/>
    <n v="421.6"/>
    <x v="328"/>
    <x v="2"/>
    <x v="0"/>
    <x v="0"/>
    <n v="332.73"/>
    <n v="121.67"/>
  </r>
  <r>
    <s v="2025-01-28"/>
    <x v="0"/>
    <x v="0"/>
    <x v="383"/>
    <n v="33.880000000000003"/>
    <n v="8"/>
    <n v="217.34"/>
    <x v="280"/>
    <x v="1"/>
    <x v="0"/>
    <x v="0"/>
    <n v="183.46"/>
    <n v="157.5"/>
  </r>
  <r>
    <s v="2025-04-13"/>
    <x v="2"/>
    <x v="1"/>
    <x v="151"/>
    <n v="79.95"/>
    <n v="3"/>
    <n v="222.49"/>
    <x v="60"/>
    <x v="0"/>
    <x v="4"/>
    <x v="0"/>
    <n v="142.54000000000002"/>
    <n v="119.95"/>
  </r>
  <r>
    <s v="2025-04-13"/>
    <x v="2"/>
    <x v="3"/>
    <x v="457"/>
    <n v="31.89"/>
    <n v="8"/>
    <n v="43.55"/>
    <x v="4"/>
    <x v="0"/>
    <x v="3"/>
    <x v="0"/>
    <n v="11.659999999999997"/>
    <n v="122.16"/>
  </r>
  <r>
    <s v="2024-12-22"/>
    <x v="3"/>
    <x v="1"/>
    <x v="679"/>
    <n v="67.56"/>
    <n v="2"/>
    <n v="358.79"/>
    <x v="74"/>
    <x v="0"/>
    <x v="5"/>
    <x v="0"/>
    <n v="291.23"/>
    <n v="137"/>
  </r>
  <r>
    <s v="2025-04-10"/>
    <x v="2"/>
    <x v="1"/>
    <x v="81"/>
    <n v="46.54"/>
    <n v="7"/>
    <n v="429.84"/>
    <x v="367"/>
    <x v="0"/>
    <x v="4"/>
    <x v="0"/>
    <n v="383.29999999999995"/>
    <n v="141.96"/>
  </r>
  <r>
    <s v="2024-11-23"/>
    <x v="4"/>
    <x v="3"/>
    <x v="97"/>
    <n v="128.59"/>
    <n v="5"/>
    <n v="100.8"/>
    <x v="205"/>
    <x v="0"/>
    <x v="1"/>
    <x v="0"/>
    <n v="-27.790000000000006"/>
    <n v="137.57"/>
  </r>
  <r>
    <s v="2025-03-23"/>
    <x v="1"/>
    <x v="0"/>
    <x v="463"/>
    <n v="61.53"/>
    <n v="4"/>
    <n v="185.31"/>
    <x v="32"/>
    <x v="0"/>
    <x v="2"/>
    <x v="0"/>
    <n v="123.78"/>
    <n v="157"/>
  </r>
  <r>
    <s v="2025-02-22"/>
    <x v="5"/>
    <x v="1"/>
    <x v="339"/>
    <n v="140.86000000000001"/>
    <n v="6"/>
    <n v="236.44"/>
    <x v="91"/>
    <x v="2"/>
    <x v="2"/>
    <x v="0"/>
    <n v="95.579999999999984"/>
    <n v="131.99"/>
  </r>
  <r>
    <s v="2025-02-16"/>
    <x v="5"/>
    <x v="0"/>
    <x v="732"/>
    <n v="146.79"/>
    <n v="7"/>
    <n v="260.86"/>
    <x v="389"/>
    <x v="2"/>
    <x v="2"/>
    <x v="0"/>
    <n v="114.07000000000002"/>
    <n v="160.61000000000001"/>
  </r>
  <r>
    <s v="2025-02-17"/>
    <x v="5"/>
    <x v="2"/>
    <x v="330"/>
    <n v="96.95"/>
    <n v="7"/>
    <n v="230.56"/>
    <x v="338"/>
    <x v="2"/>
    <x v="2"/>
    <x v="0"/>
    <n v="133.61000000000001"/>
    <n v="118.7"/>
  </r>
  <r>
    <s v="2024-12-21"/>
    <x v="3"/>
    <x v="0"/>
    <x v="392"/>
    <n v="122.75"/>
    <n v="5"/>
    <n v="57.51"/>
    <x v="419"/>
    <x v="2"/>
    <x v="5"/>
    <x v="0"/>
    <n v="-65.240000000000009"/>
    <n v="48.08"/>
  </r>
  <r>
    <s v="2024-12-14"/>
    <x v="3"/>
    <x v="3"/>
    <x v="315"/>
    <n v="67.78"/>
    <n v="2"/>
    <n v="318.95"/>
    <x v="232"/>
    <x v="1"/>
    <x v="1"/>
    <x v="0"/>
    <n v="251.17"/>
    <n v="124.88"/>
  </r>
  <r>
    <s v="2025-01-04"/>
    <x v="0"/>
    <x v="3"/>
    <x v="604"/>
    <n v="22.84"/>
    <n v="0"/>
    <n v="29.1"/>
    <x v="277"/>
    <x v="0"/>
    <x v="2"/>
    <x v="1"/>
    <n v="6.2600000000000016"/>
    <n v="102.94"/>
  </r>
  <r>
    <s v="2025-04-17"/>
    <x v="2"/>
    <x v="3"/>
    <x v="452"/>
    <n v="115.23"/>
    <n v="8"/>
    <n v="294.18"/>
    <x v="383"/>
    <x v="2"/>
    <x v="1"/>
    <x v="0"/>
    <n v="178.95"/>
    <n v="162.12"/>
  </r>
  <r>
    <s v="2025-04-14"/>
    <x v="2"/>
    <x v="0"/>
    <x v="771"/>
    <n v="94.43"/>
    <n v="1"/>
    <n v="338.31"/>
    <x v="173"/>
    <x v="0"/>
    <x v="1"/>
    <x v="0"/>
    <n v="243.88"/>
    <n v="168.48"/>
  </r>
  <r>
    <s v="2025-04-24"/>
    <x v="2"/>
    <x v="2"/>
    <x v="556"/>
    <n v="98.1"/>
    <n v="7"/>
    <n v="103.35"/>
    <x v="395"/>
    <x v="0"/>
    <x v="2"/>
    <x v="0"/>
    <n v="5.25"/>
    <n v="82.81"/>
  </r>
  <r>
    <s v="2025-01-01"/>
    <x v="0"/>
    <x v="0"/>
    <x v="89"/>
    <n v="34.21"/>
    <n v="2"/>
    <n v="477.13"/>
    <x v="150"/>
    <x v="2"/>
    <x v="0"/>
    <x v="0"/>
    <n v="442.92"/>
    <n v="143.91999999999999"/>
  </r>
  <r>
    <s v="2025-01-20"/>
    <x v="0"/>
    <x v="2"/>
    <x v="735"/>
    <n v="144.09"/>
    <n v="9"/>
    <n v="431.83"/>
    <x v="2"/>
    <x v="1"/>
    <x v="4"/>
    <x v="0"/>
    <n v="287.74"/>
    <n v="137.30000000000001"/>
  </r>
  <r>
    <s v="2025-02-27"/>
    <x v="5"/>
    <x v="3"/>
    <x v="732"/>
    <n v="95.23"/>
    <n v="9"/>
    <n v="57"/>
    <x v="420"/>
    <x v="0"/>
    <x v="1"/>
    <x v="0"/>
    <n v="-38.230000000000004"/>
    <n v="58.24"/>
  </r>
  <r>
    <s v="2025-01-18"/>
    <x v="0"/>
    <x v="0"/>
    <x v="39"/>
    <n v="149.62"/>
    <n v="0"/>
    <n v="156.4"/>
    <x v="233"/>
    <x v="2"/>
    <x v="2"/>
    <x v="1"/>
    <n v="6.7800000000000011"/>
    <n v="117.59"/>
  </r>
  <r>
    <s v="2025-04-08"/>
    <x v="2"/>
    <x v="3"/>
    <x v="493"/>
    <n v="116.83"/>
    <n v="4"/>
    <n v="294.06"/>
    <x v="191"/>
    <x v="2"/>
    <x v="2"/>
    <x v="0"/>
    <n v="177.23000000000002"/>
    <n v="148.87"/>
  </r>
  <r>
    <s v="2025-01-28"/>
    <x v="0"/>
    <x v="1"/>
    <x v="539"/>
    <n v="44.62"/>
    <n v="8"/>
    <n v="231.98"/>
    <x v="130"/>
    <x v="1"/>
    <x v="2"/>
    <x v="0"/>
    <n v="187.35999999999999"/>
    <n v="144.41"/>
  </r>
  <r>
    <s v="2025-03-03"/>
    <x v="1"/>
    <x v="1"/>
    <x v="161"/>
    <n v="96.79"/>
    <n v="9"/>
    <n v="149.77000000000001"/>
    <x v="57"/>
    <x v="0"/>
    <x v="1"/>
    <x v="0"/>
    <n v="52.980000000000004"/>
    <n v="114.73"/>
  </r>
  <r>
    <s v="2024-11-03"/>
    <x v="4"/>
    <x v="1"/>
    <x v="221"/>
    <n v="96.44"/>
    <n v="3"/>
    <n v="171.74"/>
    <x v="286"/>
    <x v="2"/>
    <x v="2"/>
    <x v="0"/>
    <n v="75.300000000000011"/>
    <n v="69.98"/>
  </r>
  <r>
    <s v="2025-04-18"/>
    <x v="2"/>
    <x v="0"/>
    <x v="263"/>
    <n v="122.97"/>
    <n v="4"/>
    <n v="449.16"/>
    <x v="3"/>
    <x v="2"/>
    <x v="5"/>
    <x v="0"/>
    <n v="326.19000000000005"/>
    <n v="139.18"/>
  </r>
  <r>
    <s v="2024-11-16"/>
    <x v="4"/>
    <x v="1"/>
    <x v="694"/>
    <n v="6.82"/>
    <n v="6"/>
    <n v="343.02"/>
    <x v="8"/>
    <x v="1"/>
    <x v="2"/>
    <x v="0"/>
    <n v="336.2"/>
    <n v="120.77"/>
  </r>
  <r>
    <s v="2024-11-30"/>
    <x v="4"/>
    <x v="0"/>
    <x v="528"/>
    <n v="61.51"/>
    <n v="5"/>
    <n v="452.65"/>
    <x v="105"/>
    <x v="1"/>
    <x v="4"/>
    <x v="0"/>
    <n v="391.14"/>
    <n v="118.3"/>
  </r>
  <r>
    <s v="2025-03-10"/>
    <x v="1"/>
    <x v="1"/>
    <x v="772"/>
    <n v="67.239999999999995"/>
    <n v="1"/>
    <n v="388.12"/>
    <x v="191"/>
    <x v="0"/>
    <x v="1"/>
    <x v="0"/>
    <n v="320.88"/>
    <n v="155.03"/>
  </r>
  <r>
    <s v="2025-01-24"/>
    <x v="0"/>
    <x v="2"/>
    <x v="203"/>
    <n v="24.1"/>
    <n v="9"/>
    <n v="296.91000000000003"/>
    <x v="222"/>
    <x v="1"/>
    <x v="1"/>
    <x v="0"/>
    <n v="272.81"/>
    <n v="108.61"/>
  </r>
  <r>
    <s v="2025-02-12"/>
    <x v="5"/>
    <x v="1"/>
    <x v="106"/>
    <n v="134.59"/>
    <n v="10"/>
    <n v="96.15"/>
    <x v="276"/>
    <x v="1"/>
    <x v="1"/>
    <x v="0"/>
    <n v="-38.44"/>
    <n v="62.51"/>
  </r>
  <r>
    <s v="2025-04-15"/>
    <x v="2"/>
    <x v="1"/>
    <x v="773"/>
    <n v="65.11"/>
    <n v="10"/>
    <n v="397.09"/>
    <x v="60"/>
    <x v="1"/>
    <x v="1"/>
    <x v="0"/>
    <n v="331.97999999999996"/>
    <n v="119.37"/>
  </r>
  <r>
    <s v="2024-12-07"/>
    <x v="3"/>
    <x v="2"/>
    <x v="774"/>
    <n v="133.46"/>
    <n v="3"/>
    <n v="271.33"/>
    <x v="156"/>
    <x v="1"/>
    <x v="2"/>
    <x v="0"/>
    <n v="137.86999999999998"/>
    <n v="118.6"/>
  </r>
  <r>
    <s v="2025-02-23"/>
    <x v="5"/>
    <x v="2"/>
    <x v="501"/>
    <n v="68.16"/>
    <n v="2"/>
    <n v="109.77"/>
    <x v="329"/>
    <x v="2"/>
    <x v="1"/>
    <x v="0"/>
    <n v="41.61"/>
    <n v="83.91"/>
  </r>
  <r>
    <s v="2024-10-30"/>
    <x v="6"/>
    <x v="2"/>
    <x v="120"/>
    <n v="91.55"/>
    <n v="9"/>
    <n v="58.51"/>
    <x v="84"/>
    <x v="0"/>
    <x v="2"/>
    <x v="0"/>
    <n v="-33.04"/>
    <n v="98.38"/>
  </r>
  <r>
    <s v="2025-02-01"/>
    <x v="5"/>
    <x v="1"/>
    <x v="619"/>
    <n v="30.31"/>
    <n v="1"/>
    <n v="378.51"/>
    <x v="344"/>
    <x v="0"/>
    <x v="1"/>
    <x v="0"/>
    <n v="348.2"/>
    <n v="122.03"/>
  </r>
  <r>
    <s v="2025-04-14"/>
    <x v="2"/>
    <x v="1"/>
    <x v="419"/>
    <n v="27.36"/>
    <n v="1"/>
    <n v="149.32"/>
    <x v="421"/>
    <x v="1"/>
    <x v="5"/>
    <x v="0"/>
    <n v="121.96"/>
    <n v="87.63"/>
  </r>
  <r>
    <s v="2024-11-17"/>
    <x v="4"/>
    <x v="2"/>
    <x v="385"/>
    <n v="50.7"/>
    <n v="2"/>
    <n v="73.930000000000007"/>
    <x v="40"/>
    <x v="0"/>
    <x v="2"/>
    <x v="0"/>
    <n v="23.230000000000004"/>
    <n v="125"/>
  </r>
  <r>
    <s v="2024-12-04"/>
    <x v="3"/>
    <x v="2"/>
    <x v="295"/>
    <n v="53.63"/>
    <n v="7"/>
    <n v="457.24"/>
    <x v="315"/>
    <x v="2"/>
    <x v="2"/>
    <x v="0"/>
    <n v="403.61"/>
    <n v="169.67"/>
  </r>
  <r>
    <s v="2025-02-12"/>
    <x v="5"/>
    <x v="1"/>
    <x v="424"/>
    <n v="144.35"/>
    <n v="8"/>
    <n v="191.47"/>
    <x v="9"/>
    <x v="1"/>
    <x v="3"/>
    <x v="0"/>
    <n v="47.120000000000005"/>
    <n v="117.5"/>
  </r>
  <r>
    <s v="2024-11-28"/>
    <x v="4"/>
    <x v="3"/>
    <x v="439"/>
    <n v="137.88"/>
    <n v="3"/>
    <n v="273.43"/>
    <x v="2"/>
    <x v="1"/>
    <x v="0"/>
    <x v="0"/>
    <n v="135.55000000000001"/>
    <n v="135.91"/>
  </r>
  <r>
    <s v="2025-03-25"/>
    <x v="1"/>
    <x v="3"/>
    <x v="775"/>
    <n v="57.32"/>
    <n v="9"/>
    <n v="304.18"/>
    <x v="208"/>
    <x v="1"/>
    <x v="4"/>
    <x v="0"/>
    <n v="246.86"/>
    <n v="166.76"/>
  </r>
  <r>
    <s v="2025-03-29"/>
    <x v="1"/>
    <x v="3"/>
    <x v="608"/>
    <n v="48.78"/>
    <n v="8"/>
    <n v="35.85"/>
    <x v="422"/>
    <x v="2"/>
    <x v="2"/>
    <x v="0"/>
    <n v="-12.93"/>
    <n v="38.909999999999997"/>
  </r>
  <r>
    <s v="2025-01-05"/>
    <x v="0"/>
    <x v="2"/>
    <x v="278"/>
    <n v="13.55"/>
    <n v="3"/>
    <n v="264.45999999999998"/>
    <x v="423"/>
    <x v="0"/>
    <x v="2"/>
    <x v="0"/>
    <n v="250.90999999999997"/>
    <n v="126.59"/>
  </r>
  <r>
    <s v="2025-01-05"/>
    <x v="0"/>
    <x v="3"/>
    <x v="540"/>
    <n v="59.01"/>
    <n v="8"/>
    <n v="309.8"/>
    <x v="111"/>
    <x v="2"/>
    <x v="2"/>
    <x v="0"/>
    <n v="250.79000000000002"/>
    <n v="127.1"/>
  </r>
  <r>
    <s v="2025-02-02"/>
    <x v="5"/>
    <x v="0"/>
    <x v="776"/>
    <n v="18.88"/>
    <n v="0"/>
    <n v="245.71"/>
    <x v="7"/>
    <x v="0"/>
    <x v="0"/>
    <x v="1"/>
    <n v="226.83"/>
    <n v="125.99"/>
  </r>
  <r>
    <s v="2025-03-03"/>
    <x v="1"/>
    <x v="3"/>
    <x v="270"/>
    <n v="88.39"/>
    <n v="10"/>
    <n v="61.27"/>
    <x v="0"/>
    <x v="1"/>
    <x v="1"/>
    <x v="0"/>
    <n v="-27.119999999999997"/>
    <n v="120.08"/>
  </r>
  <r>
    <s v="2025-02-01"/>
    <x v="5"/>
    <x v="0"/>
    <x v="737"/>
    <n v="38.96"/>
    <n v="6"/>
    <n v="131.80000000000001"/>
    <x v="6"/>
    <x v="1"/>
    <x v="5"/>
    <x v="0"/>
    <n v="92.84"/>
    <n v="114.7"/>
  </r>
  <r>
    <s v="2024-11-06"/>
    <x v="4"/>
    <x v="3"/>
    <x v="270"/>
    <n v="146.38"/>
    <n v="5"/>
    <n v="104.01"/>
    <x v="125"/>
    <x v="2"/>
    <x v="2"/>
    <x v="0"/>
    <n v="-42.36999999999999"/>
    <n v="109.99"/>
  </r>
  <r>
    <s v="2025-04-08"/>
    <x v="2"/>
    <x v="0"/>
    <x v="777"/>
    <n v="54.99"/>
    <n v="9"/>
    <n v="495.69"/>
    <x v="121"/>
    <x v="0"/>
    <x v="0"/>
    <x v="0"/>
    <n v="440.7"/>
    <n v="134.11000000000001"/>
  </r>
  <r>
    <s v="2025-04-01"/>
    <x v="2"/>
    <x v="0"/>
    <x v="680"/>
    <n v="87.93"/>
    <n v="3"/>
    <n v="294.87"/>
    <x v="33"/>
    <x v="2"/>
    <x v="3"/>
    <x v="0"/>
    <n v="206.94"/>
    <n v="132.26"/>
  </r>
  <r>
    <s v="2025-03-30"/>
    <x v="1"/>
    <x v="1"/>
    <x v="627"/>
    <n v="42.01"/>
    <n v="3"/>
    <n v="450.18"/>
    <x v="1"/>
    <x v="1"/>
    <x v="1"/>
    <x v="0"/>
    <n v="408.17"/>
    <n v="175.28"/>
  </r>
  <r>
    <s v="2025-04-26"/>
    <x v="2"/>
    <x v="1"/>
    <x v="175"/>
    <n v="46.33"/>
    <n v="9"/>
    <n v="120"/>
    <x v="13"/>
    <x v="2"/>
    <x v="0"/>
    <x v="0"/>
    <n v="73.67"/>
    <n v="99.34"/>
  </r>
  <r>
    <s v="2024-12-17"/>
    <x v="3"/>
    <x v="1"/>
    <x v="267"/>
    <n v="19.93"/>
    <n v="8"/>
    <n v="354.46"/>
    <x v="370"/>
    <x v="0"/>
    <x v="2"/>
    <x v="0"/>
    <n v="334.53"/>
    <n v="189.57"/>
  </r>
  <r>
    <s v="2025-01-13"/>
    <x v="0"/>
    <x v="2"/>
    <x v="186"/>
    <n v="22.15"/>
    <n v="7"/>
    <n v="208.32"/>
    <x v="8"/>
    <x v="0"/>
    <x v="1"/>
    <x v="0"/>
    <n v="186.17"/>
    <n v="127.28"/>
  </r>
  <r>
    <s v="2024-11-19"/>
    <x v="4"/>
    <x v="1"/>
    <x v="778"/>
    <n v="47.51"/>
    <n v="8"/>
    <n v="246.56"/>
    <x v="424"/>
    <x v="1"/>
    <x v="4"/>
    <x v="0"/>
    <n v="199.05"/>
    <n v="118.51"/>
  </r>
  <r>
    <s v="2025-03-14"/>
    <x v="1"/>
    <x v="0"/>
    <x v="373"/>
    <n v="51.59"/>
    <n v="6"/>
    <n v="138.63"/>
    <x v="62"/>
    <x v="1"/>
    <x v="0"/>
    <x v="0"/>
    <n v="87.039999999999992"/>
    <n v="128.72999999999999"/>
  </r>
  <r>
    <s v="2024-12-08"/>
    <x v="3"/>
    <x v="2"/>
    <x v="779"/>
    <n v="60.01"/>
    <n v="4"/>
    <n v="84.94"/>
    <x v="342"/>
    <x v="0"/>
    <x v="3"/>
    <x v="0"/>
    <n v="24.93"/>
    <n v="134.71"/>
  </r>
  <r>
    <s v="2025-03-15"/>
    <x v="1"/>
    <x v="3"/>
    <x v="512"/>
    <n v="76.72"/>
    <n v="6"/>
    <n v="159.49"/>
    <x v="415"/>
    <x v="1"/>
    <x v="2"/>
    <x v="0"/>
    <n v="82.77000000000001"/>
    <n v="151.13"/>
  </r>
  <r>
    <s v="2024-11-10"/>
    <x v="4"/>
    <x v="1"/>
    <x v="780"/>
    <n v="131.43"/>
    <n v="1"/>
    <n v="490.19"/>
    <x v="417"/>
    <x v="1"/>
    <x v="2"/>
    <x v="0"/>
    <n v="358.76"/>
    <n v="177.29"/>
  </r>
  <r>
    <s v="2025-03-29"/>
    <x v="1"/>
    <x v="1"/>
    <x v="781"/>
    <n v="75.540000000000006"/>
    <n v="4"/>
    <n v="171.73"/>
    <x v="184"/>
    <x v="1"/>
    <x v="5"/>
    <x v="0"/>
    <n v="96.189999999999984"/>
    <n v="116.22"/>
  </r>
  <r>
    <s v="2024-11-17"/>
    <x v="4"/>
    <x v="1"/>
    <x v="64"/>
    <n v="120.54"/>
    <n v="7"/>
    <n v="388.33"/>
    <x v="11"/>
    <x v="1"/>
    <x v="4"/>
    <x v="0"/>
    <n v="267.78999999999996"/>
    <n v="137.4"/>
  </r>
  <r>
    <s v="2025-01-16"/>
    <x v="0"/>
    <x v="1"/>
    <x v="172"/>
    <n v="116.4"/>
    <n v="4"/>
    <n v="361.36"/>
    <x v="197"/>
    <x v="2"/>
    <x v="2"/>
    <x v="0"/>
    <n v="244.96"/>
    <n v="129.63"/>
  </r>
  <r>
    <s v="2024-12-21"/>
    <x v="3"/>
    <x v="1"/>
    <x v="631"/>
    <n v="57.65"/>
    <n v="6"/>
    <n v="410.53"/>
    <x v="150"/>
    <x v="2"/>
    <x v="1"/>
    <x v="0"/>
    <n v="352.88"/>
    <n v="144.41"/>
  </r>
  <r>
    <s v="2025-04-20"/>
    <x v="2"/>
    <x v="3"/>
    <x v="389"/>
    <n v="57.38"/>
    <n v="2"/>
    <n v="342.56"/>
    <x v="211"/>
    <x v="2"/>
    <x v="2"/>
    <x v="0"/>
    <n v="285.18"/>
    <n v="134.6"/>
  </r>
  <r>
    <s v="2024-11-29"/>
    <x v="4"/>
    <x v="3"/>
    <x v="229"/>
    <n v="7.5"/>
    <n v="1"/>
    <n v="241.53"/>
    <x v="281"/>
    <x v="1"/>
    <x v="0"/>
    <x v="0"/>
    <n v="234.03"/>
    <n v="149.4"/>
  </r>
  <r>
    <s v="2024-12-08"/>
    <x v="3"/>
    <x v="2"/>
    <x v="782"/>
    <n v="37.68"/>
    <n v="8"/>
    <n v="453.46"/>
    <x v="130"/>
    <x v="0"/>
    <x v="2"/>
    <x v="0"/>
    <n v="415.78"/>
    <n v="140.25"/>
  </r>
  <r>
    <s v="2025-01-12"/>
    <x v="0"/>
    <x v="3"/>
    <x v="95"/>
    <n v="14.02"/>
    <n v="10"/>
    <n v="371.62"/>
    <x v="162"/>
    <x v="2"/>
    <x v="3"/>
    <x v="0"/>
    <n v="357.6"/>
    <n v="116.86"/>
  </r>
  <r>
    <s v="2024-12-07"/>
    <x v="3"/>
    <x v="0"/>
    <x v="662"/>
    <n v="75.94"/>
    <n v="3"/>
    <n v="201.77"/>
    <x v="298"/>
    <x v="1"/>
    <x v="5"/>
    <x v="0"/>
    <n v="125.83000000000001"/>
    <n v="99.19"/>
  </r>
  <r>
    <s v="2025-01-23"/>
    <x v="0"/>
    <x v="0"/>
    <x v="783"/>
    <n v="83.26"/>
    <n v="6"/>
    <n v="452.77"/>
    <x v="4"/>
    <x v="2"/>
    <x v="0"/>
    <x v="0"/>
    <n v="369.51"/>
    <n v="129.99"/>
  </r>
  <r>
    <s v="2025-03-02"/>
    <x v="1"/>
    <x v="0"/>
    <x v="360"/>
    <n v="83.45"/>
    <n v="2"/>
    <n v="374.47"/>
    <x v="80"/>
    <x v="2"/>
    <x v="5"/>
    <x v="0"/>
    <n v="291.02000000000004"/>
    <n v="153.37"/>
  </r>
  <r>
    <s v="2024-11-16"/>
    <x v="4"/>
    <x v="3"/>
    <x v="146"/>
    <n v="33.1"/>
    <n v="3"/>
    <n v="481.3"/>
    <x v="116"/>
    <x v="0"/>
    <x v="0"/>
    <x v="0"/>
    <n v="448.2"/>
    <n v="160.19"/>
  </r>
  <r>
    <s v="2025-03-18"/>
    <x v="1"/>
    <x v="2"/>
    <x v="203"/>
    <n v="72.63"/>
    <n v="0"/>
    <n v="55.35"/>
    <x v="364"/>
    <x v="2"/>
    <x v="2"/>
    <x v="1"/>
    <n v="-17.279999999999994"/>
    <n v="112.25"/>
  </r>
  <r>
    <s v="2025-04-11"/>
    <x v="2"/>
    <x v="0"/>
    <x v="784"/>
    <n v="97.53"/>
    <n v="2"/>
    <n v="46.52"/>
    <x v="211"/>
    <x v="2"/>
    <x v="1"/>
    <x v="0"/>
    <n v="-51.01"/>
    <n v="130.97999999999999"/>
  </r>
  <r>
    <s v="2025-01-03"/>
    <x v="0"/>
    <x v="0"/>
    <x v="108"/>
    <n v="123.07"/>
    <n v="1"/>
    <n v="438.93"/>
    <x v="72"/>
    <x v="2"/>
    <x v="3"/>
    <x v="0"/>
    <n v="315.86"/>
    <n v="116.47"/>
  </r>
  <r>
    <s v="2025-01-19"/>
    <x v="0"/>
    <x v="0"/>
    <x v="202"/>
    <n v="95.83"/>
    <n v="10"/>
    <n v="423.51"/>
    <x v="160"/>
    <x v="1"/>
    <x v="0"/>
    <x v="0"/>
    <n v="327.68"/>
    <n v="110.89"/>
  </r>
  <r>
    <s v="2024-11-07"/>
    <x v="4"/>
    <x v="1"/>
    <x v="517"/>
    <n v="32.229999999999997"/>
    <n v="10"/>
    <n v="495.74"/>
    <x v="56"/>
    <x v="0"/>
    <x v="5"/>
    <x v="0"/>
    <n v="463.51"/>
    <n v="157.34"/>
  </r>
  <r>
    <s v="2025-04-18"/>
    <x v="2"/>
    <x v="1"/>
    <x v="104"/>
    <n v="119.1"/>
    <n v="9"/>
    <n v="191.22"/>
    <x v="234"/>
    <x v="1"/>
    <x v="2"/>
    <x v="0"/>
    <n v="72.12"/>
    <n v="87.17"/>
  </r>
  <r>
    <s v="2025-03-17"/>
    <x v="1"/>
    <x v="3"/>
    <x v="631"/>
    <n v="43.05"/>
    <n v="6"/>
    <n v="303.52"/>
    <x v="9"/>
    <x v="1"/>
    <x v="2"/>
    <x v="0"/>
    <n v="260.46999999999997"/>
    <n v="126.18"/>
  </r>
  <r>
    <s v="2025-04-06"/>
    <x v="2"/>
    <x v="3"/>
    <x v="149"/>
    <n v="133.37"/>
    <n v="4"/>
    <n v="424.93"/>
    <x v="275"/>
    <x v="1"/>
    <x v="2"/>
    <x v="0"/>
    <n v="291.56"/>
    <n v="119.53"/>
  </r>
  <r>
    <s v="2025-02-06"/>
    <x v="5"/>
    <x v="1"/>
    <x v="133"/>
    <n v="103.1"/>
    <n v="6"/>
    <n v="260.55"/>
    <x v="6"/>
    <x v="2"/>
    <x v="2"/>
    <x v="0"/>
    <n v="157.45000000000002"/>
    <n v="120.55"/>
  </r>
  <r>
    <s v="2025-03-21"/>
    <x v="1"/>
    <x v="1"/>
    <x v="725"/>
    <n v="54.39"/>
    <n v="5"/>
    <n v="437.07"/>
    <x v="9"/>
    <x v="2"/>
    <x v="1"/>
    <x v="0"/>
    <n v="382.68"/>
    <n v="122.3"/>
  </r>
  <r>
    <s v="2025-01-19"/>
    <x v="0"/>
    <x v="3"/>
    <x v="785"/>
    <n v="145.84"/>
    <n v="3"/>
    <n v="445.49"/>
    <x v="252"/>
    <x v="0"/>
    <x v="3"/>
    <x v="0"/>
    <n v="299.64999999999998"/>
    <n v="181.64"/>
  </r>
  <r>
    <s v="2024-12-06"/>
    <x v="3"/>
    <x v="2"/>
    <x v="305"/>
    <n v="71.069999999999993"/>
    <n v="9"/>
    <n v="165.67"/>
    <x v="216"/>
    <x v="2"/>
    <x v="2"/>
    <x v="0"/>
    <n v="94.6"/>
    <n v="119.56"/>
  </r>
  <r>
    <s v="2024-11-26"/>
    <x v="4"/>
    <x v="2"/>
    <x v="767"/>
    <n v="45.99"/>
    <n v="8"/>
    <n v="459.04"/>
    <x v="425"/>
    <x v="1"/>
    <x v="5"/>
    <x v="0"/>
    <n v="413.05"/>
    <n v="206.66"/>
  </r>
  <r>
    <s v="2025-01-07"/>
    <x v="0"/>
    <x v="2"/>
    <x v="703"/>
    <n v="9.31"/>
    <n v="8"/>
    <n v="271.18"/>
    <x v="63"/>
    <x v="1"/>
    <x v="2"/>
    <x v="0"/>
    <n v="261.87"/>
    <n v="123.66"/>
  </r>
  <r>
    <s v="2024-12-20"/>
    <x v="3"/>
    <x v="2"/>
    <x v="678"/>
    <n v="102.07"/>
    <n v="0"/>
    <n v="363.14"/>
    <x v="60"/>
    <x v="0"/>
    <x v="1"/>
    <x v="1"/>
    <n v="261.07"/>
    <n v="119.93"/>
  </r>
  <r>
    <s v="2025-03-27"/>
    <x v="1"/>
    <x v="2"/>
    <x v="786"/>
    <n v="120.69"/>
    <n v="6"/>
    <n v="48.68"/>
    <x v="317"/>
    <x v="2"/>
    <x v="0"/>
    <x v="0"/>
    <n v="-72.009999999999991"/>
    <n v="99.85"/>
  </r>
  <r>
    <s v="2024-12-13"/>
    <x v="3"/>
    <x v="2"/>
    <x v="787"/>
    <n v="80.62"/>
    <n v="4"/>
    <n v="359.75"/>
    <x v="9"/>
    <x v="1"/>
    <x v="1"/>
    <x v="0"/>
    <n v="279.13"/>
    <n v="128.47999999999999"/>
  </r>
  <r>
    <s v="2025-03-13"/>
    <x v="1"/>
    <x v="0"/>
    <x v="556"/>
    <n v="139.1"/>
    <n v="4"/>
    <n v="438.76"/>
    <x v="264"/>
    <x v="2"/>
    <x v="1"/>
    <x v="0"/>
    <n v="299.65999999999997"/>
    <n v="123.91"/>
  </r>
  <r>
    <s v="2025-02-24"/>
    <x v="5"/>
    <x v="3"/>
    <x v="788"/>
    <n v="125.52"/>
    <n v="4"/>
    <n v="209.78"/>
    <x v="232"/>
    <x v="2"/>
    <x v="0"/>
    <x v="0"/>
    <n v="84.26"/>
    <n v="120.04"/>
  </r>
  <r>
    <s v="2025-04-17"/>
    <x v="2"/>
    <x v="3"/>
    <x v="789"/>
    <n v="50.66"/>
    <n v="3"/>
    <n v="25.04"/>
    <x v="84"/>
    <x v="0"/>
    <x v="1"/>
    <x v="0"/>
    <n v="-25.619999999999997"/>
    <n v="109.82"/>
  </r>
  <r>
    <s v="2024-12-14"/>
    <x v="3"/>
    <x v="1"/>
    <x v="651"/>
    <n v="83.66"/>
    <n v="2"/>
    <n v="280.73"/>
    <x v="99"/>
    <x v="0"/>
    <x v="5"/>
    <x v="0"/>
    <n v="197.07000000000002"/>
    <n v="135.15"/>
  </r>
  <r>
    <s v="2024-12-07"/>
    <x v="3"/>
    <x v="1"/>
    <x v="405"/>
    <n v="47.73"/>
    <n v="5"/>
    <n v="463.45"/>
    <x v="146"/>
    <x v="0"/>
    <x v="5"/>
    <x v="0"/>
    <n v="415.71999999999997"/>
    <n v="157.09"/>
  </r>
  <r>
    <s v="2024-11-30"/>
    <x v="4"/>
    <x v="1"/>
    <x v="482"/>
    <n v="21.34"/>
    <n v="2"/>
    <n v="440.46"/>
    <x v="119"/>
    <x v="2"/>
    <x v="5"/>
    <x v="0"/>
    <n v="419.12"/>
    <n v="140.5"/>
  </r>
  <r>
    <s v="2025-03-05"/>
    <x v="1"/>
    <x v="2"/>
    <x v="572"/>
    <n v="93.01"/>
    <n v="0"/>
    <n v="425.07"/>
    <x v="80"/>
    <x v="0"/>
    <x v="2"/>
    <x v="1"/>
    <n v="332.06"/>
    <n v="152.74"/>
  </r>
  <r>
    <s v="2025-02-03"/>
    <x v="5"/>
    <x v="3"/>
    <x v="161"/>
    <n v="116.14"/>
    <n v="8"/>
    <n v="329.5"/>
    <x v="65"/>
    <x v="1"/>
    <x v="2"/>
    <x v="0"/>
    <n v="213.36"/>
    <n v="147.66999999999999"/>
  </r>
  <r>
    <s v="2024-12-26"/>
    <x v="3"/>
    <x v="3"/>
    <x v="326"/>
    <n v="110.6"/>
    <n v="4"/>
    <n v="216.88"/>
    <x v="146"/>
    <x v="0"/>
    <x v="5"/>
    <x v="0"/>
    <n v="106.28"/>
    <n v="157.22"/>
  </r>
  <r>
    <s v="2024-11-20"/>
    <x v="4"/>
    <x v="0"/>
    <x v="75"/>
    <n v="52.35"/>
    <n v="0"/>
    <n v="280.97000000000003"/>
    <x v="315"/>
    <x v="0"/>
    <x v="2"/>
    <x v="1"/>
    <n v="228.62000000000003"/>
    <n v="169.03"/>
  </r>
  <r>
    <s v="2025-03-23"/>
    <x v="1"/>
    <x v="1"/>
    <x v="241"/>
    <n v="93.08"/>
    <n v="10"/>
    <n v="348.67"/>
    <x v="9"/>
    <x v="1"/>
    <x v="4"/>
    <x v="0"/>
    <n v="255.59000000000003"/>
    <n v="123.6"/>
  </r>
  <r>
    <s v="2025-04-15"/>
    <x v="2"/>
    <x v="3"/>
    <x v="129"/>
    <n v="110.02"/>
    <n v="5"/>
    <n v="411.15"/>
    <x v="74"/>
    <x v="2"/>
    <x v="1"/>
    <x v="0"/>
    <n v="301.13"/>
    <n v="138.09"/>
  </r>
  <r>
    <s v="2025-01-13"/>
    <x v="0"/>
    <x v="2"/>
    <x v="688"/>
    <n v="35.22"/>
    <n v="1"/>
    <n v="363.41"/>
    <x v="402"/>
    <x v="1"/>
    <x v="1"/>
    <x v="0"/>
    <n v="328.19000000000005"/>
    <n v="138.29"/>
  </r>
  <r>
    <s v="2024-12-17"/>
    <x v="3"/>
    <x v="0"/>
    <x v="790"/>
    <n v="85.68"/>
    <n v="4"/>
    <n v="118.11"/>
    <x v="2"/>
    <x v="1"/>
    <x v="2"/>
    <x v="0"/>
    <n v="32.429999999999993"/>
    <n v="140.86000000000001"/>
  </r>
  <r>
    <s v="2025-02-14"/>
    <x v="5"/>
    <x v="0"/>
    <x v="676"/>
    <n v="110.23"/>
    <n v="5"/>
    <n v="85.97"/>
    <x v="42"/>
    <x v="2"/>
    <x v="2"/>
    <x v="0"/>
    <n v="-24.260000000000005"/>
    <n v="136.76"/>
  </r>
  <r>
    <s v="2024-11-13"/>
    <x v="4"/>
    <x v="0"/>
    <x v="88"/>
    <n v="10.199999999999999"/>
    <n v="2"/>
    <n v="322.26"/>
    <x v="426"/>
    <x v="2"/>
    <x v="1"/>
    <x v="0"/>
    <n v="312.06"/>
    <n v="155.63999999999999"/>
  </r>
  <r>
    <s v="2024-11-18"/>
    <x v="4"/>
    <x v="1"/>
    <x v="791"/>
    <n v="126.89"/>
    <n v="1"/>
    <n v="179.39"/>
    <x v="351"/>
    <x v="2"/>
    <x v="2"/>
    <x v="0"/>
    <n v="52.499999999999986"/>
    <n v="117.69"/>
  </r>
  <r>
    <s v="2024-12-29"/>
    <x v="3"/>
    <x v="0"/>
    <x v="267"/>
    <n v="8.2899999999999991"/>
    <n v="3"/>
    <n v="332.74"/>
    <x v="24"/>
    <x v="1"/>
    <x v="2"/>
    <x v="0"/>
    <n v="324.45"/>
    <n v="119.58"/>
  </r>
  <r>
    <s v="2025-01-05"/>
    <x v="0"/>
    <x v="3"/>
    <x v="596"/>
    <n v="42.05"/>
    <n v="8"/>
    <n v="324.89"/>
    <x v="232"/>
    <x v="1"/>
    <x v="0"/>
    <x v="0"/>
    <n v="282.83999999999997"/>
    <n v="116.39"/>
  </r>
  <r>
    <s v="2025-03-12"/>
    <x v="1"/>
    <x v="3"/>
    <x v="792"/>
    <n v="89.96"/>
    <n v="9"/>
    <n v="65.63"/>
    <x v="111"/>
    <x v="1"/>
    <x v="5"/>
    <x v="0"/>
    <n v="-24.33"/>
    <n v="123.86"/>
  </r>
  <r>
    <s v="2025-03-11"/>
    <x v="1"/>
    <x v="3"/>
    <x v="131"/>
    <n v="54.95"/>
    <n v="2"/>
    <n v="113.59"/>
    <x v="136"/>
    <x v="0"/>
    <x v="2"/>
    <x v="0"/>
    <n v="58.64"/>
    <n v="137.79"/>
  </r>
  <r>
    <s v="2025-01-06"/>
    <x v="0"/>
    <x v="2"/>
    <x v="754"/>
    <n v="143.72999999999999"/>
    <n v="5"/>
    <n v="105.45"/>
    <x v="9"/>
    <x v="2"/>
    <x v="1"/>
    <x v="0"/>
    <n v="-38.279999999999987"/>
    <n v="118.63"/>
  </r>
  <r>
    <s v="2025-02-13"/>
    <x v="5"/>
    <x v="0"/>
    <x v="766"/>
    <n v="138.19999999999999"/>
    <n v="10"/>
    <n v="319.69"/>
    <x v="187"/>
    <x v="1"/>
    <x v="1"/>
    <x v="0"/>
    <n v="181.49"/>
    <n v="156.25"/>
  </r>
  <r>
    <s v="2025-02-01"/>
    <x v="5"/>
    <x v="2"/>
    <x v="448"/>
    <n v="72.680000000000007"/>
    <n v="0"/>
    <n v="164.37"/>
    <x v="41"/>
    <x v="1"/>
    <x v="3"/>
    <x v="1"/>
    <n v="91.69"/>
    <n v="123.29"/>
  </r>
  <r>
    <s v="2025-03-31"/>
    <x v="1"/>
    <x v="2"/>
    <x v="793"/>
    <n v="89.9"/>
    <n v="10"/>
    <n v="371.59"/>
    <x v="59"/>
    <x v="2"/>
    <x v="1"/>
    <x v="0"/>
    <n v="281.68999999999994"/>
    <n v="137.22"/>
  </r>
  <r>
    <s v="2025-03-28"/>
    <x v="1"/>
    <x v="1"/>
    <x v="465"/>
    <n v="97.92"/>
    <n v="0"/>
    <n v="57.25"/>
    <x v="133"/>
    <x v="0"/>
    <x v="2"/>
    <x v="1"/>
    <n v="-40.67"/>
    <n v="117.96"/>
  </r>
  <r>
    <s v="2025-03-10"/>
    <x v="1"/>
    <x v="3"/>
    <x v="132"/>
    <n v="16.739999999999998"/>
    <n v="2"/>
    <n v="107.6"/>
    <x v="61"/>
    <x v="1"/>
    <x v="2"/>
    <x v="0"/>
    <n v="90.86"/>
    <n v="94.98"/>
  </r>
  <r>
    <s v="2025-03-27"/>
    <x v="1"/>
    <x v="0"/>
    <x v="525"/>
    <n v="14.88"/>
    <n v="3"/>
    <n v="161.25"/>
    <x v="8"/>
    <x v="2"/>
    <x v="4"/>
    <x v="0"/>
    <n v="146.37"/>
    <n v="124.93"/>
  </r>
  <r>
    <s v="2024-12-21"/>
    <x v="3"/>
    <x v="3"/>
    <x v="39"/>
    <n v="8.4"/>
    <n v="5"/>
    <n v="33.479999999999997"/>
    <x v="77"/>
    <x v="1"/>
    <x v="3"/>
    <x v="0"/>
    <n v="25.08"/>
    <n v="118.52"/>
  </r>
  <r>
    <s v="2024-11-26"/>
    <x v="4"/>
    <x v="3"/>
    <x v="549"/>
    <n v="80.58"/>
    <n v="5"/>
    <n v="171.78"/>
    <x v="106"/>
    <x v="2"/>
    <x v="4"/>
    <x v="0"/>
    <n v="91.2"/>
    <n v="127.25"/>
  </r>
  <r>
    <s v="2025-04-30"/>
    <x v="2"/>
    <x v="0"/>
    <x v="554"/>
    <n v="75.45"/>
    <n v="3"/>
    <n v="454.19"/>
    <x v="150"/>
    <x v="0"/>
    <x v="2"/>
    <x v="0"/>
    <n v="378.74"/>
    <n v="137.41999999999999"/>
  </r>
  <r>
    <s v="2025-01-23"/>
    <x v="0"/>
    <x v="2"/>
    <x v="603"/>
    <n v="136.26"/>
    <n v="7"/>
    <n v="482.55"/>
    <x v="36"/>
    <x v="0"/>
    <x v="1"/>
    <x v="0"/>
    <n v="346.29"/>
    <n v="139.1"/>
  </r>
  <r>
    <s v="2024-11-17"/>
    <x v="4"/>
    <x v="2"/>
    <x v="643"/>
    <n v="40.57"/>
    <n v="10"/>
    <n v="166.26"/>
    <x v="8"/>
    <x v="1"/>
    <x v="5"/>
    <x v="0"/>
    <n v="125.69"/>
    <n v="119.92"/>
  </r>
  <r>
    <s v="2025-03-20"/>
    <x v="1"/>
    <x v="2"/>
    <x v="483"/>
    <n v="17.66"/>
    <n v="0"/>
    <n v="37.67"/>
    <x v="288"/>
    <x v="1"/>
    <x v="2"/>
    <x v="1"/>
    <n v="20.010000000000002"/>
    <n v="76.13"/>
  </r>
  <r>
    <s v="2025-01-14"/>
    <x v="0"/>
    <x v="1"/>
    <x v="12"/>
    <n v="66.650000000000006"/>
    <n v="10"/>
    <n v="403.48"/>
    <x v="396"/>
    <x v="0"/>
    <x v="4"/>
    <x v="0"/>
    <n v="336.83000000000004"/>
    <n v="107.34"/>
  </r>
  <r>
    <s v="2025-02-22"/>
    <x v="5"/>
    <x v="3"/>
    <x v="628"/>
    <n v="12.75"/>
    <n v="7"/>
    <n v="54.7"/>
    <x v="274"/>
    <x v="2"/>
    <x v="4"/>
    <x v="0"/>
    <n v="41.95"/>
    <n v="110.02"/>
  </r>
  <r>
    <s v="2024-11-20"/>
    <x v="4"/>
    <x v="2"/>
    <x v="197"/>
    <n v="82.96"/>
    <n v="9"/>
    <n v="227.51"/>
    <x v="278"/>
    <x v="1"/>
    <x v="2"/>
    <x v="0"/>
    <n v="144.55000000000001"/>
    <n v="114.76"/>
  </r>
  <r>
    <s v="2025-03-19"/>
    <x v="1"/>
    <x v="2"/>
    <x v="794"/>
    <n v="59.11"/>
    <n v="2"/>
    <n v="336.69"/>
    <x v="103"/>
    <x v="0"/>
    <x v="5"/>
    <x v="0"/>
    <n v="277.58"/>
    <n v="162.69999999999999"/>
  </r>
  <r>
    <s v="2025-01-15"/>
    <x v="0"/>
    <x v="0"/>
    <x v="714"/>
    <n v="127.91"/>
    <n v="9"/>
    <n v="202.09"/>
    <x v="36"/>
    <x v="2"/>
    <x v="1"/>
    <x v="0"/>
    <n v="74.180000000000007"/>
    <n v="136.41"/>
  </r>
  <r>
    <s v="2025-03-06"/>
    <x v="1"/>
    <x v="0"/>
    <x v="635"/>
    <n v="79.23"/>
    <n v="5"/>
    <n v="173.74"/>
    <x v="119"/>
    <x v="0"/>
    <x v="2"/>
    <x v="0"/>
    <n v="94.51"/>
    <n v="134.28"/>
  </r>
  <r>
    <s v="2025-03-05"/>
    <x v="1"/>
    <x v="1"/>
    <x v="375"/>
    <n v="25.21"/>
    <n v="6"/>
    <n v="335.91"/>
    <x v="51"/>
    <x v="2"/>
    <x v="0"/>
    <x v="0"/>
    <n v="310.70000000000005"/>
    <n v="143.21"/>
  </r>
  <r>
    <s v="2025-01-22"/>
    <x v="0"/>
    <x v="1"/>
    <x v="795"/>
    <n v="55.59"/>
    <n v="3"/>
    <n v="249.46"/>
    <x v="427"/>
    <x v="2"/>
    <x v="1"/>
    <x v="0"/>
    <n v="193.87"/>
    <n v="94.74"/>
  </r>
  <r>
    <s v="2024-11-08"/>
    <x v="4"/>
    <x v="2"/>
    <x v="88"/>
    <n v="89.37"/>
    <n v="10"/>
    <n v="114.29"/>
    <x v="0"/>
    <x v="2"/>
    <x v="2"/>
    <x v="0"/>
    <n v="24.92"/>
    <n v="116.79"/>
  </r>
  <r>
    <s v="2025-03-23"/>
    <x v="1"/>
    <x v="3"/>
    <x v="49"/>
    <n v="48.46"/>
    <n v="1"/>
    <n v="122.14"/>
    <x v="219"/>
    <x v="1"/>
    <x v="1"/>
    <x v="0"/>
    <n v="73.680000000000007"/>
    <n v="142.88"/>
  </r>
  <r>
    <s v="2024-10-31"/>
    <x v="6"/>
    <x v="3"/>
    <x v="101"/>
    <n v="21.02"/>
    <n v="9"/>
    <n v="76.010000000000005"/>
    <x v="85"/>
    <x v="0"/>
    <x v="2"/>
    <x v="0"/>
    <n v="54.990000000000009"/>
    <n v="123.37"/>
  </r>
  <r>
    <s v="2024-12-25"/>
    <x v="3"/>
    <x v="1"/>
    <x v="564"/>
    <n v="74.650000000000006"/>
    <n v="6"/>
    <n v="427.63"/>
    <x v="62"/>
    <x v="1"/>
    <x v="2"/>
    <x v="0"/>
    <n v="352.98"/>
    <n v="127.48"/>
  </r>
  <r>
    <s v="2025-02-12"/>
    <x v="5"/>
    <x v="1"/>
    <x v="796"/>
    <n v="79.38"/>
    <n v="5"/>
    <n v="335.31"/>
    <x v="53"/>
    <x v="0"/>
    <x v="2"/>
    <x v="0"/>
    <n v="255.93"/>
    <n v="105.87"/>
  </r>
  <r>
    <s v="2024-12-30"/>
    <x v="3"/>
    <x v="3"/>
    <x v="605"/>
    <n v="92.08"/>
    <n v="7"/>
    <n v="33.5"/>
    <x v="146"/>
    <x v="2"/>
    <x v="2"/>
    <x v="0"/>
    <n v="-58.58"/>
    <n v="154.51"/>
  </r>
  <r>
    <s v="2024-11-24"/>
    <x v="4"/>
    <x v="3"/>
    <x v="237"/>
    <n v="146.75"/>
    <n v="1"/>
    <n v="450.93"/>
    <x v="112"/>
    <x v="2"/>
    <x v="2"/>
    <x v="0"/>
    <n v="304.18"/>
    <n v="145.56"/>
  </r>
  <r>
    <s v="2024-11-12"/>
    <x v="4"/>
    <x v="0"/>
    <x v="764"/>
    <n v="29.53"/>
    <n v="4"/>
    <n v="319.25"/>
    <x v="143"/>
    <x v="2"/>
    <x v="2"/>
    <x v="0"/>
    <n v="289.72000000000003"/>
    <n v="147.91"/>
  </r>
  <r>
    <s v="2025-01-27"/>
    <x v="0"/>
    <x v="1"/>
    <x v="772"/>
    <n v="104.22"/>
    <n v="9"/>
    <n v="369.36"/>
    <x v="170"/>
    <x v="0"/>
    <x v="2"/>
    <x v="0"/>
    <n v="265.14"/>
    <n v="136.16999999999999"/>
  </r>
  <r>
    <s v="2025-02-12"/>
    <x v="5"/>
    <x v="2"/>
    <x v="797"/>
    <n v="52.32"/>
    <n v="10"/>
    <n v="321.60000000000002"/>
    <x v="24"/>
    <x v="0"/>
    <x v="1"/>
    <x v="0"/>
    <n v="269.28000000000003"/>
    <n v="122.27"/>
  </r>
  <r>
    <s v="2025-02-06"/>
    <x v="5"/>
    <x v="2"/>
    <x v="502"/>
    <n v="91.03"/>
    <n v="6"/>
    <n v="408.85"/>
    <x v="80"/>
    <x v="1"/>
    <x v="1"/>
    <x v="0"/>
    <n v="317.82000000000005"/>
    <n v="145.06"/>
  </r>
  <r>
    <s v="2025-01-26"/>
    <x v="0"/>
    <x v="2"/>
    <x v="355"/>
    <n v="116.07"/>
    <n v="10"/>
    <n v="451.26"/>
    <x v="28"/>
    <x v="2"/>
    <x v="2"/>
    <x v="0"/>
    <n v="335.19"/>
    <n v="119.65"/>
  </r>
  <r>
    <s v="2024-11-03"/>
    <x v="4"/>
    <x v="0"/>
    <x v="341"/>
    <n v="86.87"/>
    <n v="7"/>
    <n v="183.27"/>
    <x v="428"/>
    <x v="2"/>
    <x v="0"/>
    <x v="0"/>
    <n v="96.4"/>
    <n v="96.65"/>
  </r>
  <r>
    <s v="2024-12-13"/>
    <x v="3"/>
    <x v="0"/>
    <x v="229"/>
    <n v="89.46"/>
    <n v="8"/>
    <n v="239.51"/>
    <x v="105"/>
    <x v="1"/>
    <x v="1"/>
    <x v="0"/>
    <n v="150.05000000000001"/>
    <n v="112.76"/>
  </r>
  <r>
    <s v="2025-02-08"/>
    <x v="5"/>
    <x v="3"/>
    <x v="307"/>
    <n v="120.08"/>
    <n v="3"/>
    <n v="221.8"/>
    <x v="429"/>
    <x v="2"/>
    <x v="4"/>
    <x v="0"/>
    <n v="101.72000000000001"/>
    <n v="116.39"/>
  </r>
  <r>
    <s v="2024-11-09"/>
    <x v="4"/>
    <x v="2"/>
    <x v="468"/>
    <n v="92.56"/>
    <n v="9"/>
    <n v="361.31"/>
    <x v="212"/>
    <x v="1"/>
    <x v="3"/>
    <x v="0"/>
    <n v="268.75"/>
    <n v="120.79"/>
  </r>
  <r>
    <s v="2025-04-29"/>
    <x v="2"/>
    <x v="2"/>
    <x v="192"/>
    <n v="94.06"/>
    <n v="8"/>
    <n v="436.76"/>
    <x v="36"/>
    <x v="1"/>
    <x v="0"/>
    <x v="0"/>
    <n v="342.7"/>
    <n v="145.88"/>
  </r>
  <r>
    <s v="2024-12-27"/>
    <x v="3"/>
    <x v="2"/>
    <x v="798"/>
    <n v="48.45"/>
    <n v="7"/>
    <n v="277.20999999999998"/>
    <x v="67"/>
    <x v="2"/>
    <x v="4"/>
    <x v="0"/>
    <n v="228.76"/>
    <n v="109.23"/>
  </r>
  <r>
    <s v="2024-12-12"/>
    <x v="3"/>
    <x v="0"/>
    <x v="461"/>
    <n v="112.79"/>
    <n v="0"/>
    <n v="429.74"/>
    <x v="24"/>
    <x v="2"/>
    <x v="0"/>
    <x v="1"/>
    <n v="316.95"/>
    <n v="125.93"/>
  </r>
  <r>
    <s v="2025-02-14"/>
    <x v="5"/>
    <x v="2"/>
    <x v="288"/>
    <n v="138.04"/>
    <n v="9"/>
    <n v="499.31"/>
    <x v="313"/>
    <x v="2"/>
    <x v="1"/>
    <x v="0"/>
    <n v="361.27"/>
    <n v="193.8"/>
  </r>
  <r>
    <s v="2025-01-13"/>
    <x v="0"/>
    <x v="2"/>
    <x v="305"/>
    <n v="11.18"/>
    <n v="0"/>
    <n v="464.64"/>
    <x v="60"/>
    <x v="1"/>
    <x v="5"/>
    <x v="1"/>
    <n v="453.46"/>
    <n v="120.9"/>
  </r>
  <r>
    <s v="2025-01-25"/>
    <x v="0"/>
    <x v="3"/>
    <x v="601"/>
    <n v="147.66"/>
    <n v="10"/>
    <n v="437.44"/>
    <x v="222"/>
    <x v="1"/>
    <x v="0"/>
    <x v="0"/>
    <n v="289.77999999999997"/>
    <n v="108.26"/>
  </r>
  <r>
    <s v="2024-11-13"/>
    <x v="4"/>
    <x v="1"/>
    <x v="152"/>
    <n v="66.430000000000007"/>
    <n v="8"/>
    <n v="375.82"/>
    <x v="85"/>
    <x v="2"/>
    <x v="2"/>
    <x v="0"/>
    <n v="309.39"/>
    <n v="122.44"/>
  </r>
  <r>
    <s v="2024-12-08"/>
    <x v="3"/>
    <x v="0"/>
    <x v="124"/>
    <n v="37.93"/>
    <n v="2"/>
    <n v="69.36"/>
    <x v="354"/>
    <x v="0"/>
    <x v="0"/>
    <x v="0"/>
    <n v="31.43"/>
    <n v="101.2"/>
  </r>
  <r>
    <s v="2025-04-15"/>
    <x v="2"/>
    <x v="3"/>
    <x v="799"/>
    <n v="27.2"/>
    <n v="1"/>
    <n v="190.9"/>
    <x v="403"/>
    <x v="1"/>
    <x v="5"/>
    <x v="0"/>
    <n v="163.70000000000002"/>
    <n v="155.86000000000001"/>
  </r>
  <r>
    <s v="2025-03-25"/>
    <x v="1"/>
    <x v="3"/>
    <x v="410"/>
    <n v="79.7"/>
    <n v="4"/>
    <n v="393.97"/>
    <x v="114"/>
    <x v="1"/>
    <x v="2"/>
    <x v="0"/>
    <n v="314.27000000000004"/>
    <n v="133.19999999999999"/>
  </r>
  <r>
    <s v="2024-11-02"/>
    <x v="4"/>
    <x v="2"/>
    <x v="582"/>
    <n v="50.75"/>
    <n v="7"/>
    <n v="202.19"/>
    <x v="95"/>
    <x v="1"/>
    <x v="1"/>
    <x v="0"/>
    <n v="151.44"/>
    <n v="152.79"/>
  </r>
  <r>
    <s v="2025-01-08"/>
    <x v="0"/>
    <x v="0"/>
    <x v="793"/>
    <n v="36.549999999999997"/>
    <n v="8"/>
    <n v="59.46"/>
    <x v="220"/>
    <x v="1"/>
    <x v="2"/>
    <x v="0"/>
    <n v="22.910000000000004"/>
    <n v="50.76"/>
  </r>
  <r>
    <s v="2024-11-08"/>
    <x v="4"/>
    <x v="2"/>
    <x v="686"/>
    <n v="148.87"/>
    <n v="4"/>
    <n v="418.45"/>
    <x v="190"/>
    <x v="1"/>
    <x v="3"/>
    <x v="0"/>
    <n v="269.58"/>
    <n v="111.47"/>
  </r>
  <r>
    <s v="2025-03-10"/>
    <x v="1"/>
    <x v="3"/>
    <x v="384"/>
    <n v="39.54"/>
    <n v="4"/>
    <n v="113.02"/>
    <x v="9"/>
    <x v="0"/>
    <x v="3"/>
    <x v="0"/>
    <n v="73.47999999999999"/>
    <n v="122.71"/>
  </r>
  <r>
    <s v="2025-02-07"/>
    <x v="5"/>
    <x v="2"/>
    <x v="622"/>
    <n v="100.77"/>
    <n v="1"/>
    <n v="245.79"/>
    <x v="24"/>
    <x v="2"/>
    <x v="1"/>
    <x v="0"/>
    <n v="145.01999999999998"/>
    <n v="118.4"/>
  </r>
  <r>
    <s v="2025-04-02"/>
    <x v="2"/>
    <x v="2"/>
    <x v="201"/>
    <n v="39.96"/>
    <n v="4"/>
    <n v="95.24"/>
    <x v="10"/>
    <x v="2"/>
    <x v="2"/>
    <x v="0"/>
    <n v="55.279999999999994"/>
    <n v="136.29"/>
  </r>
  <r>
    <s v="2025-02-14"/>
    <x v="5"/>
    <x v="0"/>
    <x v="58"/>
    <n v="15.55"/>
    <n v="6"/>
    <n v="218.97"/>
    <x v="430"/>
    <x v="0"/>
    <x v="1"/>
    <x v="0"/>
    <n v="203.42"/>
    <n v="106.39"/>
  </r>
  <r>
    <s v="2024-11-22"/>
    <x v="4"/>
    <x v="2"/>
    <x v="612"/>
    <n v="100.98"/>
    <n v="1"/>
    <n v="228.3"/>
    <x v="431"/>
    <x v="1"/>
    <x v="1"/>
    <x v="0"/>
    <n v="127.32000000000001"/>
    <n v="112.1"/>
  </r>
  <r>
    <s v="2025-03-21"/>
    <x v="1"/>
    <x v="2"/>
    <x v="55"/>
    <n v="109.43"/>
    <n v="10"/>
    <n v="96.33"/>
    <x v="432"/>
    <x v="2"/>
    <x v="1"/>
    <x v="0"/>
    <n v="-13.100000000000009"/>
    <n v="67.14"/>
  </r>
  <r>
    <s v="2024-10-31"/>
    <x v="6"/>
    <x v="2"/>
    <x v="800"/>
    <n v="40.9"/>
    <n v="4"/>
    <n v="351.82"/>
    <x v="216"/>
    <x v="0"/>
    <x v="2"/>
    <x v="0"/>
    <n v="310.92"/>
    <n v="117.43"/>
  </r>
  <r>
    <s v="2025-02-28"/>
    <x v="5"/>
    <x v="0"/>
    <x v="801"/>
    <n v="68.14"/>
    <n v="7"/>
    <n v="429.64"/>
    <x v="41"/>
    <x v="2"/>
    <x v="3"/>
    <x v="0"/>
    <n v="361.5"/>
    <n v="123.61"/>
  </r>
  <r>
    <s v="2025-03-28"/>
    <x v="1"/>
    <x v="0"/>
    <x v="354"/>
    <n v="54.85"/>
    <n v="9"/>
    <n v="456.41"/>
    <x v="242"/>
    <x v="0"/>
    <x v="0"/>
    <x v="0"/>
    <n v="401.56"/>
    <n v="154.38"/>
  </r>
  <r>
    <s v="2024-11-16"/>
    <x v="4"/>
    <x v="0"/>
    <x v="402"/>
    <n v="81.16"/>
    <n v="9"/>
    <n v="387.97"/>
    <x v="259"/>
    <x v="0"/>
    <x v="1"/>
    <x v="0"/>
    <n v="306.81000000000006"/>
    <n v="132.91999999999999"/>
  </r>
  <r>
    <s v="2025-04-28"/>
    <x v="2"/>
    <x v="3"/>
    <x v="630"/>
    <n v="44.63"/>
    <n v="4"/>
    <n v="415.39"/>
    <x v="112"/>
    <x v="2"/>
    <x v="0"/>
    <x v="0"/>
    <n v="370.76"/>
    <n v="155.04"/>
  </r>
  <r>
    <s v="2024-12-22"/>
    <x v="3"/>
    <x v="2"/>
    <x v="489"/>
    <n v="118.42"/>
    <n v="1"/>
    <n v="48.84"/>
    <x v="380"/>
    <x v="2"/>
    <x v="4"/>
    <x v="0"/>
    <n v="-69.58"/>
    <n v="128.18"/>
  </r>
  <r>
    <s v="2024-11-25"/>
    <x v="4"/>
    <x v="0"/>
    <x v="494"/>
    <n v="56.87"/>
    <n v="1"/>
    <n v="490.67"/>
    <x v="233"/>
    <x v="0"/>
    <x v="3"/>
    <x v="0"/>
    <n v="433.8"/>
    <n v="115.32"/>
  </r>
  <r>
    <s v="2025-01-25"/>
    <x v="0"/>
    <x v="2"/>
    <x v="29"/>
    <n v="112.95"/>
    <n v="3"/>
    <n v="362.5"/>
    <x v="262"/>
    <x v="2"/>
    <x v="1"/>
    <x v="0"/>
    <n v="249.55"/>
    <n v="129.85"/>
  </r>
  <r>
    <s v="2024-11-29"/>
    <x v="4"/>
    <x v="0"/>
    <x v="802"/>
    <n v="88.39"/>
    <n v="4"/>
    <n v="49.79"/>
    <x v="284"/>
    <x v="2"/>
    <x v="1"/>
    <x v="0"/>
    <n v="-38.6"/>
    <n v="165.35"/>
  </r>
  <r>
    <s v="2024-11-09"/>
    <x v="4"/>
    <x v="0"/>
    <x v="558"/>
    <n v="71.819999999999993"/>
    <n v="3"/>
    <n v="460.06"/>
    <x v="74"/>
    <x v="0"/>
    <x v="0"/>
    <x v="0"/>
    <n v="388.24"/>
    <n v="128.68"/>
  </r>
  <r>
    <s v="2025-03-22"/>
    <x v="1"/>
    <x v="3"/>
    <x v="803"/>
    <n v="133.66"/>
    <n v="6"/>
    <n v="203.87"/>
    <x v="190"/>
    <x v="2"/>
    <x v="2"/>
    <x v="0"/>
    <n v="70.210000000000008"/>
    <n v="109.39"/>
  </r>
  <r>
    <s v="2025-04-14"/>
    <x v="2"/>
    <x v="3"/>
    <x v="203"/>
    <n v="43.16"/>
    <n v="8"/>
    <n v="364.39"/>
    <x v="217"/>
    <x v="2"/>
    <x v="2"/>
    <x v="0"/>
    <n v="321.23"/>
    <n v="150.04"/>
  </r>
  <r>
    <s v="2025-02-20"/>
    <x v="5"/>
    <x v="2"/>
    <x v="592"/>
    <n v="67.81"/>
    <n v="6"/>
    <n v="376.75"/>
    <x v="235"/>
    <x v="2"/>
    <x v="4"/>
    <x v="0"/>
    <n v="308.94"/>
    <n v="148.31"/>
  </r>
  <r>
    <s v="2024-12-23"/>
    <x v="3"/>
    <x v="3"/>
    <x v="161"/>
    <n v="86.9"/>
    <n v="8"/>
    <n v="308.49"/>
    <x v="351"/>
    <x v="2"/>
    <x v="2"/>
    <x v="0"/>
    <n v="221.59"/>
    <n v="112.23"/>
  </r>
  <r>
    <s v="2025-03-12"/>
    <x v="1"/>
    <x v="0"/>
    <x v="804"/>
    <n v="136.4"/>
    <n v="10"/>
    <n v="420.32"/>
    <x v="260"/>
    <x v="0"/>
    <x v="5"/>
    <x v="0"/>
    <n v="283.91999999999996"/>
    <n v="121.46"/>
  </r>
  <r>
    <s v="2024-11-21"/>
    <x v="4"/>
    <x v="2"/>
    <x v="352"/>
    <n v="28.96"/>
    <n v="4"/>
    <n v="203.83"/>
    <x v="198"/>
    <x v="2"/>
    <x v="2"/>
    <x v="0"/>
    <n v="174.87"/>
    <n v="121.36"/>
  </r>
  <r>
    <s v="2024-12-16"/>
    <x v="3"/>
    <x v="3"/>
    <x v="541"/>
    <n v="52.9"/>
    <n v="9"/>
    <n v="144.55000000000001"/>
    <x v="45"/>
    <x v="0"/>
    <x v="4"/>
    <x v="0"/>
    <n v="91.65"/>
    <n v="99.64"/>
  </r>
  <r>
    <s v="2025-02-28"/>
    <x v="5"/>
    <x v="1"/>
    <x v="805"/>
    <n v="37.65"/>
    <n v="10"/>
    <n v="124.27"/>
    <x v="412"/>
    <x v="2"/>
    <x v="2"/>
    <x v="0"/>
    <n v="86.62"/>
    <n v="112.39"/>
  </r>
  <r>
    <s v="2025-02-13"/>
    <x v="5"/>
    <x v="1"/>
    <x v="725"/>
    <n v="22.49"/>
    <n v="1"/>
    <n v="213.05"/>
    <x v="8"/>
    <x v="2"/>
    <x v="1"/>
    <x v="0"/>
    <n v="190.56"/>
    <n v="119.33"/>
  </r>
  <r>
    <s v="2024-12-15"/>
    <x v="3"/>
    <x v="1"/>
    <x v="311"/>
    <n v="79.400000000000006"/>
    <n v="0"/>
    <n v="296.91000000000003"/>
    <x v="337"/>
    <x v="2"/>
    <x v="1"/>
    <x v="1"/>
    <n v="217.51000000000002"/>
    <n v="143.6"/>
  </r>
  <r>
    <s v="2024-12-24"/>
    <x v="3"/>
    <x v="2"/>
    <x v="335"/>
    <n v="62.06"/>
    <n v="9"/>
    <n v="142.52000000000001"/>
    <x v="433"/>
    <x v="0"/>
    <x v="2"/>
    <x v="0"/>
    <n v="80.460000000000008"/>
    <n v="77.12"/>
  </r>
  <r>
    <s v="2025-03-23"/>
    <x v="1"/>
    <x v="1"/>
    <x v="5"/>
    <n v="13.77"/>
    <n v="6"/>
    <n v="410.84"/>
    <x v="158"/>
    <x v="1"/>
    <x v="3"/>
    <x v="0"/>
    <n v="397.07"/>
    <n v="122.45"/>
  </r>
  <r>
    <s v="2025-03-01"/>
    <x v="1"/>
    <x v="3"/>
    <x v="196"/>
    <n v="90.76"/>
    <n v="0"/>
    <n v="260.01"/>
    <x v="299"/>
    <x v="0"/>
    <x v="2"/>
    <x v="1"/>
    <n v="169.25"/>
    <n v="85.56"/>
  </r>
  <r>
    <s v="2025-02-24"/>
    <x v="5"/>
    <x v="2"/>
    <x v="561"/>
    <n v="5.25"/>
    <n v="9"/>
    <n v="131.59"/>
    <x v="33"/>
    <x v="1"/>
    <x v="5"/>
    <x v="0"/>
    <n v="126.34"/>
    <n v="135.91"/>
  </r>
  <r>
    <s v="2024-11-21"/>
    <x v="4"/>
    <x v="3"/>
    <x v="369"/>
    <n v="144.83000000000001"/>
    <n v="6"/>
    <n v="419.01"/>
    <x v="270"/>
    <x v="0"/>
    <x v="3"/>
    <x v="0"/>
    <n v="274.17999999999995"/>
    <n v="114.44"/>
  </r>
  <r>
    <s v="2024-11-29"/>
    <x v="4"/>
    <x v="0"/>
    <x v="554"/>
    <n v="123.9"/>
    <n v="0"/>
    <n v="244.53"/>
    <x v="27"/>
    <x v="0"/>
    <x v="3"/>
    <x v="1"/>
    <n v="120.63"/>
    <n v="109.93"/>
  </r>
  <r>
    <s v="2025-03-08"/>
    <x v="1"/>
    <x v="3"/>
    <x v="734"/>
    <n v="145.05000000000001"/>
    <n v="3"/>
    <n v="276.14"/>
    <x v="139"/>
    <x v="1"/>
    <x v="2"/>
    <x v="0"/>
    <n v="131.08999999999997"/>
    <n v="146.07"/>
  </r>
  <r>
    <s v="2025-01-16"/>
    <x v="0"/>
    <x v="1"/>
    <x v="712"/>
    <n v="38.67"/>
    <n v="7"/>
    <n v="279.35000000000002"/>
    <x v="212"/>
    <x v="0"/>
    <x v="2"/>
    <x v="0"/>
    <n v="240.68"/>
    <n v="115.82"/>
  </r>
  <r>
    <s v="2025-04-25"/>
    <x v="2"/>
    <x v="0"/>
    <x v="400"/>
    <n v="37.479999999999997"/>
    <n v="5"/>
    <n v="493.55"/>
    <x v="434"/>
    <x v="2"/>
    <x v="4"/>
    <x v="0"/>
    <n v="456.07"/>
    <n v="210.11"/>
  </r>
  <r>
    <s v="2025-02-08"/>
    <x v="5"/>
    <x v="1"/>
    <x v="102"/>
    <n v="76.38"/>
    <n v="3"/>
    <n v="337.99"/>
    <x v="106"/>
    <x v="0"/>
    <x v="1"/>
    <x v="0"/>
    <n v="261.61"/>
    <n v="119.37"/>
  </r>
  <r>
    <s v="2025-02-08"/>
    <x v="5"/>
    <x v="3"/>
    <x v="806"/>
    <n v="49.77"/>
    <n v="1"/>
    <n v="66.84"/>
    <x v="45"/>
    <x v="0"/>
    <x v="5"/>
    <x v="0"/>
    <n v="17.07"/>
    <n v="98.5"/>
  </r>
  <r>
    <s v="2024-11-21"/>
    <x v="4"/>
    <x v="3"/>
    <x v="221"/>
    <n v="117.3"/>
    <n v="0"/>
    <n v="458.36"/>
    <x v="315"/>
    <x v="0"/>
    <x v="1"/>
    <x v="1"/>
    <n v="341.06"/>
    <n v="171.72"/>
  </r>
  <r>
    <s v="2025-03-23"/>
    <x v="1"/>
    <x v="2"/>
    <x v="275"/>
    <n v="57.28"/>
    <n v="5"/>
    <n v="307.25"/>
    <x v="78"/>
    <x v="2"/>
    <x v="5"/>
    <x v="0"/>
    <n v="249.97"/>
    <n v="163.1"/>
  </r>
  <r>
    <s v="2025-02-20"/>
    <x v="5"/>
    <x v="0"/>
    <x v="188"/>
    <n v="112.41"/>
    <n v="3"/>
    <n v="234.97"/>
    <x v="435"/>
    <x v="1"/>
    <x v="2"/>
    <x v="0"/>
    <n v="122.56"/>
    <n v="112.63"/>
  </r>
  <r>
    <s v="2025-01-28"/>
    <x v="0"/>
    <x v="3"/>
    <x v="54"/>
    <n v="64.23"/>
    <n v="9"/>
    <n v="46.66"/>
    <x v="286"/>
    <x v="2"/>
    <x v="5"/>
    <x v="0"/>
    <n v="-17.570000000000007"/>
    <n v="79.67"/>
  </r>
  <r>
    <s v="2025-03-11"/>
    <x v="1"/>
    <x v="3"/>
    <x v="696"/>
    <n v="81.239999999999995"/>
    <n v="4"/>
    <n v="131.02000000000001"/>
    <x v="338"/>
    <x v="1"/>
    <x v="4"/>
    <x v="0"/>
    <n v="49.780000000000015"/>
    <n v="118.71"/>
  </r>
  <r>
    <s v="2025-03-08"/>
    <x v="1"/>
    <x v="2"/>
    <x v="298"/>
    <n v="97.7"/>
    <n v="6"/>
    <n v="413.17"/>
    <x v="436"/>
    <x v="2"/>
    <x v="5"/>
    <x v="0"/>
    <n v="315.47000000000003"/>
    <n v="183.4"/>
  </r>
  <r>
    <s v="2025-02-01"/>
    <x v="5"/>
    <x v="2"/>
    <x v="127"/>
    <n v="137.88"/>
    <n v="5"/>
    <n v="487.88"/>
    <x v="217"/>
    <x v="1"/>
    <x v="2"/>
    <x v="0"/>
    <n v="350"/>
    <n v="150.02000000000001"/>
  </r>
  <r>
    <s v="2024-12-08"/>
    <x v="3"/>
    <x v="3"/>
    <x v="181"/>
    <n v="97.06"/>
    <n v="3"/>
    <n v="262.08999999999997"/>
    <x v="52"/>
    <x v="0"/>
    <x v="1"/>
    <x v="0"/>
    <n v="165.02999999999997"/>
    <n v="111.44"/>
  </r>
  <r>
    <s v="2024-12-11"/>
    <x v="3"/>
    <x v="1"/>
    <x v="515"/>
    <n v="79.37"/>
    <n v="1"/>
    <n v="264.23"/>
    <x v="2"/>
    <x v="1"/>
    <x v="4"/>
    <x v="0"/>
    <n v="184.86"/>
    <n v="136.72999999999999"/>
  </r>
  <r>
    <s v="2025-02-11"/>
    <x v="5"/>
    <x v="3"/>
    <x v="807"/>
    <n v="86.47"/>
    <n v="10"/>
    <n v="105.57"/>
    <x v="437"/>
    <x v="2"/>
    <x v="3"/>
    <x v="0"/>
    <n v="19.099999999999994"/>
    <n v="70.19"/>
  </r>
  <r>
    <s v="2025-04-20"/>
    <x v="2"/>
    <x v="1"/>
    <x v="281"/>
    <n v="140.31"/>
    <n v="0"/>
    <n v="461.51"/>
    <x v="235"/>
    <x v="0"/>
    <x v="4"/>
    <x v="1"/>
    <n v="321.2"/>
    <n v="151.22"/>
  </r>
  <r>
    <s v="2024-12-21"/>
    <x v="3"/>
    <x v="1"/>
    <x v="808"/>
    <n v="129.77000000000001"/>
    <n v="6"/>
    <n v="205.63"/>
    <x v="3"/>
    <x v="1"/>
    <x v="5"/>
    <x v="0"/>
    <n v="75.859999999999985"/>
    <n v="139.47999999999999"/>
  </r>
  <r>
    <s v="2025-01-24"/>
    <x v="0"/>
    <x v="2"/>
    <x v="276"/>
    <n v="63.97"/>
    <n v="8"/>
    <n v="491.91"/>
    <x v="375"/>
    <x v="1"/>
    <x v="3"/>
    <x v="0"/>
    <n v="427.94000000000005"/>
    <n v="200.02"/>
  </r>
  <r>
    <s v="2024-12-27"/>
    <x v="3"/>
    <x v="0"/>
    <x v="112"/>
    <n v="67.84"/>
    <n v="7"/>
    <n v="142.6"/>
    <x v="40"/>
    <x v="2"/>
    <x v="5"/>
    <x v="0"/>
    <n v="74.759999999999991"/>
    <n v="119.76"/>
  </r>
  <r>
    <s v="2025-03-07"/>
    <x v="1"/>
    <x v="2"/>
    <x v="713"/>
    <n v="54.75"/>
    <n v="0"/>
    <n v="72"/>
    <x v="368"/>
    <x v="1"/>
    <x v="2"/>
    <x v="1"/>
    <n v="17.25"/>
    <n v="86.71"/>
  </r>
  <r>
    <s v="2025-02-20"/>
    <x v="5"/>
    <x v="1"/>
    <x v="809"/>
    <n v="140.49"/>
    <n v="3"/>
    <n v="237.7"/>
    <x v="119"/>
    <x v="2"/>
    <x v="2"/>
    <x v="0"/>
    <n v="97.20999999999998"/>
    <n v="137.57"/>
  </r>
  <r>
    <s v="2024-11-21"/>
    <x v="4"/>
    <x v="1"/>
    <x v="399"/>
    <n v="72.989999999999995"/>
    <n v="7"/>
    <n v="351.24"/>
    <x v="210"/>
    <x v="0"/>
    <x v="2"/>
    <x v="0"/>
    <n v="278.25"/>
    <n v="120.6"/>
  </r>
  <r>
    <s v="2025-01-14"/>
    <x v="0"/>
    <x v="2"/>
    <x v="123"/>
    <n v="37.44"/>
    <n v="5"/>
    <n v="490.56"/>
    <x v="438"/>
    <x v="0"/>
    <x v="2"/>
    <x v="0"/>
    <n v="453.12"/>
    <n v="217.38"/>
  </r>
  <r>
    <s v="2025-02-21"/>
    <x v="5"/>
    <x v="3"/>
    <x v="810"/>
    <n v="13.52"/>
    <n v="10"/>
    <n v="409.2"/>
    <x v="16"/>
    <x v="1"/>
    <x v="2"/>
    <x v="0"/>
    <n v="395.68"/>
    <n v="152.58000000000001"/>
  </r>
  <r>
    <s v="2025-04-03"/>
    <x v="2"/>
    <x v="1"/>
    <x v="399"/>
    <n v="7.07"/>
    <n v="1"/>
    <n v="254.99"/>
    <x v="273"/>
    <x v="1"/>
    <x v="2"/>
    <x v="0"/>
    <n v="247.92000000000002"/>
    <n v="137.18"/>
  </r>
  <r>
    <s v="2024-12-04"/>
    <x v="3"/>
    <x v="3"/>
    <x v="429"/>
    <n v="133.81"/>
    <n v="4"/>
    <n v="187.69"/>
    <x v="36"/>
    <x v="0"/>
    <x v="1"/>
    <x v="0"/>
    <n v="53.879999999999995"/>
    <n v="143.38999999999999"/>
  </r>
  <r>
    <s v="2025-03-11"/>
    <x v="1"/>
    <x v="0"/>
    <x v="35"/>
    <n v="115.97"/>
    <n v="2"/>
    <n v="29.09"/>
    <x v="439"/>
    <x v="2"/>
    <x v="2"/>
    <x v="0"/>
    <n v="-86.88"/>
    <n v="33.89"/>
  </r>
  <r>
    <s v="2025-01-13"/>
    <x v="0"/>
    <x v="0"/>
    <x v="623"/>
    <n v="40.93"/>
    <n v="0"/>
    <n v="227.51"/>
    <x v="330"/>
    <x v="0"/>
    <x v="5"/>
    <x v="1"/>
    <n v="186.57999999999998"/>
    <n v="139.54"/>
  </r>
  <r>
    <s v="2024-12-12"/>
    <x v="3"/>
    <x v="3"/>
    <x v="811"/>
    <n v="143.06"/>
    <n v="6"/>
    <n v="265.10000000000002"/>
    <x v="249"/>
    <x v="0"/>
    <x v="1"/>
    <x v="0"/>
    <n v="122.04000000000002"/>
    <n v="126.59"/>
  </r>
  <r>
    <s v="2024-12-08"/>
    <x v="3"/>
    <x v="3"/>
    <x v="441"/>
    <n v="32.86"/>
    <n v="1"/>
    <n v="252.26"/>
    <x v="389"/>
    <x v="1"/>
    <x v="5"/>
    <x v="0"/>
    <n v="219.39999999999998"/>
    <n v="157.28"/>
  </r>
  <r>
    <s v="2025-01-23"/>
    <x v="0"/>
    <x v="2"/>
    <x v="138"/>
    <n v="14.14"/>
    <n v="4"/>
    <n v="466.84"/>
    <x v="87"/>
    <x v="2"/>
    <x v="1"/>
    <x v="0"/>
    <n v="452.7"/>
    <n v="154"/>
  </r>
  <r>
    <s v="2024-12-16"/>
    <x v="3"/>
    <x v="0"/>
    <x v="472"/>
    <n v="140.85"/>
    <n v="1"/>
    <n v="153.59"/>
    <x v="440"/>
    <x v="2"/>
    <x v="5"/>
    <x v="0"/>
    <n v="12.740000000000009"/>
    <n v="84.9"/>
  </r>
  <r>
    <s v="2025-01-17"/>
    <x v="0"/>
    <x v="1"/>
    <x v="223"/>
    <n v="121.63"/>
    <n v="1"/>
    <n v="114.25"/>
    <x v="361"/>
    <x v="1"/>
    <x v="0"/>
    <x v="0"/>
    <n v="-7.3799999999999955"/>
    <n v="144.22"/>
  </r>
  <r>
    <s v="2025-03-14"/>
    <x v="1"/>
    <x v="1"/>
    <x v="197"/>
    <n v="101.76"/>
    <n v="9"/>
    <n v="324.52"/>
    <x v="324"/>
    <x v="0"/>
    <x v="2"/>
    <x v="0"/>
    <n v="222.76"/>
    <n v="110.3"/>
  </r>
  <r>
    <s v="2025-01-07"/>
    <x v="0"/>
    <x v="2"/>
    <x v="621"/>
    <n v="104.01"/>
    <n v="5"/>
    <n v="280.54000000000002"/>
    <x v="351"/>
    <x v="0"/>
    <x v="5"/>
    <x v="0"/>
    <n v="176.53000000000003"/>
    <n v="114.35"/>
  </r>
  <r>
    <s v="2025-02-16"/>
    <x v="5"/>
    <x v="0"/>
    <x v="206"/>
    <n v="123.31"/>
    <n v="4"/>
    <n v="336.77"/>
    <x v="171"/>
    <x v="0"/>
    <x v="1"/>
    <x v="0"/>
    <n v="213.45999999999998"/>
    <n v="126.59"/>
  </r>
  <r>
    <s v="2025-02-20"/>
    <x v="5"/>
    <x v="1"/>
    <x v="15"/>
    <n v="65.53"/>
    <n v="10"/>
    <n v="427.04"/>
    <x v="12"/>
    <x v="2"/>
    <x v="5"/>
    <x v="0"/>
    <n v="361.51"/>
    <n v="118.16"/>
  </r>
  <r>
    <s v="2025-01-15"/>
    <x v="0"/>
    <x v="2"/>
    <x v="44"/>
    <n v="79.930000000000007"/>
    <n v="0"/>
    <n v="358.11"/>
    <x v="393"/>
    <x v="0"/>
    <x v="2"/>
    <x v="1"/>
    <n v="278.18"/>
    <n v="123.97"/>
  </r>
  <r>
    <s v="2025-03-16"/>
    <x v="1"/>
    <x v="1"/>
    <x v="812"/>
    <n v="9.0399999999999991"/>
    <n v="5"/>
    <n v="409.23"/>
    <x v="412"/>
    <x v="0"/>
    <x v="1"/>
    <x v="0"/>
    <n v="400.19"/>
    <n v="121.75"/>
  </r>
  <r>
    <s v="2025-01-26"/>
    <x v="0"/>
    <x v="2"/>
    <x v="437"/>
    <n v="35.78"/>
    <n v="2"/>
    <n v="77.86"/>
    <x v="242"/>
    <x v="0"/>
    <x v="4"/>
    <x v="0"/>
    <n v="42.08"/>
    <n v="147.37"/>
  </r>
  <r>
    <s v="2025-01-22"/>
    <x v="0"/>
    <x v="0"/>
    <x v="790"/>
    <n v="96.45"/>
    <n v="8"/>
    <n v="374.68"/>
    <x v="330"/>
    <x v="1"/>
    <x v="4"/>
    <x v="0"/>
    <n v="278.23"/>
    <n v="136.82"/>
  </r>
  <r>
    <s v="2024-11-23"/>
    <x v="4"/>
    <x v="1"/>
    <x v="813"/>
    <n v="93.01"/>
    <n v="8"/>
    <n v="271.08999999999997"/>
    <x v="121"/>
    <x v="0"/>
    <x v="1"/>
    <x v="0"/>
    <n v="178.07999999999998"/>
    <n v="140.22999999999999"/>
  </r>
  <r>
    <s v="2025-03-08"/>
    <x v="1"/>
    <x v="1"/>
    <x v="199"/>
    <n v="103.94"/>
    <n v="1"/>
    <n v="107.11"/>
    <x v="58"/>
    <x v="2"/>
    <x v="5"/>
    <x v="0"/>
    <n v="3.1700000000000017"/>
    <n v="154.16999999999999"/>
  </r>
  <r>
    <s v="2024-11-19"/>
    <x v="4"/>
    <x v="1"/>
    <x v="412"/>
    <n v="149.16"/>
    <n v="0"/>
    <n v="279.95999999999998"/>
    <x v="120"/>
    <x v="1"/>
    <x v="3"/>
    <x v="1"/>
    <n v="130.79999999999998"/>
    <n v="95.01"/>
  </r>
  <r>
    <s v="2025-02-05"/>
    <x v="5"/>
    <x v="2"/>
    <x v="497"/>
    <n v="130.22"/>
    <n v="1"/>
    <n v="428.07"/>
    <x v="434"/>
    <x v="1"/>
    <x v="4"/>
    <x v="0"/>
    <n v="297.85000000000002"/>
    <n v="205.09"/>
  </r>
  <r>
    <s v="2025-03-22"/>
    <x v="1"/>
    <x v="0"/>
    <x v="285"/>
    <n v="103.1"/>
    <n v="1"/>
    <n v="292.33"/>
    <x v="2"/>
    <x v="1"/>
    <x v="3"/>
    <x v="0"/>
    <n v="189.23"/>
    <n v="140.03"/>
  </r>
  <r>
    <s v="2024-12-20"/>
    <x v="3"/>
    <x v="0"/>
    <x v="130"/>
    <n v="32.33"/>
    <n v="3"/>
    <n v="345.29"/>
    <x v="45"/>
    <x v="0"/>
    <x v="2"/>
    <x v="0"/>
    <n v="312.96000000000004"/>
    <n v="104.44"/>
  </r>
  <r>
    <s v="2025-02-23"/>
    <x v="5"/>
    <x v="0"/>
    <x v="634"/>
    <n v="64.02"/>
    <n v="9"/>
    <n v="404.53"/>
    <x v="197"/>
    <x v="2"/>
    <x v="2"/>
    <x v="0"/>
    <n v="340.51"/>
    <n v="128.44"/>
  </r>
  <r>
    <s v="2025-03-12"/>
    <x v="1"/>
    <x v="1"/>
    <x v="656"/>
    <n v="89.27"/>
    <n v="3"/>
    <n v="32.619999999999997"/>
    <x v="28"/>
    <x v="1"/>
    <x v="2"/>
    <x v="0"/>
    <n v="-56.65"/>
    <n v="123.71"/>
  </r>
  <r>
    <s v="2024-11-24"/>
    <x v="4"/>
    <x v="0"/>
    <x v="280"/>
    <n v="94.8"/>
    <n v="3"/>
    <n v="405.88"/>
    <x v="441"/>
    <x v="2"/>
    <x v="4"/>
    <x v="0"/>
    <n v="311.08"/>
    <n v="180.61"/>
  </r>
  <r>
    <s v="2025-04-19"/>
    <x v="2"/>
    <x v="1"/>
    <x v="2"/>
    <n v="26.65"/>
    <n v="2"/>
    <n v="203.77"/>
    <x v="235"/>
    <x v="2"/>
    <x v="1"/>
    <x v="0"/>
    <n v="177.12"/>
    <n v="152.47"/>
  </r>
  <r>
    <s v="2024-11-11"/>
    <x v="4"/>
    <x v="1"/>
    <x v="772"/>
    <n v="46.79"/>
    <n v="10"/>
    <n v="239.77"/>
    <x v="329"/>
    <x v="1"/>
    <x v="5"/>
    <x v="0"/>
    <n v="192.98000000000002"/>
    <n v="75.349999999999994"/>
  </r>
  <r>
    <s v="2025-04-20"/>
    <x v="2"/>
    <x v="2"/>
    <x v="814"/>
    <n v="53.35"/>
    <n v="5"/>
    <n v="356.86"/>
    <x v="11"/>
    <x v="2"/>
    <x v="0"/>
    <x v="0"/>
    <n v="303.51"/>
    <n v="134.28"/>
  </r>
  <r>
    <s v="2025-02-24"/>
    <x v="5"/>
    <x v="2"/>
    <x v="549"/>
    <n v="19.91"/>
    <n v="4"/>
    <n v="133.29"/>
    <x v="382"/>
    <x v="2"/>
    <x v="5"/>
    <x v="0"/>
    <n v="113.38"/>
    <n v="97.73"/>
  </r>
  <r>
    <s v="2025-03-14"/>
    <x v="1"/>
    <x v="0"/>
    <x v="569"/>
    <n v="124.03"/>
    <n v="0"/>
    <n v="489.12"/>
    <x v="3"/>
    <x v="1"/>
    <x v="3"/>
    <x v="1"/>
    <n v="365.09000000000003"/>
    <n v="140.38999999999999"/>
  </r>
  <r>
    <s v="2024-11-11"/>
    <x v="4"/>
    <x v="3"/>
    <x v="252"/>
    <n v="97.9"/>
    <n v="2"/>
    <n v="140.94999999999999"/>
    <x v="106"/>
    <x v="2"/>
    <x v="5"/>
    <x v="0"/>
    <n v="43.049999999999983"/>
    <n v="119.2"/>
  </r>
  <r>
    <s v="2025-03-20"/>
    <x v="1"/>
    <x v="0"/>
    <x v="815"/>
    <n v="9.82"/>
    <n v="4"/>
    <n v="92.34"/>
    <x v="7"/>
    <x v="2"/>
    <x v="1"/>
    <x v="0"/>
    <n v="82.52000000000001"/>
    <n v="122.36"/>
  </r>
  <r>
    <s v="2025-04-08"/>
    <x v="2"/>
    <x v="3"/>
    <x v="1"/>
    <n v="131.30000000000001"/>
    <n v="9"/>
    <n v="283.94"/>
    <x v="442"/>
    <x v="0"/>
    <x v="2"/>
    <x v="0"/>
    <n v="152.63999999999999"/>
    <n v="87.42"/>
  </r>
  <r>
    <s v="2025-04-13"/>
    <x v="2"/>
    <x v="2"/>
    <x v="811"/>
    <n v="147.25"/>
    <n v="10"/>
    <n v="451.46"/>
    <x v="72"/>
    <x v="1"/>
    <x v="4"/>
    <x v="0"/>
    <n v="304.20999999999998"/>
    <n v="124.22"/>
  </r>
  <r>
    <s v="2025-02-14"/>
    <x v="5"/>
    <x v="1"/>
    <x v="645"/>
    <n v="107.9"/>
    <n v="4"/>
    <n v="308.86"/>
    <x v="191"/>
    <x v="1"/>
    <x v="2"/>
    <x v="0"/>
    <n v="200.96"/>
    <n v="153.58000000000001"/>
  </r>
  <r>
    <s v="2025-04-15"/>
    <x v="2"/>
    <x v="2"/>
    <x v="265"/>
    <n v="110.88"/>
    <n v="5"/>
    <n v="259.11"/>
    <x v="85"/>
    <x v="1"/>
    <x v="2"/>
    <x v="0"/>
    <n v="148.23000000000002"/>
    <n v="125.58"/>
  </r>
  <r>
    <s v="2025-04-09"/>
    <x v="2"/>
    <x v="3"/>
    <x v="688"/>
    <n v="143.15"/>
    <n v="7"/>
    <n v="208.91"/>
    <x v="10"/>
    <x v="1"/>
    <x v="0"/>
    <x v="0"/>
    <n v="65.759999999999991"/>
    <n v="132.66"/>
  </r>
  <r>
    <s v="2025-02-07"/>
    <x v="5"/>
    <x v="1"/>
    <x v="254"/>
    <n v="5.77"/>
    <n v="10"/>
    <n v="99.59"/>
    <x v="261"/>
    <x v="2"/>
    <x v="1"/>
    <x v="0"/>
    <n v="93.820000000000007"/>
    <n v="127.5"/>
  </r>
  <r>
    <s v="2025-03-08"/>
    <x v="1"/>
    <x v="3"/>
    <x v="290"/>
    <n v="45.12"/>
    <n v="7"/>
    <n v="172.15"/>
    <x v="66"/>
    <x v="1"/>
    <x v="0"/>
    <x v="0"/>
    <n v="127.03"/>
    <n v="123.85"/>
  </r>
  <r>
    <s v="2025-01-03"/>
    <x v="0"/>
    <x v="2"/>
    <x v="442"/>
    <n v="31.34"/>
    <n v="4"/>
    <n v="348.6"/>
    <x v="2"/>
    <x v="1"/>
    <x v="3"/>
    <x v="0"/>
    <n v="317.26000000000005"/>
    <n v="136.46"/>
  </r>
  <r>
    <s v="2024-12-22"/>
    <x v="3"/>
    <x v="3"/>
    <x v="635"/>
    <n v="117.97"/>
    <n v="5"/>
    <n v="293.54000000000002"/>
    <x v="128"/>
    <x v="2"/>
    <x v="2"/>
    <x v="0"/>
    <n v="175.57000000000002"/>
    <n v="147.97999999999999"/>
  </r>
  <r>
    <s v="2025-02-14"/>
    <x v="5"/>
    <x v="2"/>
    <x v="517"/>
    <n v="95.05"/>
    <n v="2"/>
    <n v="360.42"/>
    <x v="280"/>
    <x v="2"/>
    <x v="1"/>
    <x v="0"/>
    <n v="265.37"/>
    <n v="160.25"/>
  </r>
  <r>
    <s v="2025-03-21"/>
    <x v="1"/>
    <x v="2"/>
    <x v="698"/>
    <n v="98.64"/>
    <n v="6"/>
    <n v="465.99"/>
    <x v="316"/>
    <x v="0"/>
    <x v="2"/>
    <x v="0"/>
    <n v="367.35"/>
    <n v="108.2"/>
  </r>
  <r>
    <s v="2025-03-22"/>
    <x v="1"/>
    <x v="0"/>
    <x v="529"/>
    <n v="67.91"/>
    <n v="9"/>
    <n v="410.57"/>
    <x v="405"/>
    <x v="0"/>
    <x v="5"/>
    <x v="0"/>
    <n v="342.65999999999997"/>
    <n v="140.37"/>
  </r>
  <r>
    <s v="2024-12-06"/>
    <x v="3"/>
    <x v="2"/>
    <x v="164"/>
    <n v="130.32"/>
    <n v="1"/>
    <n v="440.22"/>
    <x v="41"/>
    <x v="2"/>
    <x v="2"/>
    <x v="0"/>
    <n v="309.90000000000003"/>
    <n v="117.5"/>
  </r>
  <r>
    <s v="2024-11-12"/>
    <x v="4"/>
    <x v="3"/>
    <x v="31"/>
    <n v="71.37"/>
    <n v="4"/>
    <n v="287.83"/>
    <x v="1"/>
    <x v="1"/>
    <x v="4"/>
    <x v="0"/>
    <n v="216.45999999999998"/>
    <n v="167.82"/>
  </r>
  <r>
    <s v="2025-01-01"/>
    <x v="0"/>
    <x v="1"/>
    <x v="468"/>
    <n v="97.09"/>
    <n v="10"/>
    <n v="316.64"/>
    <x v="407"/>
    <x v="1"/>
    <x v="2"/>
    <x v="0"/>
    <n v="219.54999999999998"/>
    <n v="148.03"/>
  </r>
  <r>
    <s v="2025-04-18"/>
    <x v="2"/>
    <x v="2"/>
    <x v="30"/>
    <n v="39.979999999999997"/>
    <n v="10"/>
    <n v="52.99"/>
    <x v="60"/>
    <x v="1"/>
    <x v="2"/>
    <x v="0"/>
    <n v="13.010000000000005"/>
    <n v="121.32"/>
  </r>
  <r>
    <s v="2025-03-26"/>
    <x v="1"/>
    <x v="2"/>
    <x v="816"/>
    <n v="72.010000000000005"/>
    <n v="4"/>
    <n v="371.76"/>
    <x v="443"/>
    <x v="1"/>
    <x v="5"/>
    <x v="0"/>
    <n v="299.75"/>
    <n v="175.4"/>
  </r>
  <r>
    <s v="2024-12-11"/>
    <x v="3"/>
    <x v="2"/>
    <x v="490"/>
    <n v="99.56"/>
    <n v="0"/>
    <n v="491.27"/>
    <x v="404"/>
    <x v="1"/>
    <x v="2"/>
    <x v="1"/>
    <n v="391.71"/>
    <n v="137.29"/>
  </r>
  <r>
    <s v="2024-12-28"/>
    <x v="3"/>
    <x v="3"/>
    <x v="264"/>
    <n v="12.11"/>
    <n v="3"/>
    <n v="308"/>
    <x v="106"/>
    <x v="0"/>
    <x v="5"/>
    <x v="0"/>
    <n v="295.89"/>
    <n v="122.71"/>
  </r>
  <r>
    <s v="2025-04-13"/>
    <x v="2"/>
    <x v="1"/>
    <x v="713"/>
    <n v="111.07"/>
    <n v="3"/>
    <n v="188.54"/>
    <x v="47"/>
    <x v="2"/>
    <x v="1"/>
    <x v="0"/>
    <n v="77.47"/>
    <n v="132.99"/>
  </r>
  <r>
    <s v="2024-12-18"/>
    <x v="3"/>
    <x v="1"/>
    <x v="582"/>
    <n v="94.33"/>
    <n v="7"/>
    <n v="138.04"/>
    <x v="24"/>
    <x v="1"/>
    <x v="2"/>
    <x v="0"/>
    <n v="43.709999999999994"/>
    <n v="116.87"/>
  </r>
  <r>
    <s v="2025-02-25"/>
    <x v="5"/>
    <x v="0"/>
    <x v="155"/>
    <n v="89.52"/>
    <n v="9"/>
    <n v="223.14"/>
    <x v="9"/>
    <x v="2"/>
    <x v="1"/>
    <x v="0"/>
    <n v="133.62"/>
    <n v="122.3"/>
  </r>
  <r>
    <s v="2024-12-22"/>
    <x v="3"/>
    <x v="3"/>
    <x v="96"/>
    <n v="62.4"/>
    <n v="4"/>
    <n v="248.19"/>
    <x v="275"/>
    <x v="1"/>
    <x v="1"/>
    <x v="0"/>
    <n v="185.79"/>
    <n v="117.14"/>
  </r>
  <r>
    <s v="2025-01-05"/>
    <x v="0"/>
    <x v="0"/>
    <x v="817"/>
    <n v="36.520000000000003"/>
    <n v="6"/>
    <n v="249.16"/>
    <x v="65"/>
    <x v="1"/>
    <x v="3"/>
    <x v="0"/>
    <n v="212.64"/>
    <n v="148.66999999999999"/>
  </r>
  <r>
    <s v="2025-01-29"/>
    <x v="0"/>
    <x v="3"/>
    <x v="161"/>
    <n v="145.11000000000001"/>
    <n v="7"/>
    <n v="404.39"/>
    <x v="16"/>
    <x v="2"/>
    <x v="2"/>
    <x v="0"/>
    <n v="259.27999999999997"/>
    <n v="156.82"/>
  </r>
  <r>
    <s v="2024-12-25"/>
    <x v="3"/>
    <x v="2"/>
    <x v="86"/>
    <n v="122.65"/>
    <n v="6"/>
    <n v="340.73"/>
    <x v="60"/>
    <x v="0"/>
    <x v="0"/>
    <x v="0"/>
    <n v="218.08"/>
    <n v="116.68"/>
  </r>
  <r>
    <s v="2025-02-14"/>
    <x v="5"/>
    <x v="0"/>
    <x v="389"/>
    <n v="16.16"/>
    <n v="3"/>
    <n v="326.02"/>
    <x v="158"/>
    <x v="1"/>
    <x v="1"/>
    <x v="0"/>
    <n v="309.85999999999996"/>
    <n v="127.05"/>
  </r>
  <r>
    <s v="2024-12-16"/>
    <x v="3"/>
    <x v="1"/>
    <x v="482"/>
    <n v="94.35"/>
    <n v="7"/>
    <n v="226.2"/>
    <x v="333"/>
    <x v="1"/>
    <x v="2"/>
    <x v="0"/>
    <n v="131.85"/>
    <n v="161.74"/>
  </r>
  <r>
    <s v="2025-04-26"/>
    <x v="2"/>
    <x v="0"/>
    <x v="818"/>
    <n v="125.01"/>
    <n v="5"/>
    <n v="356.76"/>
    <x v="0"/>
    <x v="0"/>
    <x v="1"/>
    <x v="0"/>
    <n v="231.75"/>
    <n v="112.12"/>
  </r>
  <r>
    <s v="2025-01-28"/>
    <x v="0"/>
    <x v="2"/>
    <x v="707"/>
    <n v="57.42"/>
    <n v="3"/>
    <n v="422.38"/>
    <x v="252"/>
    <x v="2"/>
    <x v="2"/>
    <x v="0"/>
    <n v="364.96"/>
    <n v="193.33"/>
  </r>
  <r>
    <s v="2025-03-26"/>
    <x v="1"/>
    <x v="0"/>
    <x v="288"/>
    <n v="58.33"/>
    <n v="2"/>
    <n v="112.98"/>
    <x v="268"/>
    <x v="0"/>
    <x v="2"/>
    <x v="0"/>
    <n v="54.650000000000006"/>
    <n v="108"/>
  </r>
  <r>
    <s v="2024-11-11"/>
    <x v="4"/>
    <x v="0"/>
    <x v="763"/>
    <n v="32.909999999999997"/>
    <n v="10"/>
    <n v="211.33"/>
    <x v="444"/>
    <x v="0"/>
    <x v="4"/>
    <x v="0"/>
    <n v="178.42000000000002"/>
    <n v="107.01"/>
  </r>
  <r>
    <s v="2024-11-08"/>
    <x v="4"/>
    <x v="2"/>
    <x v="819"/>
    <n v="65.08"/>
    <n v="4"/>
    <n v="454.54"/>
    <x v="20"/>
    <x v="1"/>
    <x v="1"/>
    <x v="0"/>
    <n v="389.46000000000004"/>
    <n v="169.44"/>
  </r>
  <r>
    <s v="2025-02-04"/>
    <x v="5"/>
    <x v="1"/>
    <x v="315"/>
    <n v="135.88999999999999"/>
    <n v="4"/>
    <n v="60.96"/>
    <x v="150"/>
    <x v="1"/>
    <x v="1"/>
    <x v="0"/>
    <n v="-74.929999999999978"/>
    <n v="143.11000000000001"/>
  </r>
  <r>
    <s v="2025-02-06"/>
    <x v="5"/>
    <x v="2"/>
    <x v="534"/>
    <n v="17.12"/>
    <n v="9"/>
    <n v="86.32"/>
    <x v="40"/>
    <x v="0"/>
    <x v="0"/>
    <x v="0"/>
    <n v="69.199999999999989"/>
    <n v="122.36"/>
  </r>
  <r>
    <s v="2024-11-07"/>
    <x v="4"/>
    <x v="0"/>
    <x v="820"/>
    <n v="42.1"/>
    <n v="6"/>
    <n v="497.59"/>
    <x v="445"/>
    <x v="0"/>
    <x v="4"/>
    <x v="0"/>
    <n v="455.48999999999995"/>
    <n v="221.69"/>
  </r>
  <r>
    <s v="2025-02-27"/>
    <x v="5"/>
    <x v="1"/>
    <x v="821"/>
    <n v="138.41"/>
    <n v="3"/>
    <n v="319.73"/>
    <x v="345"/>
    <x v="0"/>
    <x v="2"/>
    <x v="0"/>
    <n v="181.32000000000002"/>
    <n v="98.64"/>
  </r>
  <r>
    <s v="2025-01-17"/>
    <x v="0"/>
    <x v="1"/>
    <x v="682"/>
    <n v="126.03"/>
    <n v="1"/>
    <n v="177.73"/>
    <x v="36"/>
    <x v="0"/>
    <x v="2"/>
    <x v="0"/>
    <n v="51.699999999999989"/>
    <n v="138.32"/>
  </r>
  <r>
    <s v="2025-03-14"/>
    <x v="1"/>
    <x v="3"/>
    <x v="680"/>
    <n v="57.62"/>
    <n v="9"/>
    <n v="279.23"/>
    <x v="78"/>
    <x v="1"/>
    <x v="5"/>
    <x v="0"/>
    <n v="221.61"/>
    <n v="162.79"/>
  </r>
  <r>
    <s v="2025-03-09"/>
    <x v="1"/>
    <x v="2"/>
    <x v="167"/>
    <n v="112.29"/>
    <n v="8"/>
    <n v="153.91999999999999"/>
    <x v="139"/>
    <x v="1"/>
    <x v="4"/>
    <x v="0"/>
    <n v="41.629999999999981"/>
    <n v="141.03"/>
  </r>
  <r>
    <s v="2025-03-08"/>
    <x v="1"/>
    <x v="0"/>
    <x v="107"/>
    <n v="120.03"/>
    <n v="2"/>
    <n v="283.76"/>
    <x v="210"/>
    <x v="0"/>
    <x v="1"/>
    <x v="0"/>
    <n v="163.72999999999999"/>
    <n v="125.03"/>
  </r>
  <r>
    <s v="2025-02-10"/>
    <x v="5"/>
    <x v="1"/>
    <x v="267"/>
    <n v="35.590000000000003"/>
    <n v="2"/>
    <n v="273.39"/>
    <x v="283"/>
    <x v="0"/>
    <x v="5"/>
    <x v="0"/>
    <n v="237.79999999999998"/>
    <n v="161.44999999999999"/>
  </r>
  <r>
    <s v="2025-04-11"/>
    <x v="2"/>
    <x v="0"/>
    <x v="822"/>
    <n v="121.6"/>
    <n v="8"/>
    <n v="28.71"/>
    <x v="35"/>
    <x v="2"/>
    <x v="2"/>
    <x v="0"/>
    <n v="-92.889999999999986"/>
    <n v="101.62"/>
  </r>
  <r>
    <s v="2025-04-16"/>
    <x v="2"/>
    <x v="1"/>
    <x v="602"/>
    <n v="5.88"/>
    <n v="0"/>
    <n v="359.68"/>
    <x v="0"/>
    <x v="2"/>
    <x v="1"/>
    <x v="1"/>
    <n v="353.8"/>
    <n v="115.65"/>
  </r>
  <r>
    <s v="2024-10-31"/>
    <x v="6"/>
    <x v="0"/>
    <x v="24"/>
    <n v="30.75"/>
    <n v="8"/>
    <n v="362.48"/>
    <x v="74"/>
    <x v="2"/>
    <x v="3"/>
    <x v="0"/>
    <n v="331.73"/>
    <n v="131.88"/>
  </r>
  <r>
    <s v="2025-01-28"/>
    <x v="0"/>
    <x v="2"/>
    <x v="456"/>
    <n v="99.06"/>
    <n v="7"/>
    <n v="360.12"/>
    <x v="446"/>
    <x v="1"/>
    <x v="2"/>
    <x v="0"/>
    <n v="261.06"/>
    <n v="170.64"/>
  </r>
  <r>
    <s v="2025-04-22"/>
    <x v="2"/>
    <x v="0"/>
    <x v="181"/>
    <n v="59.43"/>
    <n v="6"/>
    <n v="347.54"/>
    <x v="225"/>
    <x v="0"/>
    <x v="0"/>
    <x v="0"/>
    <n v="288.11"/>
    <n v="96.21"/>
  </r>
  <r>
    <s v="2025-04-08"/>
    <x v="2"/>
    <x v="2"/>
    <x v="93"/>
    <n v="11.14"/>
    <n v="0"/>
    <n v="355.53"/>
    <x v="31"/>
    <x v="1"/>
    <x v="2"/>
    <x v="1"/>
    <n v="344.39"/>
    <n v="180.26"/>
  </r>
  <r>
    <s v="2025-01-07"/>
    <x v="0"/>
    <x v="3"/>
    <x v="14"/>
    <n v="106.1"/>
    <n v="4"/>
    <n v="358.15"/>
    <x v="447"/>
    <x v="0"/>
    <x v="0"/>
    <x v="0"/>
    <n v="252.04999999999998"/>
    <n v="170.94"/>
  </r>
  <r>
    <s v="2025-02-17"/>
    <x v="5"/>
    <x v="2"/>
    <x v="309"/>
    <n v="71.28"/>
    <n v="0"/>
    <n v="349.86"/>
    <x v="448"/>
    <x v="1"/>
    <x v="4"/>
    <x v="1"/>
    <n v="278.58000000000004"/>
    <n v="157.87"/>
  </r>
  <r>
    <s v="2025-02-16"/>
    <x v="5"/>
    <x v="3"/>
    <x v="138"/>
    <n v="11.6"/>
    <n v="1"/>
    <n v="55.86"/>
    <x v="347"/>
    <x v="0"/>
    <x v="0"/>
    <x v="0"/>
    <n v="44.26"/>
    <n v="85.31"/>
  </r>
  <r>
    <s v="2024-12-24"/>
    <x v="3"/>
    <x v="0"/>
    <x v="472"/>
    <n v="51.19"/>
    <n v="4"/>
    <n v="400.77"/>
    <x v="211"/>
    <x v="0"/>
    <x v="2"/>
    <x v="0"/>
    <n v="349.58"/>
    <n v="133.86000000000001"/>
  </r>
  <r>
    <s v="2024-12-29"/>
    <x v="3"/>
    <x v="1"/>
    <x v="365"/>
    <n v="125.41"/>
    <n v="7"/>
    <n v="197.81"/>
    <x v="328"/>
    <x v="1"/>
    <x v="4"/>
    <x v="0"/>
    <n v="72.400000000000006"/>
    <n v="121.34"/>
  </r>
  <r>
    <s v="2025-03-11"/>
    <x v="1"/>
    <x v="1"/>
    <x v="462"/>
    <n v="42.55"/>
    <n v="10"/>
    <n v="72.540000000000006"/>
    <x v="222"/>
    <x v="0"/>
    <x v="4"/>
    <x v="0"/>
    <n v="29.990000000000009"/>
    <n v="117.5"/>
  </r>
  <r>
    <s v="2025-02-08"/>
    <x v="5"/>
    <x v="3"/>
    <x v="528"/>
    <n v="137.37"/>
    <n v="5"/>
    <n v="444.16"/>
    <x v="205"/>
    <x v="2"/>
    <x v="0"/>
    <x v="0"/>
    <n v="306.79000000000002"/>
    <n v="140.38999999999999"/>
  </r>
  <r>
    <s v="2025-01-06"/>
    <x v="0"/>
    <x v="3"/>
    <x v="404"/>
    <n v="32.200000000000003"/>
    <n v="1"/>
    <n v="258.23"/>
    <x v="318"/>
    <x v="1"/>
    <x v="5"/>
    <x v="0"/>
    <n v="226.03000000000003"/>
    <n v="66.55"/>
  </r>
  <r>
    <s v="2024-11-03"/>
    <x v="4"/>
    <x v="2"/>
    <x v="666"/>
    <n v="115.03"/>
    <n v="9"/>
    <n v="376.93"/>
    <x v="178"/>
    <x v="2"/>
    <x v="5"/>
    <x v="0"/>
    <n v="261.89999999999998"/>
    <n v="112.74"/>
  </r>
  <r>
    <s v="2025-01-31"/>
    <x v="0"/>
    <x v="1"/>
    <x v="751"/>
    <n v="83.38"/>
    <n v="0"/>
    <n v="486.92"/>
    <x v="194"/>
    <x v="0"/>
    <x v="0"/>
    <x v="1"/>
    <n v="403.54"/>
    <n v="131.69"/>
  </r>
  <r>
    <s v="2025-01-14"/>
    <x v="0"/>
    <x v="2"/>
    <x v="823"/>
    <n v="83.51"/>
    <n v="7"/>
    <n v="499.26"/>
    <x v="66"/>
    <x v="0"/>
    <x v="0"/>
    <x v="0"/>
    <n v="415.75"/>
    <n v="117.83"/>
  </r>
  <r>
    <s v="2025-04-09"/>
    <x v="2"/>
    <x v="0"/>
    <x v="695"/>
    <n v="46.21"/>
    <n v="5"/>
    <n v="495.91"/>
    <x v="6"/>
    <x v="1"/>
    <x v="0"/>
    <x v="0"/>
    <n v="449.70000000000005"/>
    <n v="112.62"/>
  </r>
  <r>
    <s v="2025-02-25"/>
    <x v="5"/>
    <x v="3"/>
    <x v="537"/>
    <n v="85.36"/>
    <n v="6"/>
    <n v="211.46"/>
    <x v="305"/>
    <x v="0"/>
    <x v="2"/>
    <x v="0"/>
    <n v="126.10000000000001"/>
    <n v="126.23"/>
  </r>
  <r>
    <s v="2025-01-28"/>
    <x v="0"/>
    <x v="2"/>
    <x v="254"/>
    <n v="122.69"/>
    <n v="2"/>
    <n v="55.2"/>
    <x v="24"/>
    <x v="1"/>
    <x v="2"/>
    <x v="0"/>
    <n v="-67.489999999999995"/>
    <n v="119.66"/>
  </r>
  <r>
    <s v="2025-03-15"/>
    <x v="1"/>
    <x v="3"/>
    <x v="800"/>
    <n v="95.8"/>
    <n v="8"/>
    <n v="148.72"/>
    <x v="449"/>
    <x v="1"/>
    <x v="1"/>
    <x v="0"/>
    <n v="52.92"/>
    <n v="84.66"/>
  </r>
  <r>
    <s v="2025-04-26"/>
    <x v="2"/>
    <x v="1"/>
    <x v="824"/>
    <n v="125.98"/>
    <n v="7"/>
    <n v="121.86"/>
    <x v="450"/>
    <x v="1"/>
    <x v="2"/>
    <x v="0"/>
    <n v="-4.1200000000000045"/>
    <n v="50.25"/>
  </r>
  <r>
    <s v="2024-12-11"/>
    <x v="3"/>
    <x v="2"/>
    <x v="493"/>
    <n v="108.71"/>
    <n v="4"/>
    <n v="418.52"/>
    <x v="178"/>
    <x v="1"/>
    <x v="1"/>
    <x v="0"/>
    <n v="309.81"/>
    <n v="106.47"/>
  </r>
  <r>
    <s v="2025-04-14"/>
    <x v="2"/>
    <x v="3"/>
    <x v="789"/>
    <n v="86.26"/>
    <n v="9"/>
    <n v="323.60000000000002"/>
    <x v="9"/>
    <x v="2"/>
    <x v="2"/>
    <x v="0"/>
    <n v="237.34000000000003"/>
    <n v="118.49"/>
  </r>
  <r>
    <s v="2025-03-23"/>
    <x v="1"/>
    <x v="1"/>
    <x v="825"/>
    <n v="132.66999999999999"/>
    <n v="3"/>
    <n v="54.53"/>
    <x v="451"/>
    <x v="2"/>
    <x v="5"/>
    <x v="0"/>
    <n v="-78.139999999999986"/>
    <n v="43.53"/>
  </r>
  <r>
    <s v="2025-04-25"/>
    <x v="2"/>
    <x v="3"/>
    <x v="826"/>
    <n v="46.04"/>
    <n v="4"/>
    <n v="49.89"/>
    <x v="41"/>
    <x v="2"/>
    <x v="2"/>
    <x v="0"/>
    <n v="3.8500000000000014"/>
    <n v="125.22"/>
  </r>
  <r>
    <s v="2024-11-02"/>
    <x v="4"/>
    <x v="1"/>
    <x v="720"/>
    <n v="15.11"/>
    <n v="5"/>
    <n v="141.61000000000001"/>
    <x v="420"/>
    <x v="1"/>
    <x v="5"/>
    <x v="0"/>
    <n v="126.50000000000001"/>
    <n v="61.55"/>
  </r>
  <r>
    <s v="2024-11-23"/>
    <x v="4"/>
    <x v="1"/>
    <x v="252"/>
    <n v="52.23"/>
    <n v="8"/>
    <n v="389.42"/>
    <x v="100"/>
    <x v="1"/>
    <x v="1"/>
    <x v="0"/>
    <n v="337.19"/>
    <n v="142.79"/>
  </r>
  <r>
    <s v="2025-04-05"/>
    <x v="2"/>
    <x v="3"/>
    <x v="299"/>
    <n v="133.69999999999999"/>
    <n v="9"/>
    <n v="272.58999999999997"/>
    <x v="8"/>
    <x v="1"/>
    <x v="0"/>
    <x v="0"/>
    <n v="138.88999999999999"/>
    <n v="121.98"/>
  </r>
  <r>
    <s v="2025-03-08"/>
    <x v="1"/>
    <x v="3"/>
    <x v="73"/>
    <n v="76.069999999999993"/>
    <n v="9"/>
    <n v="129.46"/>
    <x v="80"/>
    <x v="0"/>
    <x v="5"/>
    <x v="0"/>
    <n v="53.390000000000015"/>
    <n v="149.32"/>
  </r>
  <r>
    <s v="2024-11-01"/>
    <x v="4"/>
    <x v="2"/>
    <x v="409"/>
    <n v="46.66"/>
    <n v="4"/>
    <n v="29.78"/>
    <x v="12"/>
    <x v="0"/>
    <x v="3"/>
    <x v="0"/>
    <n v="-16.879999999999995"/>
    <n v="125.12"/>
  </r>
  <r>
    <s v="2024-11-16"/>
    <x v="4"/>
    <x v="2"/>
    <x v="403"/>
    <n v="94.87"/>
    <n v="9"/>
    <n v="49.14"/>
    <x v="41"/>
    <x v="1"/>
    <x v="4"/>
    <x v="0"/>
    <n v="-45.730000000000004"/>
    <n v="117.09"/>
  </r>
  <r>
    <s v="2025-02-03"/>
    <x v="5"/>
    <x v="0"/>
    <x v="752"/>
    <n v="146"/>
    <n v="10"/>
    <n v="404.11"/>
    <x v="130"/>
    <x v="2"/>
    <x v="5"/>
    <x v="0"/>
    <n v="258.11"/>
    <n v="144.12"/>
  </r>
  <r>
    <s v="2024-11-11"/>
    <x v="4"/>
    <x v="0"/>
    <x v="221"/>
    <n v="28.86"/>
    <n v="10"/>
    <n v="260.19"/>
    <x v="285"/>
    <x v="0"/>
    <x v="5"/>
    <x v="0"/>
    <n v="231.32999999999998"/>
    <n v="152.41999999999999"/>
  </r>
  <r>
    <s v="2025-04-15"/>
    <x v="2"/>
    <x v="1"/>
    <x v="135"/>
    <n v="16.190000000000001"/>
    <n v="10"/>
    <n v="39.71"/>
    <x v="137"/>
    <x v="1"/>
    <x v="2"/>
    <x v="0"/>
    <n v="23.52"/>
    <n v="117.73"/>
  </r>
  <r>
    <s v="2024-12-29"/>
    <x v="3"/>
    <x v="1"/>
    <x v="449"/>
    <n v="113.88"/>
    <n v="8"/>
    <n v="301.31"/>
    <x v="61"/>
    <x v="0"/>
    <x v="4"/>
    <x v="0"/>
    <n v="187.43"/>
    <n v="96.93"/>
  </r>
  <r>
    <s v="2025-01-11"/>
    <x v="0"/>
    <x v="1"/>
    <x v="785"/>
    <n v="67.25"/>
    <n v="1"/>
    <n v="446.11"/>
    <x v="82"/>
    <x v="1"/>
    <x v="5"/>
    <x v="0"/>
    <n v="378.86"/>
    <n v="145.59"/>
  </r>
  <r>
    <s v="2025-04-20"/>
    <x v="2"/>
    <x v="0"/>
    <x v="31"/>
    <n v="34.380000000000003"/>
    <n v="2"/>
    <n v="394.96"/>
    <x v="260"/>
    <x v="1"/>
    <x v="2"/>
    <x v="0"/>
    <n v="360.58"/>
    <n v="116.53"/>
  </r>
  <r>
    <s v="2025-01-07"/>
    <x v="0"/>
    <x v="3"/>
    <x v="489"/>
    <n v="110.97"/>
    <n v="1"/>
    <n v="262.92"/>
    <x v="243"/>
    <x v="2"/>
    <x v="1"/>
    <x v="0"/>
    <n v="151.95000000000002"/>
    <n v="144.43"/>
  </r>
  <r>
    <s v="2025-03-20"/>
    <x v="1"/>
    <x v="1"/>
    <x v="633"/>
    <n v="41.1"/>
    <n v="9"/>
    <n v="30.92"/>
    <x v="222"/>
    <x v="2"/>
    <x v="1"/>
    <x v="0"/>
    <n v="-10.18"/>
    <n v="111.52"/>
  </r>
  <r>
    <s v="2024-11-25"/>
    <x v="4"/>
    <x v="1"/>
    <x v="713"/>
    <n v="19.62"/>
    <n v="3"/>
    <n v="23.11"/>
    <x v="285"/>
    <x v="2"/>
    <x v="1"/>
    <x v="0"/>
    <n v="3.4899999999999984"/>
    <n v="154.68"/>
  </r>
  <r>
    <s v="2025-03-30"/>
    <x v="1"/>
    <x v="2"/>
    <x v="827"/>
    <n v="63.35"/>
    <n v="10"/>
    <n v="28.25"/>
    <x v="442"/>
    <x v="0"/>
    <x v="0"/>
    <x v="0"/>
    <n v="-35.1"/>
    <n v="85.23"/>
  </r>
  <r>
    <s v="2025-01-02"/>
    <x v="0"/>
    <x v="0"/>
    <x v="122"/>
    <n v="10.3"/>
    <n v="0"/>
    <n v="279.25"/>
    <x v="41"/>
    <x v="2"/>
    <x v="1"/>
    <x v="1"/>
    <n v="268.95"/>
    <n v="119.96"/>
  </r>
  <r>
    <s v="2025-04-02"/>
    <x v="2"/>
    <x v="2"/>
    <x v="828"/>
    <n v="103.88"/>
    <n v="9"/>
    <n v="193.52"/>
    <x v="191"/>
    <x v="2"/>
    <x v="1"/>
    <x v="0"/>
    <n v="89.640000000000015"/>
    <n v="151.62"/>
  </r>
  <r>
    <s v="2025-04-19"/>
    <x v="2"/>
    <x v="1"/>
    <x v="437"/>
    <n v="44.24"/>
    <n v="7"/>
    <n v="474.99"/>
    <x v="361"/>
    <x v="2"/>
    <x v="2"/>
    <x v="0"/>
    <n v="430.75"/>
    <n v="148.84"/>
  </r>
  <r>
    <s v="2025-03-12"/>
    <x v="1"/>
    <x v="1"/>
    <x v="2"/>
    <n v="149.81"/>
    <n v="4"/>
    <n v="207.64"/>
    <x v="452"/>
    <x v="1"/>
    <x v="2"/>
    <x v="0"/>
    <n v="57.829999999999984"/>
    <n v="110.09"/>
  </r>
  <r>
    <s v="2025-03-16"/>
    <x v="1"/>
    <x v="1"/>
    <x v="829"/>
    <n v="110.34"/>
    <n v="2"/>
    <n v="495.66"/>
    <x v="191"/>
    <x v="0"/>
    <x v="1"/>
    <x v="0"/>
    <n v="385.32000000000005"/>
    <n v="147.78"/>
  </r>
  <r>
    <s v="2024-12-15"/>
    <x v="3"/>
    <x v="3"/>
    <x v="196"/>
    <n v="25.7"/>
    <n v="3"/>
    <n v="458.2"/>
    <x v="205"/>
    <x v="1"/>
    <x v="1"/>
    <x v="0"/>
    <n v="432.5"/>
    <n v="142.33000000000001"/>
  </r>
  <r>
    <s v="2024-12-19"/>
    <x v="3"/>
    <x v="2"/>
    <x v="58"/>
    <n v="57.61"/>
    <n v="4"/>
    <n v="470.36"/>
    <x v="188"/>
    <x v="0"/>
    <x v="0"/>
    <x v="0"/>
    <n v="412.75"/>
    <n v="157.9"/>
  </r>
  <r>
    <s v="2025-02-08"/>
    <x v="5"/>
    <x v="3"/>
    <x v="718"/>
    <n v="29.31"/>
    <n v="8"/>
    <n v="107.13"/>
    <x v="63"/>
    <x v="2"/>
    <x v="4"/>
    <x v="0"/>
    <n v="77.819999999999993"/>
    <n v="123"/>
  </r>
  <r>
    <s v="2025-02-23"/>
    <x v="5"/>
    <x v="1"/>
    <x v="129"/>
    <n v="149.57"/>
    <n v="5"/>
    <n v="52.93"/>
    <x v="11"/>
    <x v="1"/>
    <x v="2"/>
    <x v="0"/>
    <n v="-96.639999999999986"/>
    <n v="138.38"/>
  </r>
  <r>
    <s v="2024-11-23"/>
    <x v="4"/>
    <x v="0"/>
    <x v="483"/>
    <n v="97.34"/>
    <n v="9"/>
    <n v="222.51"/>
    <x v="9"/>
    <x v="2"/>
    <x v="1"/>
    <x v="0"/>
    <n v="125.16999999999999"/>
    <n v="127.03"/>
  </r>
  <r>
    <s v="2024-12-24"/>
    <x v="3"/>
    <x v="1"/>
    <x v="714"/>
    <n v="130.03"/>
    <n v="6"/>
    <n v="453.02"/>
    <x v="9"/>
    <x v="0"/>
    <x v="1"/>
    <x v="0"/>
    <n v="322.99"/>
    <n v="123.05"/>
  </r>
  <r>
    <s v="2025-03-08"/>
    <x v="1"/>
    <x v="2"/>
    <x v="168"/>
    <n v="10.59"/>
    <n v="3"/>
    <n v="53.48"/>
    <x v="453"/>
    <x v="1"/>
    <x v="5"/>
    <x v="0"/>
    <n v="42.89"/>
    <n v="46.84"/>
  </r>
  <r>
    <s v="2025-03-10"/>
    <x v="1"/>
    <x v="2"/>
    <x v="828"/>
    <n v="46.07"/>
    <n v="8"/>
    <n v="261.12"/>
    <x v="191"/>
    <x v="0"/>
    <x v="5"/>
    <x v="0"/>
    <n v="215.05"/>
    <n v="151.65"/>
  </r>
  <r>
    <s v="2024-12-18"/>
    <x v="3"/>
    <x v="0"/>
    <x v="806"/>
    <n v="58.03"/>
    <n v="3"/>
    <n v="335.5"/>
    <x v="115"/>
    <x v="1"/>
    <x v="2"/>
    <x v="0"/>
    <n v="277.47000000000003"/>
    <n v="156.94"/>
  </r>
  <r>
    <s v="2025-03-24"/>
    <x v="1"/>
    <x v="2"/>
    <x v="496"/>
    <n v="119.29"/>
    <n v="6"/>
    <n v="240.68"/>
    <x v="112"/>
    <x v="1"/>
    <x v="1"/>
    <x v="0"/>
    <n v="121.39"/>
    <n v="147.63999999999999"/>
  </r>
  <r>
    <s v="2025-04-18"/>
    <x v="2"/>
    <x v="3"/>
    <x v="219"/>
    <n v="27"/>
    <n v="1"/>
    <n v="162.93"/>
    <x v="80"/>
    <x v="1"/>
    <x v="2"/>
    <x v="0"/>
    <n v="135.93"/>
    <n v="143.38"/>
  </r>
  <r>
    <s v="2025-03-30"/>
    <x v="1"/>
    <x v="0"/>
    <x v="626"/>
    <n v="25.7"/>
    <n v="6"/>
    <n v="333.59"/>
    <x v="21"/>
    <x v="0"/>
    <x v="3"/>
    <x v="0"/>
    <n v="307.89"/>
    <n v="139.15"/>
  </r>
  <r>
    <s v="2024-11-30"/>
    <x v="4"/>
    <x v="1"/>
    <x v="265"/>
    <n v="127.17"/>
    <n v="10"/>
    <n v="429.71"/>
    <x v="257"/>
    <x v="1"/>
    <x v="5"/>
    <x v="0"/>
    <n v="302.53999999999996"/>
    <n v="120.71"/>
  </r>
  <r>
    <s v="2024-11-07"/>
    <x v="4"/>
    <x v="0"/>
    <x v="334"/>
    <n v="143.88999999999999"/>
    <n v="8"/>
    <n v="32.22"/>
    <x v="160"/>
    <x v="0"/>
    <x v="1"/>
    <x v="0"/>
    <n v="-111.66999999999999"/>
    <n v="112.77"/>
  </r>
  <r>
    <s v="2024-11-09"/>
    <x v="4"/>
    <x v="0"/>
    <x v="280"/>
    <n v="43.95"/>
    <n v="1"/>
    <n v="411.87"/>
    <x v="370"/>
    <x v="0"/>
    <x v="2"/>
    <x v="0"/>
    <n v="367.92"/>
    <n v="186.49"/>
  </r>
  <r>
    <s v="2025-03-05"/>
    <x v="1"/>
    <x v="0"/>
    <x v="703"/>
    <n v="116.94"/>
    <n v="3"/>
    <n v="54.91"/>
    <x v="89"/>
    <x v="2"/>
    <x v="4"/>
    <x v="0"/>
    <n v="-62.03"/>
    <n v="87.51"/>
  </r>
  <r>
    <s v="2025-01-23"/>
    <x v="0"/>
    <x v="0"/>
    <x v="593"/>
    <n v="92.24"/>
    <n v="0"/>
    <n v="25.55"/>
    <x v="450"/>
    <x v="0"/>
    <x v="3"/>
    <x v="1"/>
    <n v="-66.69"/>
    <n v="47.44"/>
  </r>
  <r>
    <s v="2024-11-24"/>
    <x v="4"/>
    <x v="2"/>
    <x v="9"/>
    <n v="21.99"/>
    <n v="7"/>
    <n v="426.83"/>
    <x v="80"/>
    <x v="0"/>
    <x v="4"/>
    <x v="0"/>
    <n v="404.84"/>
    <n v="149.74"/>
  </r>
  <r>
    <s v="2025-01-30"/>
    <x v="0"/>
    <x v="0"/>
    <x v="830"/>
    <n v="37.24"/>
    <n v="1"/>
    <n v="469.29"/>
    <x v="109"/>
    <x v="2"/>
    <x v="1"/>
    <x v="0"/>
    <n v="432.05"/>
    <n v="114.85"/>
  </r>
  <r>
    <s v="2024-11-01"/>
    <x v="4"/>
    <x v="2"/>
    <x v="240"/>
    <n v="35.5"/>
    <n v="3"/>
    <n v="198.32"/>
    <x v="109"/>
    <x v="2"/>
    <x v="1"/>
    <x v="0"/>
    <n v="162.82"/>
    <n v="109.19"/>
  </r>
  <r>
    <s v="2025-04-20"/>
    <x v="2"/>
    <x v="3"/>
    <x v="20"/>
    <n v="102.19"/>
    <n v="7"/>
    <n v="315.3"/>
    <x v="11"/>
    <x v="1"/>
    <x v="5"/>
    <x v="0"/>
    <n v="213.11"/>
    <n v="139.96"/>
  </r>
  <r>
    <s v="2024-12-04"/>
    <x v="3"/>
    <x v="0"/>
    <x v="344"/>
    <n v="143.57"/>
    <n v="2"/>
    <n v="456.36"/>
    <x v="75"/>
    <x v="2"/>
    <x v="1"/>
    <x v="0"/>
    <n v="312.79000000000002"/>
    <n v="183.79"/>
  </r>
  <r>
    <s v="2025-03-22"/>
    <x v="1"/>
    <x v="1"/>
    <x v="27"/>
    <n v="32.64"/>
    <n v="2"/>
    <n v="38.69"/>
    <x v="329"/>
    <x v="0"/>
    <x v="1"/>
    <x v="0"/>
    <n v="6.0499999999999972"/>
    <n v="75.72"/>
  </r>
  <r>
    <s v="2025-04-21"/>
    <x v="2"/>
    <x v="2"/>
    <x v="196"/>
    <n v="114.17"/>
    <n v="6"/>
    <n v="378.28"/>
    <x v="10"/>
    <x v="2"/>
    <x v="3"/>
    <x v="0"/>
    <n v="264.10999999999996"/>
    <n v="130.41999999999999"/>
  </r>
  <r>
    <s v="2024-11-07"/>
    <x v="4"/>
    <x v="1"/>
    <x v="726"/>
    <n v="66.459999999999994"/>
    <n v="0"/>
    <n v="289.24"/>
    <x v="134"/>
    <x v="1"/>
    <x v="1"/>
    <x v="1"/>
    <n v="222.78000000000003"/>
    <n v="124.84"/>
  </r>
  <r>
    <s v="2025-01-15"/>
    <x v="0"/>
    <x v="3"/>
    <x v="115"/>
    <n v="101.38"/>
    <n v="10"/>
    <n v="472.48"/>
    <x v="17"/>
    <x v="0"/>
    <x v="2"/>
    <x v="0"/>
    <n v="371.1"/>
    <n v="130.97"/>
  </r>
  <r>
    <s v="2025-03-09"/>
    <x v="1"/>
    <x v="2"/>
    <x v="207"/>
    <n v="78.819999999999993"/>
    <n v="1"/>
    <n v="467.38"/>
    <x v="2"/>
    <x v="2"/>
    <x v="3"/>
    <x v="0"/>
    <n v="388.56"/>
    <n v="140.51"/>
  </r>
  <r>
    <s v="2025-02-03"/>
    <x v="5"/>
    <x v="1"/>
    <x v="513"/>
    <n v="81.400000000000006"/>
    <n v="1"/>
    <n v="387.05"/>
    <x v="57"/>
    <x v="1"/>
    <x v="1"/>
    <x v="0"/>
    <n v="305.64999999999998"/>
    <n v="115.85"/>
  </r>
  <r>
    <s v="2025-01-23"/>
    <x v="0"/>
    <x v="0"/>
    <x v="19"/>
    <n v="9.07"/>
    <n v="10"/>
    <n v="484.22"/>
    <x v="34"/>
    <x v="2"/>
    <x v="4"/>
    <x v="0"/>
    <n v="475.15000000000003"/>
    <n v="149.18"/>
  </r>
  <r>
    <s v="2025-01-25"/>
    <x v="0"/>
    <x v="2"/>
    <x v="644"/>
    <n v="5.57"/>
    <n v="6"/>
    <n v="401.15"/>
    <x v="80"/>
    <x v="1"/>
    <x v="4"/>
    <x v="0"/>
    <n v="395.58"/>
    <n v="144.63999999999999"/>
  </r>
  <r>
    <s v="2024-11-21"/>
    <x v="4"/>
    <x v="2"/>
    <x v="569"/>
    <n v="136.32"/>
    <n v="9"/>
    <n v="195.76"/>
    <x v="42"/>
    <x v="1"/>
    <x v="0"/>
    <x v="0"/>
    <n v="59.44"/>
    <n v="139.59"/>
  </r>
  <r>
    <s v="2025-03-20"/>
    <x v="1"/>
    <x v="1"/>
    <x v="162"/>
    <n v="36.68"/>
    <n v="2"/>
    <n v="255.86"/>
    <x v="454"/>
    <x v="2"/>
    <x v="1"/>
    <x v="0"/>
    <n v="219.18"/>
    <n v="127.78"/>
  </r>
  <r>
    <s v="2024-12-02"/>
    <x v="3"/>
    <x v="3"/>
    <x v="831"/>
    <n v="51.67"/>
    <n v="1"/>
    <n v="113.57"/>
    <x v="455"/>
    <x v="0"/>
    <x v="2"/>
    <x v="0"/>
    <n v="61.899999999999991"/>
    <n v="55.93"/>
  </r>
  <r>
    <s v="2024-12-30"/>
    <x v="3"/>
    <x v="3"/>
    <x v="602"/>
    <n v="9.25"/>
    <n v="4"/>
    <n v="488.65"/>
    <x v="80"/>
    <x v="1"/>
    <x v="2"/>
    <x v="0"/>
    <n v="479.4"/>
    <n v="149.37"/>
  </r>
  <r>
    <s v="2025-03-03"/>
    <x v="1"/>
    <x v="1"/>
    <x v="793"/>
    <n v="41.06"/>
    <n v="0"/>
    <n v="347.44"/>
    <x v="92"/>
    <x v="1"/>
    <x v="1"/>
    <x v="1"/>
    <n v="306.38"/>
    <n v="126.3"/>
  </r>
  <r>
    <s v="2025-03-03"/>
    <x v="1"/>
    <x v="1"/>
    <x v="340"/>
    <n v="91.78"/>
    <n v="10"/>
    <n v="159.28"/>
    <x v="60"/>
    <x v="2"/>
    <x v="2"/>
    <x v="0"/>
    <n v="67.5"/>
    <n v="125.53"/>
  </r>
  <r>
    <s v="2025-04-19"/>
    <x v="2"/>
    <x v="1"/>
    <x v="442"/>
    <n v="104.59"/>
    <n v="4"/>
    <n v="417.59"/>
    <x v="119"/>
    <x v="1"/>
    <x v="2"/>
    <x v="0"/>
    <n v="313"/>
    <n v="139.66"/>
  </r>
  <r>
    <s v="2025-04-12"/>
    <x v="2"/>
    <x v="2"/>
    <x v="615"/>
    <n v="14.81"/>
    <n v="0"/>
    <n v="333.7"/>
    <x v="285"/>
    <x v="0"/>
    <x v="0"/>
    <x v="1"/>
    <n v="318.89"/>
    <n v="156.54"/>
  </r>
  <r>
    <s v="2024-11-17"/>
    <x v="4"/>
    <x v="1"/>
    <x v="680"/>
    <n v="12.19"/>
    <n v="3"/>
    <n v="129.05000000000001"/>
    <x v="52"/>
    <x v="2"/>
    <x v="4"/>
    <x v="0"/>
    <n v="116.86000000000001"/>
    <n v="110.81"/>
  </r>
  <r>
    <s v="2024-12-03"/>
    <x v="3"/>
    <x v="0"/>
    <x v="602"/>
    <n v="68.63"/>
    <n v="6"/>
    <n v="82.51"/>
    <x v="151"/>
    <x v="0"/>
    <x v="2"/>
    <x v="0"/>
    <n v="13.88000000000001"/>
    <n v="120.9"/>
  </r>
  <r>
    <s v="2025-02-13"/>
    <x v="5"/>
    <x v="3"/>
    <x v="36"/>
    <n v="134.05000000000001"/>
    <n v="2"/>
    <n v="398.14"/>
    <x v="106"/>
    <x v="1"/>
    <x v="1"/>
    <x v="0"/>
    <n v="264.08999999999997"/>
    <n v="120.43"/>
  </r>
  <r>
    <s v="2025-03-28"/>
    <x v="1"/>
    <x v="0"/>
    <x v="677"/>
    <n v="137.16999999999999"/>
    <n v="6"/>
    <n v="184.48"/>
    <x v="6"/>
    <x v="0"/>
    <x v="2"/>
    <x v="0"/>
    <n v="47.31"/>
    <n v="113.38"/>
  </r>
  <r>
    <s v="2025-04-22"/>
    <x v="2"/>
    <x v="1"/>
    <x v="402"/>
    <n v="89.85"/>
    <n v="3"/>
    <n v="91.38"/>
    <x v="9"/>
    <x v="0"/>
    <x v="3"/>
    <x v="0"/>
    <n v="1.5300000000000011"/>
    <n v="117.12"/>
  </r>
  <r>
    <s v="2024-11-13"/>
    <x v="4"/>
    <x v="3"/>
    <x v="828"/>
    <n v="9.16"/>
    <n v="6"/>
    <n v="242.69"/>
    <x v="117"/>
    <x v="2"/>
    <x v="0"/>
    <x v="0"/>
    <n v="233.53"/>
    <n v="126.02"/>
  </r>
  <r>
    <s v="2024-10-30"/>
    <x v="6"/>
    <x v="2"/>
    <x v="248"/>
    <n v="138.69"/>
    <n v="5"/>
    <n v="468.03"/>
    <x v="139"/>
    <x v="1"/>
    <x v="2"/>
    <x v="0"/>
    <n v="329.34"/>
    <n v="144.86000000000001"/>
  </r>
  <r>
    <s v="2025-01-05"/>
    <x v="0"/>
    <x v="1"/>
    <x v="495"/>
    <n v="52.57"/>
    <n v="8"/>
    <n v="183.34"/>
    <x v="41"/>
    <x v="2"/>
    <x v="0"/>
    <x v="0"/>
    <n v="130.77000000000001"/>
    <n v="123.85"/>
  </r>
  <r>
    <s v="2025-04-10"/>
    <x v="2"/>
    <x v="2"/>
    <x v="499"/>
    <n v="92.23"/>
    <n v="3"/>
    <n v="334.4"/>
    <x v="54"/>
    <x v="0"/>
    <x v="4"/>
    <x v="0"/>
    <n v="242.16999999999996"/>
    <n v="138.43"/>
  </r>
  <r>
    <s v="2025-01-27"/>
    <x v="0"/>
    <x v="2"/>
    <x v="725"/>
    <n v="123.34"/>
    <n v="5"/>
    <n v="454.93"/>
    <x v="24"/>
    <x v="1"/>
    <x v="2"/>
    <x v="0"/>
    <n v="331.59000000000003"/>
    <n v="114.34"/>
  </r>
  <r>
    <s v="2024-11-08"/>
    <x v="4"/>
    <x v="1"/>
    <x v="185"/>
    <n v="145.29"/>
    <n v="0"/>
    <n v="103.99"/>
    <x v="142"/>
    <x v="0"/>
    <x v="1"/>
    <x v="1"/>
    <n v="-41.3"/>
    <n v="98.2"/>
  </r>
  <r>
    <s v="2025-01-16"/>
    <x v="0"/>
    <x v="2"/>
    <x v="194"/>
    <n v="64.150000000000006"/>
    <n v="9"/>
    <n v="275.88"/>
    <x v="274"/>
    <x v="2"/>
    <x v="0"/>
    <x v="0"/>
    <n v="211.73"/>
    <n v="107.04"/>
  </r>
  <r>
    <s v="2025-03-02"/>
    <x v="1"/>
    <x v="2"/>
    <x v="832"/>
    <n v="5.86"/>
    <n v="2"/>
    <n v="69.099999999999994"/>
    <x v="111"/>
    <x v="1"/>
    <x v="5"/>
    <x v="0"/>
    <n v="63.239999999999995"/>
    <n v="128.49"/>
  </r>
  <r>
    <s v="2024-11-29"/>
    <x v="4"/>
    <x v="3"/>
    <x v="303"/>
    <n v="99.57"/>
    <n v="9"/>
    <n v="85.24"/>
    <x v="396"/>
    <x v="1"/>
    <x v="5"/>
    <x v="0"/>
    <n v="-14.329999999999998"/>
    <n v="101.36"/>
  </r>
  <r>
    <s v="2025-02-08"/>
    <x v="5"/>
    <x v="3"/>
    <x v="833"/>
    <n v="13.84"/>
    <n v="5"/>
    <n v="408.74"/>
    <x v="60"/>
    <x v="2"/>
    <x v="2"/>
    <x v="0"/>
    <n v="394.90000000000003"/>
    <n v="120.53"/>
  </r>
  <r>
    <s v="2025-02-06"/>
    <x v="5"/>
    <x v="3"/>
    <x v="726"/>
    <n v="103.81"/>
    <n v="5"/>
    <n v="233.19"/>
    <x v="21"/>
    <x v="2"/>
    <x v="1"/>
    <x v="0"/>
    <n v="129.38"/>
    <n v="138.94999999999999"/>
  </r>
  <r>
    <s v="2025-01-29"/>
    <x v="0"/>
    <x v="2"/>
    <x v="834"/>
    <n v="18.25"/>
    <n v="8"/>
    <n v="271.5"/>
    <x v="103"/>
    <x v="1"/>
    <x v="3"/>
    <x v="0"/>
    <n v="253.25"/>
    <n v="166.24"/>
  </r>
  <r>
    <s v="2025-02-21"/>
    <x v="5"/>
    <x v="3"/>
    <x v="805"/>
    <n v="65.48"/>
    <n v="10"/>
    <n v="294.82"/>
    <x v="11"/>
    <x v="0"/>
    <x v="2"/>
    <x v="0"/>
    <n v="229.33999999999997"/>
    <n v="137.37"/>
  </r>
  <r>
    <s v="2025-03-17"/>
    <x v="1"/>
    <x v="1"/>
    <x v="223"/>
    <n v="79.7"/>
    <n v="7"/>
    <n v="301.17"/>
    <x v="41"/>
    <x v="2"/>
    <x v="0"/>
    <x v="0"/>
    <n v="221.47000000000003"/>
    <n v="121.02"/>
  </r>
  <r>
    <s v="2025-01-22"/>
    <x v="0"/>
    <x v="1"/>
    <x v="789"/>
    <n v="120.15"/>
    <n v="0"/>
    <n v="35.42"/>
    <x v="316"/>
    <x v="1"/>
    <x v="4"/>
    <x v="1"/>
    <n v="-84.73"/>
    <n v="111.31"/>
  </r>
  <r>
    <s v="2025-03-11"/>
    <x v="1"/>
    <x v="1"/>
    <x v="626"/>
    <n v="142.80000000000001"/>
    <n v="5"/>
    <n v="432.18"/>
    <x v="7"/>
    <x v="2"/>
    <x v="1"/>
    <x v="0"/>
    <n v="289.38"/>
    <n v="124.84"/>
  </r>
  <r>
    <s v="2025-04-17"/>
    <x v="2"/>
    <x v="0"/>
    <x v="519"/>
    <n v="105.98"/>
    <n v="8"/>
    <n v="486.63"/>
    <x v="408"/>
    <x v="0"/>
    <x v="5"/>
    <x v="0"/>
    <n v="380.65"/>
    <n v="188.77"/>
  </r>
  <r>
    <s v="2024-12-19"/>
    <x v="3"/>
    <x v="2"/>
    <x v="442"/>
    <n v="16.260000000000002"/>
    <n v="7"/>
    <n v="45.82"/>
    <x v="53"/>
    <x v="0"/>
    <x v="5"/>
    <x v="0"/>
    <n v="29.56"/>
    <n v="116.2"/>
  </r>
  <r>
    <s v="2025-04-10"/>
    <x v="2"/>
    <x v="0"/>
    <x v="25"/>
    <n v="129.16"/>
    <n v="10"/>
    <n v="412.35"/>
    <x v="119"/>
    <x v="2"/>
    <x v="4"/>
    <x v="0"/>
    <n v="283.19000000000005"/>
    <n v="131.13999999999999"/>
  </r>
  <r>
    <s v="2024-12-17"/>
    <x v="3"/>
    <x v="0"/>
    <x v="676"/>
    <n v="121.85"/>
    <n v="6"/>
    <n v="466.14"/>
    <x v="112"/>
    <x v="0"/>
    <x v="3"/>
    <x v="0"/>
    <n v="344.28999999999996"/>
    <n v="153.07"/>
  </r>
  <r>
    <s v="2025-03-18"/>
    <x v="1"/>
    <x v="1"/>
    <x v="72"/>
    <n v="93.33"/>
    <n v="4"/>
    <n v="403.53"/>
    <x v="187"/>
    <x v="0"/>
    <x v="1"/>
    <x v="0"/>
    <n v="310.2"/>
    <n v="164.2"/>
  </r>
  <r>
    <s v="2024-11-14"/>
    <x v="4"/>
    <x v="3"/>
    <x v="593"/>
    <n v="58.67"/>
    <n v="0"/>
    <n v="135.25"/>
    <x v="4"/>
    <x v="0"/>
    <x v="5"/>
    <x v="1"/>
    <n v="76.58"/>
    <n v="132.07"/>
  </r>
  <r>
    <s v="2025-03-16"/>
    <x v="1"/>
    <x v="3"/>
    <x v="497"/>
    <n v="89.98"/>
    <n v="2"/>
    <n v="263.45"/>
    <x v="268"/>
    <x v="2"/>
    <x v="4"/>
    <x v="0"/>
    <n v="173.46999999999997"/>
    <n v="107.27"/>
  </r>
  <r>
    <s v="2025-03-27"/>
    <x v="1"/>
    <x v="1"/>
    <x v="420"/>
    <n v="143.72"/>
    <n v="8"/>
    <n v="310.39"/>
    <x v="150"/>
    <x v="0"/>
    <x v="1"/>
    <x v="0"/>
    <n v="166.67"/>
    <n v="141.72"/>
  </r>
  <r>
    <s v="2024-12-07"/>
    <x v="3"/>
    <x v="3"/>
    <x v="396"/>
    <n v="114.94"/>
    <n v="3"/>
    <n v="223.28"/>
    <x v="456"/>
    <x v="2"/>
    <x v="2"/>
    <x v="0"/>
    <n v="108.34"/>
    <n v="113.29"/>
  </r>
  <r>
    <s v="2025-02-14"/>
    <x v="5"/>
    <x v="3"/>
    <x v="82"/>
    <n v="132.33000000000001"/>
    <n v="5"/>
    <n v="262.79000000000002"/>
    <x v="382"/>
    <x v="1"/>
    <x v="1"/>
    <x v="0"/>
    <n v="130.46"/>
    <n v="97.65"/>
  </r>
  <r>
    <s v="2025-03-24"/>
    <x v="1"/>
    <x v="0"/>
    <x v="672"/>
    <n v="33.950000000000003"/>
    <n v="6"/>
    <n v="454.57"/>
    <x v="285"/>
    <x v="1"/>
    <x v="3"/>
    <x v="0"/>
    <n v="420.62"/>
    <n v="155.26"/>
  </r>
  <r>
    <s v="2024-11-26"/>
    <x v="4"/>
    <x v="1"/>
    <x v="756"/>
    <n v="128.76"/>
    <n v="3"/>
    <n v="155.82"/>
    <x v="134"/>
    <x v="0"/>
    <x v="1"/>
    <x v="0"/>
    <n v="27.060000000000002"/>
    <n v="127.81"/>
  </r>
  <r>
    <s v="2025-02-26"/>
    <x v="5"/>
    <x v="1"/>
    <x v="321"/>
    <n v="61.74"/>
    <n v="10"/>
    <n v="57.06"/>
    <x v="8"/>
    <x v="1"/>
    <x v="1"/>
    <x v="0"/>
    <n v="-4.68"/>
    <n v="126.51"/>
  </r>
  <r>
    <s v="2025-03-09"/>
    <x v="1"/>
    <x v="2"/>
    <x v="263"/>
    <n v="125.53"/>
    <n v="8"/>
    <n v="261.70999999999998"/>
    <x v="3"/>
    <x v="0"/>
    <x v="1"/>
    <x v="0"/>
    <n v="136.17999999999998"/>
    <n v="134.05000000000001"/>
  </r>
  <r>
    <s v="2024-11-25"/>
    <x v="4"/>
    <x v="2"/>
    <x v="583"/>
    <n v="93.45"/>
    <n v="9"/>
    <n v="420.52"/>
    <x v="244"/>
    <x v="1"/>
    <x v="4"/>
    <x v="0"/>
    <n v="327.07"/>
    <n v="168.48"/>
  </r>
  <r>
    <s v="2024-12-30"/>
    <x v="3"/>
    <x v="0"/>
    <x v="261"/>
    <n v="53.02"/>
    <n v="6"/>
    <n v="480.12"/>
    <x v="52"/>
    <x v="2"/>
    <x v="5"/>
    <x v="0"/>
    <n v="427.1"/>
    <n v="116.6"/>
  </r>
  <r>
    <s v="2025-04-02"/>
    <x v="2"/>
    <x v="3"/>
    <x v="452"/>
    <n v="56.49"/>
    <n v="1"/>
    <n v="484.5"/>
    <x v="65"/>
    <x v="1"/>
    <x v="2"/>
    <x v="0"/>
    <n v="428.01"/>
    <n v="146.16"/>
  </r>
  <r>
    <s v="2024-12-31"/>
    <x v="3"/>
    <x v="1"/>
    <x v="501"/>
    <n v="11.54"/>
    <n v="10"/>
    <n v="462.75"/>
    <x v="4"/>
    <x v="2"/>
    <x v="2"/>
    <x v="0"/>
    <n v="451.21"/>
    <n v="121.86"/>
  </r>
  <r>
    <s v="2025-02-12"/>
    <x v="5"/>
    <x v="3"/>
    <x v="69"/>
    <n v="18.61"/>
    <n v="9"/>
    <n v="279.39"/>
    <x v="68"/>
    <x v="2"/>
    <x v="3"/>
    <x v="0"/>
    <n v="260.77999999999997"/>
    <n v="108"/>
  </r>
  <r>
    <s v="2024-12-11"/>
    <x v="3"/>
    <x v="1"/>
    <x v="290"/>
    <n v="8.42"/>
    <n v="8"/>
    <n v="379.83"/>
    <x v="232"/>
    <x v="2"/>
    <x v="2"/>
    <x v="0"/>
    <n v="371.40999999999997"/>
    <n v="119.1"/>
  </r>
  <r>
    <s v="2024-12-29"/>
    <x v="3"/>
    <x v="1"/>
    <x v="198"/>
    <n v="35.11"/>
    <n v="2"/>
    <n v="38.450000000000003"/>
    <x v="214"/>
    <x v="1"/>
    <x v="2"/>
    <x v="0"/>
    <n v="3.3400000000000034"/>
    <n v="79.150000000000006"/>
  </r>
  <r>
    <s v="2025-04-24"/>
    <x v="2"/>
    <x v="0"/>
    <x v="446"/>
    <n v="99.77"/>
    <n v="6"/>
    <n v="471.15"/>
    <x v="210"/>
    <x v="0"/>
    <x v="5"/>
    <x v="0"/>
    <n v="371.38"/>
    <n v="123.51"/>
  </r>
  <r>
    <s v="2024-11-08"/>
    <x v="4"/>
    <x v="3"/>
    <x v="835"/>
    <n v="99.65"/>
    <n v="10"/>
    <n v="189.65"/>
    <x v="77"/>
    <x v="2"/>
    <x v="3"/>
    <x v="0"/>
    <n v="90"/>
    <n v="116.68"/>
  </r>
  <r>
    <s v="2024-11-12"/>
    <x v="4"/>
    <x v="0"/>
    <x v="237"/>
    <n v="42.2"/>
    <n v="9"/>
    <n v="483.92"/>
    <x v="61"/>
    <x v="0"/>
    <x v="1"/>
    <x v="0"/>
    <n v="441.72"/>
    <n v="99.27"/>
  </r>
  <r>
    <s v="2024-11-23"/>
    <x v="4"/>
    <x v="0"/>
    <x v="242"/>
    <n v="118.08"/>
    <n v="6"/>
    <n v="292.13"/>
    <x v="2"/>
    <x v="2"/>
    <x v="1"/>
    <x v="0"/>
    <n v="174.05"/>
    <n v="141.59"/>
  </r>
  <r>
    <s v="2024-12-17"/>
    <x v="3"/>
    <x v="2"/>
    <x v="80"/>
    <n v="144.12"/>
    <n v="2"/>
    <n v="301.44"/>
    <x v="315"/>
    <x v="2"/>
    <x v="4"/>
    <x v="0"/>
    <n v="157.32"/>
    <n v="164.84"/>
  </r>
  <r>
    <s v="2024-12-14"/>
    <x v="3"/>
    <x v="1"/>
    <x v="555"/>
    <n v="145.96"/>
    <n v="5"/>
    <n v="155.94"/>
    <x v="178"/>
    <x v="0"/>
    <x v="4"/>
    <x v="0"/>
    <n v="9.9799999999999898"/>
    <n v="107.34"/>
  </r>
  <r>
    <s v="2025-04-25"/>
    <x v="2"/>
    <x v="3"/>
    <x v="375"/>
    <n v="117.3"/>
    <n v="6"/>
    <n v="325.67"/>
    <x v="36"/>
    <x v="1"/>
    <x v="1"/>
    <x v="0"/>
    <n v="208.37"/>
    <n v="141.74"/>
  </r>
  <r>
    <s v="2025-03-26"/>
    <x v="1"/>
    <x v="2"/>
    <x v="68"/>
    <n v="83.8"/>
    <n v="7"/>
    <n v="492.14"/>
    <x v="41"/>
    <x v="0"/>
    <x v="2"/>
    <x v="0"/>
    <n v="408.34"/>
    <n v="123.44"/>
  </r>
  <r>
    <s v="2025-02-06"/>
    <x v="5"/>
    <x v="3"/>
    <x v="836"/>
    <n v="15.64"/>
    <n v="3"/>
    <n v="439.41"/>
    <x v="114"/>
    <x v="2"/>
    <x v="0"/>
    <x v="0"/>
    <n v="423.77000000000004"/>
    <n v="140.59"/>
  </r>
  <r>
    <s v="2024-12-14"/>
    <x v="3"/>
    <x v="1"/>
    <x v="82"/>
    <n v="100.82"/>
    <n v="10"/>
    <n v="195.31"/>
    <x v="0"/>
    <x v="1"/>
    <x v="1"/>
    <x v="0"/>
    <n v="94.490000000000009"/>
    <n v="117.78"/>
  </r>
  <r>
    <s v="2024-11-16"/>
    <x v="4"/>
    <x v="1"/>
    <x v="256"/>
    <n v="117.93"/>
    <n v="0"/>
    <n v="279.23"/>
    <x v="132"/>
    <x v="2"/>
    <x v="1"/>
    <x v="1"/>
    <n v="161.30000000000001"/>
    <n v="148.09"/>
  </r>
  <r>
    <s v="2025-02-05"/>
    <x v="5"/>
    <x v="1"/>
    <x v="516"/>
    <n v="71.37"/>
    <n v="6"/>
    <n v="321.07"/>
    <x v="102"/>
    <x v="0"/>
    <x v="0"/>
    <x v="0"/>
    <n v="249.7"/>
    <n v="124.52"/>
  </r>
  <r>
    <s v="2025-03-06"/>
    <x v="1"/>
    <x v="2"/>
    <x v="816"/>
    <n v="50.83"/>
    <n v="10"/>
    <n v="41.81"/>
    <x v="36"/>
    <x v="0"/>
    <x v="1"/>
    <x v="0"/>
    <n v="-9.019999999999996"/>
    <n v="145.63999999999999"/>
  </r>
  <r>
    <s v="2025-03-26"/>
    <x v="1"/>
    <x v="0"/>
    <x v="399"/>
    <n v="89.36"/>
    <n v="6"/>
    <n v="196.14"/>
    <x v="457"/>
    <x v="1"/>
    <x v="2"/>
    <x v="0"/>
    <n v="106.77999999999999"/>
    <n v="101.19"/>
  </r>
  <r>
    <s v="2024-11-29"/>
    <x v="4"/>
    <x v="0"/>
    <x v="759"/>
    <n v="28.21"/>
    <n v="9"/>
    <n v="245.1"/>
    <x v="7"/>
    <x v="0"/>
    <x v="3"/>
    <x v="0"/>
    <n v="216.89"/>
    <n v="129.55000000000001"/>
  </r>
  <r>
    <s v="2025-02-02"/>
    <x v="5"/>
    <x v="2"/>
    <x v="794"/>
    <n v="129.82"/>
    <n v="5"/>
    <n v="317.29000000000002"/>
    <x v="55"/>
    <x v="2"/>
    <x v="2"/>
    <x v="0"/>
    <n v="187.47000000000003"/>
    <n v="168.15"/>
  </r>
  <r>
    <s v="2024-12-12"/>
    <x v="3"/>
    <x v="3"/>
    <x v="729"/>
    <n v="146.49"/>
    <n v="8"/>
    <n v="88.45"/>
    <x v="132"/>
    <x v="1"/>
    <x v="2"/>
    <x v="0"/>
    <n v="-58.040000000000006"/>
    <n v="140.01"/>
  </r>
  <r>
    <s v="2024-10-30"/>
    <x v="6"/>
    <x v="2"/>
    <x v="479"/>
    <n v="141.08000000000001"/>
    <n v="0"/>
    <n v="478.22"/>
    <x v="77"/>
    <x v="0"/>
    <x v="1"/>
    <x v="1"/>
    <n v="337.14"/>
    <n v="120.6"/>
  </r>
  <r>
    <s v="2025-01-13"/>
    <x v="0"/>
    <x v="0"/>
    <x v="789"/>
    <n v="46.61"/>
    <n v="0"/>
    <n v="55.84"/>
    <x v="368"/>
    <x v="1"/>
    <x v="4"/>
    <x v="1"/>
    <n v="9.230000000000004"/>
    <n v="89.5"/>
  </r>
  <r>
    <s v="2025-02-27"/>
    <x v="5"/>
    <x v="1"/>
    <x v="556"/>
    <n v="10.62"/>
    <n v="1"/>
    <n v="41.36"/>
    <x v="455"/>
    <x v="1"/>
    <x v="2"/>
    <x v="0"/>
    <n v="30.740000000000002"/>
    <n v="50.36"/>
  </r>
  <r>
    <s v="2025-04-10"/>
    <x v="2"/>
    <x v="3"/>
    <x v="449"/>
    <n v="39.18"/>
    <n v="10"/>
    <n v="384.25"/>
    <x v="136"/>
    <x v="1"/>
    <x v="0"/>
    <x v="0"/>
    <n v="345.07"/>
    <n v="147.38999999999999"/>
  </r>
  <r>
    <s v="2024-11-16"/>
    <x v="4"/>
    <x v="0"/>
    <x v="166"/>
    <n v="44.81"/>
    <n v="4"/>
    <n v="316.5"/>
    <x v="297"/>
    <x v="1"/>
    <x v="2"/>
    <x v="0"/>
    <n v="271.69"/>
    <n v="149.19"/>
  </r>
  <r>
    <s v="2025-01-18"/>
    <x v="0"/>
    <x v="2"/>
    <x v="778"/>
    <n v="120.18"/>
    <n v="1"/>
    <n v="345.63"/>
    <x v="0"/>
    <x v="0"/>
    <x v="0"/>
    <x v="0"/>
    <n v="225.45"/>
    <n v="119.61"/>
  </r>
  <r>
    <s v="2025-04-09"/>
    <x v="2"/>
    <x v="2"/>
    <x v="801"/>
    <n v="144.99"/>
    <n v="2"/>
    <n v="38.22"/>
    <x v="60"/>
    <x v="0"/>
    <x v="2"/>
    <x v="0"/>
    <n v="-106.77000000000001"/>
    <n v="118.52"/>
  </r>
  <r>
    <s v="2024-11-15"/>
    <x v="4"/>
    <x v="0"/>
    <x v="612"/>
    <n v="101.44"/>
    <n v="1"/>
    <n v="116.26"/>
    <x v="427"/>
    <x v="2"/>
    <x v="2"/>
    <x v="0"/>
    <n v="14.820000000000007"/>
    <n v="95.49"/>
  </r>
  <r>
    <s v="2025-01-16"/>
    <x v="0"/>
    <x v="3"/>
    <x v="587"/>
    <n v="115.86"/>
    <n v="6"/>
    <n v="111.51"/>
    <x v="194"/>
    <x v="1"/>
    <x v="2"/>
    <x v="0"/>
    <n v="-4.3499999999999943"/>
    <n v="125.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BB1C7B-5267-49E2-A738-BAD4BCCA27A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B21" firstHeaderRow="1" firstDataRow="1" firstDataCol="1"/>
  <pivotFields count="13">
    <pivotField showAll="0"/>
    <pivotField showAll="0">
      <items count="8">
        <item x="0"/>
        <item x="5"/>
        <item x="1"/>
        <item x="2"/>
        <item x="6"/>
        <item x="4"/>
        <item x="3"/>
        <item t="default"/>
      </items>
    </pivotField>
    <pivotField showAll="0"/>
    <pivotField showAll="0"/>
    <pivotField numFmtId="165" showAll="0"/>
    <pivotField showAll="0"/>
    <pivotField dataField="1" numFmtId="165" showAll="0"/>
    <pivotField showAll="0"/>
    <pivotField axis="axisRow" showAll="0">
      <items count="4">
        <item x="2"/>
        <item x="0"/>
        <item x="1"/>
        <item t="default"/>
      </items>
    </pivotField>
    <pivotField showAll="0">
      <items count="7">
        <item x="0"/>
        <item x="1"/>
        <item x="2"/>
        <item x="5"/>
        <item x="3"/>
        <item x="4"/>
        <item t="default"/>
      </items>
    </pivotField>
    <pivotField showAll="0">
      <items count="3">
        <item x="1"/>
        <item x="0"/>
        <item t="default"/>
      </items>
    </pivotField>
    <pivotField numFmtId="165" showAll="0"/>
    <pivotField numFmtId="165" showAll="0"/>
  </pivotFields>
  <rowFields count="1">
    <field x="8"/>
  </rowFields>
  <rowItems count="4">
    <i>
      <x/>
    </i>
    <i>
      <x v="1"/>
    </i>
    <i>
      <x v="2"/>
    </i>
    <i t="grand">
      <x/>
    </i>
  </rowItems>
  <colItems count="1">
    <i/>
  </colItems>
  <dataFields count="1">
    <dataField name="Sum of Revenue" fld="6" baseField="0" baseItem="0" numFmtId="165"/>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DC95AB-8EC2-4F42-86DA-84A991B1BE4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10" firstHeaderRow="1" firstDataRow="1" firstDataCol="1"/>
  <pivotFields count="13">
    <pivotField showAll="0"/>
    <pivotField axis="axisRow" showAll="0">
      <items count="8">
        <item x="0"/>
        <item x="5"/>
        <item x="1"/>
        <item x="2"/>
        <item x="6"/>
        <item x="4"/>
        <item x="3"/>
        <item t="default"/>
      </items>
    </pivotField>
    <pivotField showAll="0"/>
    <pivotField showAll="0"/>
    <pivotField numFmtId="165" showAll="0"/>
    <pivotField showAll="0"/>
    <pivotField dataField="1" numFmtId="165" showAll="0"/>
    <pivotField showAll="0"/>
    <pivotField showAll="0">
      <items count="4">
        <item x="2"/>
        <item x="0"/>
        <item x="1"/>
        <item t="default"/>
      </items>
    </pivotField>
    <pivotField showAll="0">
      <items count="7">
        <item x="0"/>
        <item x="1"/>
        <item x="2"/>
        <item x="5"/>
        <item x="3"/>
        <item x="4"/>
        <item t="default"/>
      </items>
    </pivotField>
    <pivotField showAll="0">
      <items count="3">
        <item x="1"/>
        <item x="0"/>
        <item t="default"/>
      </items>
    </pivotField>
    <pivotField numFmtId="165" showAll="0"/>
    <pivotField numFmtId="165" showAll="0"/>
  </pivotFields>
  <rowFields count="1">
    <field x="1"/>
  </rowFields>
  <rowItems count="8">
    <i>
      <x/>
    </i>
    <i>
      <x v="1"/>
    </i>
    <i>
      <x v="2"/>
    </i>
    <i>
      <x v="3"/>
    </i>
    <i>
      <x v="4"/>
    </i>
    <i>
      <x v="5"/>
    </i>
    <i>
      <x v="6"/>
    </i>
    <i t="grand">
      <x/>
    </i>
  </rowItems>
  <colItems count="1">
    <i/>
  </colItems>
  <dataFields count="1">
    <dataField name="Sum of Revenue" fld="6" baseField="0" baseItem="0" numFmtId="165"/>
  </dataField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5"/>
          </reference>
        </references>
      </pivotArea>
    </chartFormat>
    <chartFormat chart="5" format="4">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1BEC1C-81D7-4E74-A504-C89C9ABF285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C71" firstHeaderRow="0" firstDataRow="1" firstDataCol="0"/>
  <pivotFields count="13">
    <pivotField showAll="0"/>
    <pivotField showAll="0">
      <items count="8">
        <item x="0"/>
        <item x="5"/>
        <item x="1"/>
        <item x="2"/>
        <item x="6"/>
        <item x="4"/>
        <item x="3"/>
        <item t="default"/>
      </items>
    </pivotField>
    <pivotField showAll="0">
      <items count="5">
        <item x="1"/>
        <item x="3"/>
        <item x="0"/>
        <item x="2"/>
        <item t="default"/>
      </items>
    </pivotField>
    <pivotField showAll="0"/>
    <pivotField numFmtId="165" showAll="0"/>
    <pivotField dataField="1" showAll="0"/>
    <pivotField dataField="1" numFmtId="165" showAll="0"/>
    <pivotField showAll="0"/>
    <pivotField showAll="0">
      <items count="4">
        <item x="2"/>
        <item x="0"/>
        <item x="1"/>
        <item t="default"/>
      </items>
    </pivotField>
    <pivotField showAll="0">
      <items count="7">
        <item x="0"/>
        <item x="1"/>
        <item x="2"/>
        <item x="5"/>
        <item x="3"/>
        <item x="4"/>
        <item t="default"/>
      </items>
    </pivotField>
    <pivotField showAll="0">
      <items count="3">
        <item x="1"/>
        <item x="0"/>
        <item t="default"/>
      </items>
    </pivotField>
    <pivotField numFmtId="165" showAll="0"/>
    <pivotField numFmtId="165" showAll="0"/>
  </pivotFields>
  <rowItems count="1">
    <i/>
  </rowItems>
  <colFields count="1">
    <field x="-2"/>
  </colFields>
  <colItems count="3">
    <i>
      <x/>
    </i>
    <i i="1">
      <x v="1"/>
    </i>
    <i i="2">
      <x v="2"/>
    </i>
  </colItems>
  <dataFields count="3">
    <dataField name="Sum of Revenue" fld="6" baseField="0" baseItem="0" numFmtId="165"/>
    <dataField name="Average of Revenue2" fld="6" subtotal="average" baseField="0" baseItem="1" numFmtId="165"/>
    <dataField name="Count of Conversions" fld="5"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5D17B2-D7D3-4133-8065-C945846CBD4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L30" firstHeaderRow="1" firstDataRow="2" firstDataCol="1"/>
  <pivotFields count="13">
    <pivotField showAll="0"/>
    <pivotField showAll="0">
      <items count="8">
        <item x="0"/>
        <item x="5"/>
        <item x="1"/>
        <item x="2"/>
        <item x="6"/>
        <item x="4"/>
        <item x="3"/>
        <item t="default"/>
      </items>
    </pivotField>
    <pivotField showAll="0"/>
    <pivotField axis="axisRow" showAll="0" measureFilter="1">
      <items count="838">
        <item x="754"/>
        <item x="184"/>
        <item x="398"/>
        <item x="474"/>
        <item x="442"/>
        <item x="560"/>
        <item x="204"/>
        <item x="753"/>
        <item x="426"/>
        <item x="126"/>
        <item x="29"/>
        <item x="394"/>
        <item x="796"/>
        <item x="120"/>
        <item x="808"/>
        <item x="212"/>
        <item x="567"/>
        <item x="337"/>
        <item x="450"/>
        <item x="408"/>
        <item x="145"/>
        <item x="488"/>
        <item x="641"/>
        <item x="297"/>
        <item x="355"/>
        <item x="191"/>
        <item x="5"/>
        <item x="469"/>
        <item x="532"/>
        <item x="167"/>
        <item x="162"/>
        <item x="778"/>
        <item x="636"/>
        <item x="740"/>
        <item x="768"/>
        <item x="113"/>
        <item x="531"/>
        <item x="115"/>
        <item x="53"/>
        <item x="555"/>
        <item x="350"/>
        <item x="393"/>
        <item x="573"/>
        <item x="438"/>
        <item x="188"/>
        <item x="63"/>
        <item x="146"/>
        <item x="229"/>
        <item x="529"/>
        <item x="599"/>
        <item x="407"/>
        <item x="406"/>
        <item x="495"/>
        <item x="7"/>
        <item x="346"/>
        <item x="694"/>
        <item x="303"/>
        <item x="691"/>
        <item x="489"/>
        <item x="233"/>
        <item x="261"/>
        <item x="296"/>
        <item x="137"/>
        <item x="219"/>
        <item x="259"/>
        <item x="225"/>
        <item x="496"/>
        <item x="249"/>
        <item x="27"/>
        <item x="6"/>
        <item x="339"/>
        <item x="552"/>
        <item x="818"/>
        <item x="98"/>
        <item x="576"/>
        <item x="538"/>
        <item x="642"/>
        <item x="254"/>
        <item x="785"/>
        <item x="710"/>
        <item x="690"/>
        <item x="736"/>
        <item x="21"/>
        <item x="675"/>
        <item x="381"/>
        <item x="521"/>
        <item x="534"/>
        <item x="650"/>
        <item x="99"/>
        <item x="234"/>
        <item x="793"/>
        <item x="78"/>
        <item x="709"/>
        <item x="673"/>
        <item x="351"/>
        <item x="83"/>
        <item x="639"/>
        <item x="502"/>
        <item x="288"/>
        <item x="724"/>
        <item x="574"/>
        <item x="211"/>
        <item x="298"/>
        <item x="95"/>
        <item x="159"/>
        <item x="487"/>
        <item x="119"/>
        <item x="569"/>
        <item x="804"/>
        <item x="75"/>
        <item x="514"/>
        <item x="812"/>
        <item x="410"/>
        <item x="26"/>
        <item x="430"/>
        <item x="729"/>
        <item x="409"/>
        <item x="186"/>
        <item x="344"/>
        <item x="185"/>
        <item x="334"/>
        <item x="255"/>
        <item x="764"/>
        <item x="786"/>
        <item x="801"/>
        <item x="475"/>
        <item x="702"/>
        <item x="620"/>
        <item x="491"/>
        <item x="414"/>
        <item x="581"/>
        <item x="696"/>
        <item x="612"/>
        <item x="353"/>
        <item x="245"/>
        <item x="810"/>
        <item x="835"/>
        <item x="401"/>
        <item x="101"/>
        <item x="463"/>
        <item x="373"/>
        <item x="193"/>
        <item x="395"/>
        <item x="84"/>
        <item x="272"/>
        <item x="814"/>
        <item x="741"/>
        <item x="418"/>
        <item x="336"/>
        <item x="52"/>
        <item x="760"/>
        <item x="481"/>
        <item x="285"/>
        <item x="48"/>
        <item x="333"/>
        <item x="444"/>
        <item x="47"/>
        <item x="2"/>
        <item x="360"/>
        <item x="806"/>
        <item x="506"/>
        <item x="480"/>
        <item x="807"/>
        <item x="744"/>
        <item x="617"/>
        <item x="571"/>
        <item x="536"/>
        <item x="309"/>
        <item x="644"/>
        <item x="825"/>
        <item x="148"/>
        <item x="777"/>
        <item x="473"/>
        <item x="370"/>
        <item x="588"/>
        <item x="256"/>
        <item x="182"/>
        <item x="42"/>
        <item x="329"/>
        <item x="317"/>
        <item x="518"/>
        <item x="103"/>
        <item x="74"/>
        <item x="782"/>
        <item x="606"/>
        <item x="584"/>
        <item x="703"/>
        <item x="678"/>
        <item x="832"/>
        <item x="483"/>
        <item x="701"/>
        <item x="423"/>
        <item x="168"/>
        <item x="341"/>
        <item x="326"/>
        <item x="439"/>
        <item x="51"/>
        <item x="586"/>
        <item x="679"/>
        <item x="82"/>
        <item x="671"/>
        <item x="665"/>
        <item x="157"/>
        <item x="762"/>
        <item x="311"/>
        <item x="3"/>
        <item x="761"/>
        <item x="443"/>
        <item x="677"/>
        <item x="375"/>
        <item x="104"/>
        <item x="253"/>
        <item x="11"/>
        <item x="699"/>
        <item x="61"/>
        <item x="482"/>
        <item x="239"/>
        <item x="797"/>
        <item x="244"/>
        <item x="776"/>
        <item x="431"/>
        <item x="594"/>
        <item x="413"/>
        <item x="509"/>
        <item x="454"/>
        <item x="30"/>
        <item x="720"/>
        <item x="399"/>
        <item x="829"/>
        <item x="666"/>
        <item x="260"/>
        <item x="156"/>
        <item x="718"/>
        <item x="205"/>
        <item x="500"/>
        <item x="165"/>
        <item x="143"/>
        <item x="670"/>
        <item x="660"/>
        <item x="64"/>
        <item x="118"/>
        <item x="648"/>
        <item x="214"/>
        <item x="464"/>
        <item x="380"/>
        <item x="14"/>
        <item x="719"/>
        <item x="124"/>
        <item x="60"/>
        <item x="579"/>
        <item x="692"/>
        <item x="100"/>
        <item x="680"/>
        <item x="459"/>
        <item x="130"/>
        <item x="546"/>
        <item x="216"/>
        <item x="456"/>
        <item x="589"/>
        <item x="34"/>
        <item x="508"/>
        <item x="110"/>
        <item x="149"/>
        <item x="746"/>
        <item x="429"/>
        <item x="81"/>
        <item x="175"/>
        <item x="792"/>
        <item x="199"/>
        <item x="440"/>
        <item x="187"/>
        <item x="494"/>
        <item x="461"/>
        <item x="150"/>
        <item x="819"/>
        <item x="319"/>
        <item x="688"/>
        <item x="708"/>
        <item x="630"/>
        <item x="300"/>
        <item x="471"/>
        <item x="550"/>
        <item x="726"/>
        <item x="1"/>
        <item x="519"/>
        <item x="587"/>
        <item x="387"/>
        <item x="653"/>
        <item x="94"/>
        <item x="790"/>
        <item x="89"/>
        <item x="433"/>
        <item x="247"/>
        <item x="116"/>
        <item x="775"/>
        <item x="575"/>
        <item x="376"/>
        <item x="198"/>
        <item x="824"/>
        <item x="142"/>
        <item x="472"/>
        <item x="372"/>
        <item x="767"/>
        <item x="363"/>
        <item x="290"/>
        <item x="282"/>
        <item x="273"/>
        <item x="803"/>
        <item x="685"/>
        <item x="634"/>
        <item x="301"/>
        <item x="551"/>
        <item x="250"/>
        <item x="287"/>
        <item x="55"/>
        <item x="178"/>
        <item x="602"/>
        <item x="50"/>
        <item x="484"/>
        <item x="828"/>
        <item x="836"/>
        <item x="770"/>
        <item x="313"/>
        <item x="266"/>
        <item x="597"/>
        <item x="264"/>
        <item x="432"/>
        <item x="222"/>
        <item x="466"/>
        <item x="252"/>
        <item x="200"/>
        <item x="390"/>
        <item x="554"/>
        <item x="388"/>
        <item x="364"/>
        <item x="195"/>
        <item x="396"/>
        <item x="516"/>
        <item x="291"/>
        <item x="520"/>
        <item x="312"/>
        <item x="513"/>
        <item x="152"/>
        <item x="335"/>
        <item x="15"/>
        <item x="141"/>
        <item x="427"/>
        <item x="135"/>
        <item x="722"/>
        <item x="566"/>
        <item x="391"/>
        <item x="524"/>
        <item x="707"/>
        <item x="537"/>
        <item x="628"/>
        <item x="365"/>
        <item x="705"/>
        <item x="86"/>
        <item x="257"/>
        <item x="698"/>
        <item x="131"/>
        <item x="0"/>
        <item x="172"/>
        <item x="206"/>
        <item x="544"/>
        <item x="18"/>
        <item x="362"/>
        <item x="77"/>
        <item x="392"/>
        <item x="759"/>
        <item x="136"/>
        <item x="711"/>
        <item x="610"/>
        <item x="24"/>
        <item x="299"/>
        <item x="160"/>
        <item x="208"/>
        <item x="535"/>
        <item x="235"/>
        <item x="455"/>
        <item x="321"/>
        <item x="539"/>
        <item x="59"/>
        <item x="657"/>
        <item x="8"/>
        <item x="667"/>
        <item x="17"/>
        <item x="242"/>
        <item x="577"/>
        <item x="20"/>
        <item x="217"/>
        <item x="357"/>
        <item x="43"/>
        <item x="79"/>
        <item x="721"/>
        <item x="517"/>
        <item x="821"/>
        <item x="681"/>
        <item x="547"/>
        <item x="274"/>
        <item x="758"/>
        <item x="164"/>
        <item x="425"/>
        <item x="598"/>
        <item x="359"/>
        <item x="817"/>
        <item x="686"/>
        <item x="56"/>
        <item x="684"/>
        <item x="69"/>
        <item x="132"/>
        <item x="114"/>
        <item x="269"/>
        <item x="515"/>
        <item x="377"/>
        <item x="379"/>
        <item x="631"/>
        <item x="46"/>
        <item x="153"/>
        <item x="647"/>
        <item x="276"/>
        <item x="668"/>
        <item x="39"/>
        <item x="626"/>
        <item x="683"/>
        <item x="33"/>
        <item x="689"/>
        <item x="112"/>
        <item x="553"/>
        <item x="328"/>
        <item x="318"/>
        <item x="384"/>
        <item x="580"/>
        <item x="258"/>
        <item x="595"/>
        <item x="658"/>
        <item x="320"/>
        <item x="788"/>
        <item x="791"/>
        <item x="237"/>
        <item x="87"/>
        <item x="284"/>
        <item x="787"/>
        <item x="446"/>
        <item x="279"/>
        <item x="783"/>
        <item x="447"/>
        <item x="582"/>
        <item x="134"/>
        <item x="655"/>
        <item x="304"/>
        <item x="45"/>
        <item x="23"/>
        <item x="286"/>
        <item x="121"/>
        <item x="224"/>
        <item x="161"/>
        <item x="437"/>
        <item x="564"/>
        <item x="646"/>
        <item x="412"/>
        <item x="457"/>
        <item x="661"/>
        <item x="559"/>
        <item x="302"/>
        <item x="616"/>
        <item x="292"/>
        <item x="557"/>
        <item x="498"/>
        <item x="281"/>
        <item x="441"/>
        <item x="716"/>
        <item x="415"/>
        <item x="80"/>
        <item x="503"/>
        <item x="240"/>
        <item x="499"/>
        <item x="811"/>
        <item x="163"/>
        <item x="338"/>
        <item x="525"/>
        <item x="470"/>
        <item x="605"/>
        <item x="315"/>
        <item x="209"/>
        <item x="280"/>
        <item x="243"/>
        <item x="332"/>
        <item x="417"/>
        <item x="624"/>
        <item x="621"/>
        <item x="727"/>
        <item x="295"/>
        <item x="358"/>
        <item x="349"/>
        <item x="421"/>
        <item x="232"/>
        <item x="246"/>
        <item x="227"/>
        <item x="147"/>
        <item x="697"/>
        <item x="65"/>
        <item x="765"/>
        <item x="704"/>
        <item x="649"/>
        <item x="485"/>
        <item x="151"/>
        <item x="800"/>
        <item x="549"/>
        <item x="40"/>
        <item x="139"/>
        <item x="435"/>
        <item x="202"/>
        <item x="540"/>
        <item x="826"/>
        <item x="613"/>
        <item x="623"/>
        <item x="763"/>
        <item x="669"/>
        <item x="717"/>
        <item x="91"/>
        <item x="25"/>
        <item x="522"/>
        <item x="780"/>
        <item x="71"/>
        <item x="181"/>
        <item x="468"/>
        <item x="572"/>
        <item x="171"/>
        <item x="92"/>
        <item x="511"/>
        <item x="492"/>
        <item x="283"/>
        <item x="596"/>
        <item x="766"/>
        <item x="449"/>
        <item x="714"/>
        <item x="289"/>
        <item x="545"/>
        <item x="76"/>
        <item x="12"/>
        <item x="62"/>
        <item x="220"/>
        <item x="693"/>
        <item x="757"/>
        <item x="140"/>
        <item x="270"/>
        <item x="530"/>
        <item x="241"/>
        <item x="158"/>
        <item x="809"/>
        <item x="389"/>
        <item x="293"/>
        <item x="108"/>
        <item x="16"/>
        <item x="385"/>
        <item x="166"/>
        <item x="183"/>
        <item x="752"/>
        <item x="451"/>
        <item x="268"/>
        <item x="652"/>
        <item x="111"/>
        <item x="725"/>
        <item x="731"/>
        <item x="467"/>
        <item x="369"/>
        <item x="743"/>
        <item x="635"/>
        <item x="798"/>
        <item x="632"/>
        <item x="31"/>
        <item x="465"/>
        <item x="13"/>
        <item x="169"/>
        <item x="35"/>
        <item x="565"/>
        <item x="316"/>
        <item x="306"/>
        <item x="527"/>
        <item x="490"/>
        <item x="128"/>
        <item x="367"/>
        <item x="32"/>
        <item x="827"/>
        <item x="794"/>
        <item x="144"/>
        <item x="378"/>
        <item x="325"/>
        <item x="102"/>
        <item x="49"/>
        <item x="493"/>
        <item x="591"/>
        <item x="548"/>
        <item x="816"/>
        <item x="44"/>
        <item x="654"/>
        <item x="22"/>
        <item x="397"/>
        <item x="97"/>
        <item x="625"/>
        <item x="526"/>
        <item x="428"/>
        <item x="201"/>
        <item x="228"/>
        <item x="277"/>
        <item x="324"/>
        <item x="738"/>
        <item x="662"/>
        <item x="340"/>
        <item x="125"/>
        <item x="170"/>
        <item x="750"/>
        <item x="543"/>
        <item x="593"/>
        <item x="221"/>
        <item x="460"/>
        <item x="154"/>
        <item x="105"/>
        <item x="88"/>
        <item x="477"/>
        <item x="769"/>
        <item x="568"/>
        <item x="799"/>
        <item x="411"/>
        <item x="822"/>
        <item x="784"/>
        <item x="512"/>
        <item x="386"/>
        <item x="133"/>
        <item x="402"/>
        <item x="523"/>
        <item x="180"/>
        <item x="345"/>
        <item x="756"/>
        <item x="627"/>
        <item x="218"/>
        <item x="813"/>
        <item x="618"/>
        <item x="189"/>
        <item x="732"/>
        <item x="504"/>
        <item x="820"/>
        <item x="138"/>
        <item x="834"/>
        <item x="36"/>
        <item x="831"/>
        <item x="561"/>
        <item x="330"/>
        <item x="422"/>
        <item x="197"/>
        <item x="342"/>
        <item x="728"/>
        <item x="68"/>
        <item x="420"/>
        <item x="745"/>
        <item x="674"/>
        <item x="57"/>
        <item x="366"/>
        <item x="177"/>
        <item x="405"/>
        <item x="656"/>
        <item x="706"/>
        <item x="600"/>
        <item x="38"/>
        <item x="638"/>
        <item x="294"/>
        <item x="773"/>
        <item x="424"/>
        <item x="637"/>
        <item x="194"/>
        <item x="383"/>
        <item x="682"/>
        <item x="815"/>
        <item x="505"/>
        <item x="226"/>
        <item x="510"/>
        <item x="533"/>
        <item x="742"/>
        <item x="123"/>
        <item x="176"/>
        <item x="622"/>
        <item x="795"/>
        <item x="117"/>
        <item x="663"/>
        <item x="604"/>
        <item x="507"/>
        <item x="323"/>
        <item x="179"/>
        <item x="723"/>
        <item x="85"/>
        <item x="542"/>
        <item x="747"/>
        <item x="403"/>
        <item x="779"/>
        <item x="772"/>
        <item x="578"/>
        <item x="748"/>
        <item x="230"/>
        <item x="203"/>
        <item x="331"/>
        <item x="755"/>
        <item x="352"/>
        <item x="37"/>
        <item x="445"/>
        <item x="190"/>
        <item x="368"/>
        <item x="695"/>
        <item x="416"/>
        <item x="452"/>
        <item x="448"/>
        <item x="90"/>
        <item x="308"/>
        <item x="601"/>
        <item x="4"/>
        <item x="651"/>
        <item x="70"/>
        <item x="129"/>
        <item x="10"/>
        <item x="611"/>
        <item x="645"/>
        <item x="404"/>
        <item x="497"/>
        <item x="749"/>
        <item x="192"/>
        <item x="570"/>
        <item x="174"/>
        <item x="734"/>
        <item x="462"/>
        <item x="774"/>
        <item x="633"/>
        <item x="830"/>
        <item x="781"/>
        <item x="501"/>
        <item x="585"/>
        <item x="751"/>
        <item x="603"/>
        <item x="607"/>
        <item x="348"/>
        <item x="476"/>
        <item x="713"/>
        <item x="271"/>
        <item x="307"/>
        <item x="614"/>
        <item x="558"/>
        <item x="207"/>
        <item x="823"/>
        <item x="802"/>
        <item x="615"/>
        <item x="67"/>
        <item x="58"/>
        <item x="54"/>
        <item x="371"/>
        <item x="563"/>
        <item x="9"/>
        <item x="327"/>
        <item x="739"/>
        <item x="486"/>
        <item x="608"/>
        <item x="737"/>
        <item x="106"/>
        <item x="72"/>
        <item x="28"/>
        <item x="236"/>
        <item x="735"/>
        <item x="419"/>
        <item x="73"/>
        <item x="155"/>
        <item x="619"/>
        <item x="275"/>
        <item x="805"/>
        <item x="267"/>
        <item x="173"/>
        <item x="556"/>
        <item x="41"/>
        <item x="640"/>
        <item x="541"/>
        <item x="213"/>
        <item x="96"/>
        <item x="19"/>
        <item x="789"/>
        <item x="479"/>
        <item x="562"/>
        <item x="322"/>
        <item x="664"/>
        <item x="676"/>
        <item x="478"/>
        <item x="436"/>
        <item x="672"/>
        <item x="238"/>
        <item x="733"/>
        <item x="196"/>
        <item x="400"/>
        <item x="215"/>
        <item x="659"/>
        <item x="231"/>
        <item x="262"/>
        <item x="210"/>
        <item x="458"/>
        <item x="374"/>
        <item x="251"/>
        <item x="107"/>
        <item x="712"/>
        <item x="453"/>
        <item x="310"/>
        <item x="263"/>
        <item x="354"/>
        <item x="730"/>
        <item x="305"/>
        <item x="343"/>
        <item x="223"/>
        <item x="583"/>
        <item x="93"/>
        <item x="643"/>
        <item x="248"/>
        <item x="833"/>
        <item x="109"/>
        <item x="609"/>
        <item x="528"/>
        <item x="361"/>
        <item x="66"/>
        <item x="629"/>
        <item x="122"/>
        <item x="687"/>
        <item x="592"/>
        <item x="715"/>
        <item x="314"/>
        <item x="700"/>
        <item x="127"/>
        <item x="434"/>
        <item x="347"/>
        <item x="771"/>
        <item x="590"/>
        <item x="265"/>
        <item x="356"/>
        <item x="382"/>
        <item x="278"/>
        <item t="default"/>
      </items>
    </pivotField>
    <pivotField numFmtId="165" showAll="0"/>
    <pivotField showAll="0"/>
    <pivotField dataField="1" numFmtId="165" showAll="0"/>
    <pivotField showAll="0"/>
    <pivotField showAll="0">
      <items count="4">
        <item x="2"/>
        <item x="0"/>
        <item x="1"/>
        <item t="default"/>
      </items>
    </pivotField>
    <pivotField axis="axisCol" showAll="0">
      <items count="7">
        <item x="0"/>
        <item x="1"/>
        <item x="2"/>
        <item x="5"/>
        <item x="3"/>
        <item x="4"/>
        <item t="default"/>
      </items>
    </pivotField>
    <pivotField showAll="0">
      <items count="3">
        <item x="1"/>
        <item x="0"/>
        <item t="default"/>
      </items>
    </pivotField>
    <pivotField numFmtId="165" showAll="0"/>
    <pivotField numFmtId="165" showAll="0"/>
  </pivotFields>
  <rowFields count="1">
    <field x="3"/>
  </rowFields>
  <rowItems count="11">
    <i>
      <x v="141"/>
    </i>
    <i>
      <x v="167"/>
    </i>
    <i>
      <x v="258"/>
    </i>
    <i>
      <x v="483"/>
    </i>
    <i>
      <x v="551"/>
    </i>
    <i>
      <x v="553"/>
    </i>
    <i>
      <x v="653"/>
    </i>
    <i>
      <x v="699"/>
    </i>
    <i>
      <x v="761"/>
    </i>
    <i>
      <x v="836"/>
    </i>
    <i t="grand">
      <x/>
    </i>
  </rowItems>
  <colFields count="1">
    <field x="9"/>
  </colFields>
  <colItems count="7">
    <i>
      <x/>
    </i>
    <i>
      <x v="1"/>
    </i>
    <i>
      <x v="2"/>
    </i>
    <i>
      <x v="3"/>
    </i>
    <i>
      <x v="4"/>
    </i>
    <i>
      <x v="5"/>
    </i>
    <i t="grand">
      <x/>
    </i>
  </colItems>
  <dataFields count="1">
    <dataField name="Sum of Revenue" fld="6" baseField="0" baseItem="0" numFmtId="165"/>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7C7C49-6E47-445A-BA17-4773FAFBD41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5" firstHeaderRow="1" firstDataRow="1" firstDataCol="1"/>
  <pivotFields count="13">
    <pivotField showAll="0"/>
    <pivotField showAll="0">
      <items count="8">
        <item x="0"/>
        <item x="5"/>
        <item x="1"/>
        <item x="2"/>
        <item x="6"/>
        <item x="4"/>
        <item x="3"/>
        <item t="default"/>
      </items>
    </pivotField>
    <pivotField axis="axisRow" showAll="0">
      <items count="5">
        <item x="1"/>
        <item x="3"/>
        <item x="0"/>
        <item x="2"/>
        <item t="default"/>
      </items>
    </pivotField>
    <pivotField showAll="0"/>
    <pivotField numFmtId="165" showAll="0"/>
    <pivotField showAll="0"/>
    <pivotField dataField="1" numFmtId="165" showAll="0"/>
    <pivotField showAll="0"/>
    <pivotField showAll="0">
      <items count="4">
        <item x="2"/>
        <item x="0"/>
        <item x="1"/>
        <item t="default"/>
      </items>
    </pivotField>
    <pivotField showAll="0">
      <items count="7">
        <item x="0"/>
        <item x="1"/>
        <item x="2"/>
        <item x="5"/>
        <item x="3"/>
        <item x="4"/>
        <item t="default"/>
      </items>
    </pivotField>
    <pivotField showAll="0">
      <items count="3">
        <item x="1"/>
        <item x="0"/>
        <item t="default"/>
      </items>
    </pivotField>
    <pivotField numFmtId="165" showAll="0"/>
    <pivotField numFmtId="165" showAll="0"/>
  </pivotFields>
  <rowFields count="1">
    <field x="2"/>
  </rowFields>
  <rowItems count="5">
    <i>
      <x/>
    </i>
    <i>
      <x v="1"/>
    </i>
    <i>
      <x v="2"/>
    </i>
    <i>
      <x v="3"/>
    </i>
    <i t="grand">
      <x/>
    </i>
  </rowItems>
  <colItems count="1">
    <i/>
  </colItems>
  <dataFields count="1">
    <dataField name="Sum of Revenue"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B5484F-3525-4D1E-9425-1A32C7C7C18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O13" firstHeaderRow="0" firstDataRow="1" firstDataCol="1"/>
  <pivotFields count="13">
    <pivotField showAll="0"/>
    <pivotField showAll="0">
      <items count="8">
        <item x="0"/>
        <item x="5"/>
        <item x="1"/>
        <item x="2"/>
        <item x="6"/>
        <item x="4"/>
        <item x="3"/>
        <item t="default"/>
      </items>
    </pivotField>
    <pivotField showAll="0"/>
    <pivotField axis="axisRow" showAll="0" measureFilter="1">
      <items count="838">
        <item x="754"/>
        <item x="184"/>
        <item x="398"/>
        <item x="474"/>
        <item x="442"/>
        <item x="560"/>
        <item x="204"/>
        <item x="753"/>
        <item x="426"/>
        <item x="126"/>
        <item x="29"/>
        <item x="394"/>
        <item x="796"/>
        <item x="120"/>
        <item x="808"/>
        <item x="212"/>
        <item x="567"/>
        <item x="337"/>
        <item x="450"/>
        <item x="408"/>
        <item x="145"/>
        <item x="488"/>
        <item x="641"/>
        <item x="297"/>
        <item x="355"/>
        <item x="191"/>
        <item x="5"/>
        <item x="469"/>
        <item x="532"/>
        <item x="167"/>
        <item x="162"/>
        <item x="778"/>
        <item x="636"/>
        <item x="740"/>
        <item x="768"/>
        <item x="113"/>
        <item x="531"/>
        <item x="115"/>
        <item x="53"/>
        <item x="555"/>
        <item x="350"/>
        <item x="393"/>
        <item x="573"/>
        <item x="438"/>
        <item x="188"/>
        <item x="63"/>
        <item x="146"/>
        <item x="229"/>
        <item x="529"/>
        <item x="599"/>
        <item x="407"/>
        <item x="406"/>
        <item x="495"/>
        <item x="7"/>
        <item x="346"/>
        <item x="694"/>
        <item x="303"/>
        <item x="691"/>
        <item x="489"/>
        <item x="233"/>
        <item x="261"/>
        <item x="296"/>
        <item x="137"/>
        <item x="219"/>
        <item x="259"/>
        <item x="225"/>
        <item x="496"/>
        <item x="249"/>
        <item x="27"/>
        <item x="6"/>
        <item x="339"/>
        <item x="552"/>
        <item x="818"/>
        <item x="98"/>
        <item x="576"/>
        <item x="538"/>
        <item x="642"/>
        <item x="254"/>
        <item x="785"/>
        <item x="710"/>
        <item x="690"/>
        <item x="736"/>
        <item x="21"/>
        <item x="675"/>
        <item x="381"/>
        <item x="521"/>
        <item x="534"/>
        <item x="650"/>
        <item x="99"/>
        <item x="234"/>
        <item x="793"/>
        <item x="78"/>
        <item x="709"/>
        <item x="673"/>
        <item x="351"/>
        <item x="83"/>
        <item x="639"/>
        <item x="502"/>
        <item x="288"/>
        <item x="724"/>
        <item x="574"/>
        <item x="211"/>
        <item x="298"/>
        <item x="95"/>
        <item x="159"/>
        <item x="487"/>
        <item x="119"/>
        <item x="569"/>
        <item x="804"/>
        <item x="75"/>
        <item x="514"/>
        <item x="812"/>
        <item x="410"/>
        <item x="26"/>
        <item x="430"/>
        <item x="729"/>
        <item x="409"/>
        <item x="186"/>
        <item x="344"/>
        <item x="185"/>
        <item x="334"/>
        <item x="255"/>
        <item x="764"/>
        <item x="786"/>
        <item x="801"/>
        <item x="475"/>
        <item x="702"/>
        <item x="620"/>
        <item x="491"/>
        <item x="414"/>
        <item x="581"/>
        <item x="696"/>
        <item x="612"/>
        <item x="353"/>
        <item x="245"/>
        <item x="810"/>
        <item x="835"/>
        <item x="401"/>
        <item x="101"/>
        <item x="463"/>
        <item x="373"/>
        <item x="193"/>
        <item x="395"/>
        <item x="84"/>
        <item x="272"/>
        <item x="814"/>
        <item x="741"/>
        <item x="418"/>
        <item x="336"/>
        <item x="52"/>
        <item x="760"/>
        <item x="481"/>
        <item x="285"/>
        <item x="48"/>
        <item x="333"/>
        <item x="444"/>
        <item x="47"/>
        <item x="2"/>
        <item x="360"/>
        <item x="806"/>
        <item x="506"/>
        <item x="480"/>
        <item x="807"/>
        <item x="744"/>
        <item x="617"/>
        <item x="571"/>
        <item x="536"/>
        <item x="309"/>
        <item x="644"/>
        <item x="825"/>
        <item x="148"/>
        <item x="777"/>
        <item x="473"/>
        <item x="370"/>
        <item x="588"/>
        <item x="256"/>
        <item x="182"/>
        <item x="42"/>
        <item x="329"/>
        <item x="317"/>
        <item x="518"/>
        <item x="103"/>
        <item x="74"/>
        <item x="782"/>
        <item x="606"/>
        <item x="584"/>
        <item x="703"/>
        <item x="678"/>
        <item x="832"/>
        <item x="483"/>
        <item x="701"/>
        <item x="423"/>
        <item x="168"/>
        <item x="341"/>
        <item x="326"/>
        <item x="439"/>
        <item x="51"/>
        <item x="586"/>
        <item x="679"/>
        <item x="82"/>
        <item x="671"/>
        <item x="665"/>
        <item x="157"/>
        <item x="762"/>
        <item x="311"/>
        <item x="3"/>
        <item x="761"/>
        <item x="443"/>
        <item x="677"/>
        <item x="375"/>
        <item x="104"/>
        <item x="253"/>
        <item x="11"/>
        <item x="699"/>
        <item x="61"/>
        <item x="482"/>
        <item x="239"/>
        <item x="797"/>
        <item x="244"/>
        <item x="776"/>
        <item x="431"/>
        <item x="594"/>
        <item x="413"/>
        <item x="509"/>
        <item x="454"/>
        <item x="30"/>
        <item x="720"/>
        <item x="399"/>
        <item x="829"/>
        <item x="666"/>
        <item x="260"/>
        <item x="156"/>
        <item x="718"/>
        <item x="205"/>
        <item x="500"/>
        <item x="165"/>
        <item x="143"/>
        <item x="670"/>
        <item x="660"/>
        <item x="64"/>
        <item x="118"/>
        <item x="648"/>
        <item x="214"/>
        <item x="464"/>
        <item x="380"/>
        <item x="14"/>
        <item x="719"/>
        <item x="124"/>
        <item x="60"/>
        <item x="579"/>
        <item x="692"/>
        <item x="100"/>
        <item x="680"/>
        <item x="459"/>
        <item x="130"/>
        <item x="546"/>
        <item x="216"/>
        <item x="456"/>
        <item x="589"/>
        <item x="34"/>
        <item x="508"/>
        <item x="110"/>
        <item x="149"/>
        <item x="746"/>
        <item x="429"/>
        <item x="81"/>
        <item x="175"/>
        <item x="792"/>
        <item x="199"/>
        <item x="440"/>
        <item x="187"/>
        <item x="494"/>
        <item x="461"/>
        <item x="150"/>
        <item x="819"/>
        <item x="319"/>
        <item x="688"/>
        <item x="708"/>
        <item x="630"/>
        <item x="300"/>
        <item x="471"/>
        <item x="550"/>
        <item x="726"/>
        <item x="1"/>
        <item x="519"/>
        <item x="587"/>
        <item x="387"/>
        <item x="653"/>
        <item x="94"/>
        <item x="790"/>
        <item x="89"/>
        <item x="433"/>
        <item x="247"/>
        <item x="116"/>
        <item x="775"/>
        <item x="575"/>
        <item x="376"/>
        <item x="198"/>
        <item x="824"/>
        <item x="142"/>
        <item x="472"/>
        <item x="372"/>
        <item x="767"/>
        <item x="363"/>
        <item x="290"/>
        <item x="282"/>
        <item x="273"/>
        <item x="803"/>
        <item x="685"/>
        <item x="634"/>
        <item x="301"/>
        <item x="551"/>
        <item x="250"/>
        <item x="287"/>
        <item x="55"/>
        <item x="178"/>
        <item x="602"/>
        <item x="50"/>
        <item x="484"/>
        <item x="828"/>
        <item x="836"/>
        <item x="770"/>
        <item x="313"/>
        <item x="266"/>
        <item x="597"/>
        <item x="264"/>
        <item x="432"/>
        <item x="222"/>
        <item x="466"/>
        <item x="252"/>
        <item x="200"/>
        <item x="390"/>
        <item x="554"/>
        <item x="388"/>
        <item x="364"/>
        <item x="195"/>
        <item x="396"/>
        <item x="516"/>
        <item x="291"/>
        <item x="520"/>
        <item x="312"/>
        <item x="513"/>
        <item x="152"/>
        <item x="335"/>
        <item x="15"/>
        <item x="141"/>
        <item x="427"/>
        <item x="135"/>
        <item x="722"/>
        <item x="566"/>
        <item x="391"/>
        <item x="524"/>
        <item x="707"/>
        <item x="537"/>
        <item x="628"/>
        <item x="365"/>
        <item x="705"/>
        <item x="86"/>
        <item x="257"/>
        <item x="698"/>
        <item x="131"/>
        <item x="0"/>
        <item x="172"/>
        <item x="206"/>
        <item x="544"/>
        <item x="18"/>
        <item x="362"/>
        <item x="77"/>
        <item x="392"/>
        <item x="759"/>
        <item x="136"/>
        <item x="711"/>
        <item x="610"/>
        <item x="24"/>
        <item x="299"/>
        <item x="160"/>
        <item x="208"/>
        <item x="535"/>
        <item x="235"/>
        <item x="455"/>
        <item x="321"/>
        <item x="539"/>
        <item x="59"/>
        <item x="657"/>
        <item x="8"/>
        <item x="667"/>
        <item x="17"/>
        <item x="242"/>
        <item x="577"/>
        <item x="20"/>
        <item x="217"/>
        <item x="357"/>
        <item x="43"/>
        <item x="79"/>
        <item x="721"/>
        <item x="517"/>
        <item x="821"/>
        <item x="681"/>
        <item x="547"/>
        <item x="274"/>
        <item x="758"/>
        <item x="164"/>
        <item x="425"/>
        <item x="598"/>
        <item x="359"/>
        <item x="817"/>
        <item x="686"/>
        <item x="56"/>
        <item x="684"/>
        <item x="69"/>
        <item x="132"/>
        <item x="114"/>
        <item x="269"/>
        <item x="515"/>
        <item x="377"/>
        <item x="379"/>
        <item x="631"/>
        <item x="46"/>
        <item x="153"/>
        <item x="647"/>
        <item x="276"/>
        <item x="668"/>
        <item x="39"/>
        <item x="626"/>
        <item x="683"/>
        <item x="33"/>
        <item x="689"/>
        <item x="112"/>
        <item x="553"/>
        <item x="328"/>
        <item x="318"/>
        <item x="384"/>
        <item x="580"/>
        <item x="258"/>
        <item x="595"/>
        <item x="658"/>
        <item x="320"/>
        <item x="788"/>
        <item x="791"/>
        <item x="237"/>
        <item x="87"/>
        <item x="284"/>
        <item x="787"/>
        <item x="446"/>
        <item x="279"/>
        <item x="783"/>
        <item x="447"/>
        <item x="582"/>
        <item x="134"/>
        <item x="655"/>
        <item x="304"/>
        <item x="45"/>
        <item x="23"/>
        <item x="286"/>
        <item x="121"/>
        <item x="224"/>
        <item x="161"/>
        <item x="437"/>
        <item x="564"/>
        <item x="646"/>
        <item x="412"/>
        <item x="457"/>
        <item x="661"/>
        <item x="559"/>
        <item x="302"/>
        <item x="616"/>
        <item x="292"/>
        <item x="557"/>
        <item x="498"/>
        <item x="281"/>
        <item x="441"/>
        <item x="716"/>
        <item x="415"/>
        <item x="80"/>
        <item x="503"/>
        <item x="240"/>
        <item x="499"/>
        <item x="811"/>
        <item x="163"/>
        <item x="338"/>
        <item x="525"/>
        <item x="470"/>
        <item x="605"/>
        <item x="315"/>
        <item x="209"/>
        <item x="280"/>
        <item x="243"/>
        <item x="332"/>
        <item x="417"/>
        <item x="624"/>
        <item x="621"/>
        <item x="727"/>
        <item x="295"/>
        <item x="358"/>
        <item x="349"/>
        <item x="421"/>
        <item x="232"/>
        <item x="246"/>
        <item x="227"/>
        <item x="147"/>
        <item x="697"/>
        <item x="65"/>
        <item x="765"/>
        <item x="704"/>
        <item x="649"/>
        <item x="485"/>
        <item x="151"/>
        <item x="800"/>
        <item x="549"/>
        <item x="40"/>
        <item x="139"/>
        <item x="435"/>
        <item x="202"/>
        <item x="540"/>
        <item x="826"/>
        <item x="613"/>
        <item x="623"/>
        <item x="763"/>
        <item x="669"/>
        <item x="717"/>
        <item x="91"/>
        <item x="25"/>
        <item x="522"/>
        <item x="780"/>
        <item x="71"/>
        <item x="181"/>
        <item x="468"/>
        <item x="572"/>
        <item x="171"/>
        <item x="92"/>
        <item x="511"/>
        <item x="492"/>
        <item x="283"/>
        <item x="596"/>
        <item x="766"/>
        <item x="449"/>
        <item x="714"/>
        <item x="289"/>
        <item x="545"/>
        <item x="76"/>
        <item x="12"/>
        <item x="62"/>
        <item x="220"/>
        <item x="693"/>
        <item x="757"/>
        <item x="140"/>
        <item x="270"/>
        <item x="530"/>
        <item x="241"/>
        <item x="158"/>
        <item x="809"/>
        <item x="389"/>
        <item x="293"/>
        <item x="108"/>
        <item x="16"/>
        <item x="385"/>
        <item x="166"/>
        <item x="183"/>
        <item x="752"/>
        <item x="451"/>
        <item x="268"/>
        <item x="652"/>
        <item x="111"/>
        <item x="725"/>
        <item x="731"/>
        <item x="467"/>
        <item x="369"/>
        <item x="743"/>
        <item x="635"/>
        <item x="798"/>
        <item x="632"/>
        <item x="31"/>
        <item x="465"/>
        <item x="13"/>
        <item x="169"/>
        <item x="35"/>
        <item x="565"/>
        <item x="316"/>
        <item x="306"/>
        <item x="527"/>
        <item x="490"/>
        <item x="128"/>
        <item x="367"/>
        <item x="32"/>
        <item x="827"/>
        <item x="794"/>
        <item x="144"/>
        <item x="378"/>
        <item x="325"/>
        <item x="102"/>
        <item x="49"/>
        <item x="493"/>
        <item x="591"/>
        <item x="548"/>
        <item x="816"/>
        <item x="44"/>
        <item x="654"/>
        <item x="22"/>
        <item x="397"/>
        <item x="97"/>
        <item x="625"/>
        <item x="526"/>
        <item x="428"/>
        <item x="201"/>
        <item x="228"/>
        <item x="277"/>
        <item x="324"/>
        <item x="738"/>
        <item x="662"/>
        <item x="340"/>
        <item x="125"/>
        <item x="170"/>
        <item x="750"/>
        <item x="543"/>
        <item x="593"/>
        <item x="221"/>
        <item x="460"/>
        <item x="154"/>
        <item x="105"/>
        <item x="88"/>
        <item x="477"/>
        <item x="769"/>
        <item x="568"/>
        <item x="799"/>
        <item x="411"/>
        <item x="822"/>
        <item x="784"/>
        <item x="512"/>
        <item x="386"/>
        <item x="133"/>
        <item x="402"/>
        <item x="523"/>
        <item x="180"/>
        <item x="345"/>
        <item x="756"/>
        <item x="627"/>
        <item x="218"/>
        <item x="813"/>
        <item x="618"/>
        <item x="189"/>
        <item x="732"/>
        <item x="504"/>
        <item x="820"/>
        <item x="138"/>
        <item x="834"/>
        <item x="36"/>
        <item x="831"/>
        <item x="561"/>
        <item x="330"/>
        <item x="422"/>
        <item x="197"/>
        <item x="342"/>
        <item x="728"/>
        <item x="68"/>
        <item x="420"/>
        <item x="745"/>
        <item x="674"/>
        <item x="57"/>
        <item x="366"/>
        <item x="177"/>
        <item x="405"/>
        <item x="656"/>
        <item x="706"/>
        <item x="600"/>
        <item x="38"/>
        <item x="638"/>
        <item x="294"/>
        <item x="773"/>
        <item x="424"/>
        <item x="637"/>
        <item x="194"/>
        <item x="383"/>
        <item x="682"/>
        <item x="815"/>
        <item x="505"/>
        <item x="226"/>
        <item x="510"/>
        <item x="533"/>
        <item x="742"/>
        <item x="123"/>
        <item x="176"/>
        <item x="622"/>
        <item x="795"/>
        <item x="117"/>
        <item x="663"/>
        <item x="604"/>
        <item x="507"/>
        <item x="323"/>
        <item x="179"/>
        <item x="723"/>
        <item x="85"/>
        <item x="542"/>
        <item x="747"/>
        <item x="403"/>
        <item x="779"/>
        <item x="772"/>
        <item x="578"/>
        <item x="748"/>
        <item x="230"/>
        <item x="203"/>
        <item x="331"/>
        <item x="755"/>
        <item x="352"/>
        <item x="37"/>
        <item x="445"/>
        <item x="190"/>
        <item x="368"/>
        <item x="695"/>
        <item x="416"/>
        <item x="452"/>
        <item x="448"/>
        <item x="90"/>
        <item x="308"/>
        <item x="601"/>
        <item x="4"/>
        <item x="651"/>
        <item x="70"/>
        <item x="129"/>
        <item x="10"/>
        <item x="611"/>
        <item x="645"/>
        <item x="404"/>
        <item x="497"/>
        <item x="749"/>
        <item x="192"/>
        <item x="570"/>
        <item x="174"/>
        <item x="734"/>
        <item x="462"/>
        <item x="774"/>
        <item x="633"/>
        <item x="830"/>
        <item x="781"/>
        <item x="501"/>
        <item x="585"/>
        <item x="751"/>
        <item x="603"/>
        <item x="607"/>
        <item x="348"/>
        <item x="476"/>
        <item x="713"/>
        <item x="271"/>
        <item x="307"/>
        <item x="614"/>
        <item x="558"/>
        <item x="207"/>
        <item x="823"/>
        <item x="802"/>
        <item x="615"/>
        <item x="67"/>
        <item x="58"/>
        <item x="54"/>
        <item x="371"/>
        <item x="563"/>
        <item x="9"/>
        <item x="327"/>
        <item x="739"/>
        <item x="486"/>
        <item x="608"/>
        <item x="737"/>
        <item x="106"/>
        <item x="72"/>
        <item x="28"/>
        <item x="236"/>
        <item x="735"/>
        <item x="419"/>
        <item x="73"/>
        <item x="155"/>
        <item x="619"/>
        <item x="275"/>
        <item x="805"/>
        <item x="267"/>
        <item x="173"/>
        <item x="556"/>
        <item x="41"/>
        <item x="640"/>
        <item x="541"/>
        <item x="213"/>
        <item x="96"/>
        <item x="19"/>
        <item x="789"/>
        <item x="479"/>
        <item x="562"/>
        <item x="322"/>
        <item x="664"/>
        <item x="676"/>
        <item x="478"/>
        <item x="436"/>
        <item x="672"/>
        <item x="238"/>
        <item x="733"/>
        <item x="196"/>
        <item x="400"/>
        <item x="215"/>
        <item x="659"/>
        <item x="231"/>
        <item x="262"/>
        <item x="210"/>
        <item x="458"/>
        <item x="374"/>
        <item x="251"/>
        <item x="107"/>
        <item x="712"/>
        <item x="453"/>
        <item x="310"/>
        <item x="263"/>
        <item x="354"/>
        <item x="730"/>
        <item x="305"/>
        <item x="343"/>
        <item x="223"/>
        <item x="583"/>
        <item x="93"/>
        <item x="643"/>
        <item x="248"/>
        <item x="833"/>
        <item x="109"/>
        <item x="609"/>
        <item x="528"/>
        <item x="361"/>
        <item x="66"/>
        <item x="629"/>
        <item x="122"/>
        <item x="687"/>
        <item x="592"/>
        <item x="715"/>
        <item x="314"/>
        <item x="700"/>
        <item x="127"/>
        <item x="434"/>
        <item x="347"/>
        <item x="771"/>
        <item x="590"/>
        <item x="265"/>
        <item x="356"/>
        <item x="382"/>
        <item x="278"/>
        <item t="default"/>
      </items>
    </pivotField>
    <pivotField numFmtId="165" showAll="0"/>
    <pivotField dataField="1" showAll="0"/>
    <pivotField dataField="1" numFmtId="165" showAll="0"/>
    <pivotField showAll="0"/>
    <pivotField showAll="0">
      <items count="4">
        <item x="2"/>
        <item x="0"/>
        <item x="1"/>
        <item t="default"/>
      </items>
    </pivotField>
    <pivotField showAll="0">
      <items count="7">
        <item x="0"/>
        <item x="1"/>
        <item x="2"/>
        <item x="5"/>
        <item x="3"/>
        <item x="4"/>
        <item t="default"/>
      </items>
    </pivotField>
    <pivotField showAll="0">
      <items count="3">
        <item x="1"/>
        <item x="0"/>
        <item t="default"/>
      </items>
    </pivotField>
    <pivotField numFmtId="165" showAll="0"/>
    <pivotField numFmtId="165" showAll="0"/>
  </pivotFields>
  <rowFields count="1">
    <field x="3"/>
  </rowFields>
  <rowItems count="11">
    <i>
      <x v="141"/>
    </i>
    <i>
      <x v="167"/>
    </i>
    <i>
      <x v="258"/>
    </i>
    <i>
      <x v="483"/>
    </i>
    <i>
      <x v="551"/>
    </i>
    <i>
      <x v="553"/>
    </i>
    <i>
      <x v="653"/>
    </i>
    <i>
      <x v="699"/>
    </i>
    <i>
      <x v="761"/>
    </i>
    <i>
      <x v="836"/>
    </i>
    <i t="grand">
      <x/>
    </i>
  </rowItems>
  <colFields count="1">
    <field x="-2"/>
  </colFields>
  <colItems count="3">
    <i>
      <x/>
    </i>
    <i i="1">
      <x v="1"/>
    </i>
    <i i="2">
      <x v="2"/>
    </i>
  </colItems>
  <dataFields count="3">
    <dataField name="Sum of Revenue" fld="6" baseField="0" baseItem="0" numFmtId="165"/>
    <dataField name="Average of Revenue2" fld="6" subtotal="average" baseField="3" baseItem="0" numFmtId="165"/>
    <dataField name="Sum of Conversions" fld="5" baseField="0"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E9A2BD-0576-43CE-9FA2-56FEAA2A361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I9" firstHeaderRow="0" firstDataRow="1" firstDataCol="1"/>
  <pivotFields count="13">
    <pivotField showAll="0"/>
    <pivotField showAll="0">
      <items count="8">
        <item x="0"/>
        <item x="5"/>
        <item x="1"/>
        <item x="2"/>
        <item x="6"/>
        <item x="4"/>
        <item x="3"/>
        <item t="default"/>
      </items>
    </pivotField>
    <pivotField showAll="0"/>
    <pivotField showAll="0"/>
    <pivotField dataField="1" numFmtId="165" showAll="0"/>
    <pivotField dataField="1" showAll="0"/>
    <pivotField dataField="1" numFmtId="165" showAll="0"/>
    <pivotField showAll="0"/>
    <pivotField showAll="0">
      <items count="4">
        <item x="2"/>
        <item x="0"/>
        <item x="1"/>
        <item t="default"/>
      </items>
    </pivotField>
    <pivotField axis="axisRow" showAll="0" sortType="ascending">
      <items count="7">
        <item x="0"/>
        <item x="1"/>
        <item x="2"/>
        <item x="5"/>
        <item x="3"/>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ataField="1" numFmtId="165" showAll="0"/>
    <pivotField numFmtId="165" showAll="0"/>
  </pivotFields>
  <rowFields count="1">
    <field x="9"/>
  </rowFields>
  <rowItems count="7">
    <i>
      <x v="4"/>
    </i>
    <i>
      <x v="5"/>
    </i>
    <i>
      <x/>
    </i>
    <i>
      <x v="3"/>
    </i>
    <i>
      <x v="1"/>
    </i>
    <i>
      <x v="2"/>
    </i>
    <i t="grand">
      <x/>
    </i>
  </rowItems>
  <colFields count="1">
    <field x="-2"/>
  </colFields>
  <colItems count="4">
    <i>
      <x/>
    </i>
    <i i="1">
      <x v="1"/>
    </i>
    <i i="2">
      <x v="2"/>
    </i>
    <i i="3">
      <x v="3"/>
    </i>
  </colItems>
  <dataFields count="4">
    <dataField name="Sum of Revenue" fld="6" baseField="0" baseItem="0" numFmtId="165"/>
    <dataField name="Sum of Ad Spend" fld="4" baseField="0" baseItem="0" numFmtId="165"/>
    <dataField name="Sum of Conversions" fld="5" baseField="0" baseItem="0"/>
    <dataField name="Sum of ROI"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03C229-BDB5-4765-9C94-F994219DA364}"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Q50" firstHeaderRow="1" firstDataRow="3" firstDataCol="1"/>
  <pivotFields count="13">
    <pivotField showAll="0"/>
    <pivotField axis="axisCol" showAll="0">
      <items count="8">
        <item x="0"/>
        <item x="5"/>
        <item x="1"/>
        <item x="2"/>
        <item x="6"/>
        <item x="4"/>
        <item x="3"/>
        <item t="default"/>
      </items>
    </pivotField>
    <pivotField showAll="0">
      <items count="5">
        <item x="1"/>
        <item x="3"/>
        <item x="0"/>
        <item x="2"/>
        <item t="default"/>
      </items>
    </pivotField>
    <pivotField showAll="0"/>
    <pivotField dataField="1" numFmtId="165" showAll="0"/>
    <pivotField showAll="0"/>
    <pivotField dataField="1" numFmtId="165" showAll="0"/>
    <pivotField showAll="0"/>
    <pivotField showAll="0">
      <items count="4">
        <item x="2"/>
        <item x="0"/>
        <item x="1"/>
        <item t="default"/>
      </items>
    </pivotField>
    <pivotField axis="axisRow" showAll="0">
      <items count="7">
        <item x="0"/>
        <item x="1"/>
        <item x="2"/>
        <item x="5"/>
        <item x="3"/>
        <item x="4"/>
        <item t="default"/>
      </items>
    </pivotField>
    <pivotField showAll="0">
      <items count="3">
        <item x="1"/>
        <item x="0"/>
        <item t="default"/>
      </items>
    </pivotField>
    <pivotField numFmtId="165" showAll="0"/>
    <pivotField numFmtId="165" showAll="0"/>
  </pivotFields>
  <rowFields count="1">
    <field x="9"/>
  </rowFields>
  <rowItems count="7">
    <i>
      <x/>
    </i>
    <i>
      <x v="1"/>
    </i>
    <i>
      <x v="2"/>
    </i>
    <i>
      <x v="3"/>
    </i>
    <i>
      <x v="4"/>
    </i>
    <i>
      <x v="5"/>
    </i>
    <i t="grand">
      <x/>
    </i>
  </rowItems>
  <colFields count="2">
    <field x="-2"/>
    <field x="1"/>
  </colFields>
  <colItems count="16">
    <i>
      <x/>
      <x/>
    </i>
    <i r="1">
      <x v="1"/>
    </i>
    <i r="1">
      <x v="2"/>
    </i>
    <i r="1">
      <x v="3"/>
    </i>
    <i r="1">
      <x v="4"/>
    </i>
    <i r="1">
      <x v="5"/>
    </i>
    <i r="1">
      <x v="6"/>
    </i>
    <i i="1">
      <x v="1"/>
      <x/>
    </i>
    <i r="1" i="1">
      <x v="1"/>
    </i>
    <i r="1" i="1">
      <x v="2"/>
    </i>
    <i r="1" i="1">
      <x v="3"/>
    </i>
    <i r="1" i="1">
      <x v="4"/>
    </i>
    <i r="1" i="1">
      <x v="5"/>
    </i>
    <i r="1" i="1">
      <x v="6"/>
    </i>
    <i t="grand">
      <x/>
    </i>
    <i t="grand" i="1">
      <x/>
    </i>
  </colItems>
  <dataFields count="2">
    <dataField name="Sum of Ad Spend" fld="4" baseField="0" baseItem="0" numFmtId="165"/>
    <dataField name="Sum of Revenue"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24D063-B8C4-47D4-9402-310B40C07842}"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9:B82" firstHeaderRow="1" firstDataRow="1" firstDataCol="1"/>
  <pivotFields count="13">
    <pivotField showAll="0"/>
    <pivotField showAll="0">
      <items count="8">
        <item x="0"/>
        <item x="5"/>
        <item x="1"/>
        <item x="2"/>
        <item x="6"/>
        <item x="4"/>
        <item x="3"/>
        <item t="default"/>
      </items>
    </pivotField>
    <pivotField showAll="0"/>
    <pivotField showAll="0">
      <items count="838">
        <item x="754"/>
        <item x="184"/>
        <item x="398"/>
        <item x="474"/>
        <item x="442"/>
        <item x="560"/>
        <item x="204"/>
        <item x="753"/>
        <item x="426"/>
        <item x="126"/>
        <item x="29"/>
        <item x="394"/>
        <item x="796"/>
        <item x="120"/>
        <item x="808"/>
        <item x="212"/>
        <item x="567"/>
        <item x="337"/>
        <item x="450"/>
        <item x="408"/>
        <item x="145"/>
        <item x="488"/>
        <item x="641"/>
        <item x="297"/>
        <item x="355"/>
        <item x="191"/>
        <item x="5"/>
        <item x="469"/>
        <item x="532"/>
        <item x="167"/>
        <item x="162"/>
        <item x="778"/>
        <item x="636"/>
        <item x="740"/>
        <item x="768"/>
        <item x="113"/>
        <item x="531"/>
        <item x="115"/>
        <item x="53"/>
        <item x="555"/>
        <item x="350"/>
        <item x="393"/>
        <item x="573"/>
        <item x="438"/>
        <item x="188"/>
        <item x="63"/>
        <item x="146"/>
        <item x="229"/>
        <item x="529"/>
        <item x="599"/>
        <item x="407"/>
        <item x="406"/>
        <item x="495"/>
        <item x="7"/>
        <item x="346"/>
        <item x="694"/>
        <item x="303"/>
        <item x="691"/>
        <item x="489"/>
        <item x="233"/>
        <item x="261"/>
        <item x="296"/>
        <item x="137"/>
        <item x="219"/>
        <item x="259"/>
        <item x="225"/>
        <item x="496"/>
        <item x="249"/>
        <item x="27"/>
        <item x="6"/>
        <item x="339"/>
        <item x="552"/>
        <item x="818"/>
        <item x="98"/>
        <item x="576"/>
        <item x="538"/>
        <item x="642"/>
        <item x="254"/>
        <item x="785"/>
        <item x="710"/>
        <item x="690"/>
        <item x="736"/>
        <item x="21"/>
        <item x="675"/>
        <item x="381"/>
        <item x="521"/>
        <item x="534"/>
        <item x="650"/>
        <item x="99"/>
        <item x="234"/>
        <item x="793"/>
        <item x="78"/>
        <item x="709"/>
        <item x="673"/>
        <item x="351"/>
        <item x="83"/>
        <item x="639"/>
        <item x="502"/>
        <item x="288"/>
        <item x="724"/>
        <item x="574"/>
        <item x="211"/>
        <item x="298"/>
        <item x="95"/>
        <item x="159"/>
        <item x="487"/>
        <item x="119"/>
        <item x="569"/>
        <item x="804"/>
        <item x="75"/>
        <item x="514"/>
        <item x="812"/>
        <item x="410"/>
        <item x="26"/>
        <item x="430"/>
        <item x="729"/>
        <item x="409"/>
        <item x="186"/>
        <item x="344"/>
        <item x="185"/>
        <item x="334"/>
        <item x="255"/>
        <item x="764"/>
        <item x="786"/>
        <item x="801"/>
        <item x="475"/>
        <item x="702"/>
        <item x="620"/>
        <item x="491"/>
        <item x="414"/>
        <item x="581"/>
        <item x="696"/>
        <item x="612"/>
        <item x="353"/>
        <item x="245"/>
        <item x="810"/>
        <item x="835"/>
        <item x="401"/>
        <item x="101"/>
        <item x="463"/>
        <item x="373"/>
        <item x="193"/>
        <item x="395"/>
        <item x="84"/>
        <item x="272"/>
        <item x="814"/>
        <item x="741"/>
        <item x="418"/>
        <item x="336"/>
        <item x="52"/>
        <item x="760"/>
        <item x="481"/>
        <item x="285"/>
        <item x="48"/>
        <item x="333"/>
        <item x="444"/>
        <item x="47"/>
        <item x="2"/>
        <item x="360"/>
        <item x="806"/>
        <item x="506"/>
        <item x="480"/>
        <item x="807"/>
        <item x="744"/>
        <item x="617"/>
        <item x="571"/>
        <item x="536"/>
        <item x="309"/>
        <item x="644"/>
        <item x="825"/>
        <item x="148"/>
        <item x="777"/>
        <item x="473"/>
        <item x="370"/>
        <item x="588"/>
        <item x="256"/>
        <item x="182"/>
        <item x="42"/>
        <item x="329"/>
        <item x="317"/>
        <item x="518"/>
        <item x="103"/>
        <item x="74"/>
        <item x="782"/>
        <item x="606"/>
        <item x="584"/>
        <item x="703"/>
        <item x="678"/>
        <item x="832"/>
        <item x="483"/>
        <item x="701"/>
        <item x="423"/>
        <item x="168"/>
        <item x="341"/>
        <item x="326"/>
        <item x="439"/>
        <item x="51"/>
        <item x="586"/>
        <item x="679"/>
        <item x="82"/>
        <item x="671"/>
        <item x="665"/>
        <item x="157"/>
        <item x="762"/>
        <item x="311"/>
        <item x="3"/>
        <item x="761"/>
        <item x="443"/>
        <item x="677"/>
        <item x="375"/>
        <item x="104"/>
        <item x="253"/>
        <item x="11"/>
        <item x="699"/>
        <item x="61"/>
        <item x="482"/>
        <item x="239"/>
        <item x="797"/>
        <item x="244"/>
        <item x="776"/>
        <item x="431"/>
        <item x="594"/>
        <item x="413"/>
        <item x="509"/>
        <item x="454"/>
        <item x="30"/>
        <item x="720"/>
        <item x="399"/>
        <item x="829"/>
        <item x="666"/>
        <item x="260"/>
        <item x="156"/>
        <item x="718"/>
        <item x="205"/>
        <item x="500"/>
        <item x="165"/>
        <item x="143"/>
        <item x="670"/>
        <item x="660"/>
        <item x="64"/>
        <item x="118"/>
        <item x="648"/>
        <item x="214"/>
        <item x="464"/>
        <item x="380"/>
        <item x="14"/>
        <item x="719"/>
        <item x="124"/>
        <item x="60"/>
        <item x="579"/>
        <item x="692"/>
        <item x="100"/>
        <item x="680"/>
        <item x="459"/>
        <item x="130"/>
        <item x="546"/>
        <item x="216"/>
        <item x="456"/>
        <item x="589"/>
        <item x="34"/>
        <item x="508"/>
        <item x="110"/>
        <item x="149"/>
        <item x="746"/>
        <item x="429"/>
        <item x="81"/>
        <item x="175"/>
        <item x="792"/>
        <item x="199"/>
        <item x="440"/>
        <item x="187"/>
        <item x="494"/>
        <item x="461"/>
        <item x="150"/>
        <item x="819"/>
        <item x="319"/>
        <item x="688"/>
        <item x="708"/>
        <item x="630"/>
        <item x="300"/>
        <item x="471"/>
        <item x="550"/>
        <item x="726"/>
        <item x="1"/>
        <item x="519"/>
        <item x="587"/>
        <item x="387"/>
        <item x="653"/>
        <item x="94"/>
        <item x="790"/>
        <item x="89"/>
        <item x="433"/>
        <item x="247"/>
        <item x="116"/>
        <item x="775"/>
        <item x="575"/>
        <item x="376"/>
        <item x="198"/>
        <item x="824"/>
        <item x="142"/>
        <item x="472"/>
        <item x="372"/>
        <item x="767"/>
        <item x="363"/>
        <item x="290"/>
        <item x="282"/>
        <item x="273"/>
        <item x="803"/>
        <item x="685"/>
        <item x="634"/>
        <item x="301"/>
        <item x="551"/>
        <item x="250"/>
        <item x="287"/>
        <item x="55"/>
        <item x="178"/>
        <item x="602"/>
        <item x="50"/>
        <item x="484"/>
        <item x="828"/>
        <item x="836"/>
        <item x="770"/>
        <item x="313"/>
        <item x="266"/>
        <item x="597"/>
        <item x="264"/>
        <item x="432"/>
        <item x="222"/>
        <item x="466"/>
        <item x="252"/>
        <item x="200"/>
        <item x="390"/>
        <item x="554"/>
        <item x="388"/>
        <item x="364"/>
        <item x="195"/>
        <item x="396"/>
        <item x="516"/>
        <item x="291"/>
        <item x="520"/>
        <item x="312"/>
        <item x="513"/>
        <item x="152"/>
        <item x="335"/>
        <item x="15"/>
        <item x="141"/>
        <item x="427"/>
        <item x="135"/>
        <item x="722"/>
        <item x="566"/>
        <item x="391"/>
        <item x="524"/>
        <item x="707"/>
        <item x="537"/>
        <item x="628"/>
        <item x="365"/>
        <item x="705"/>
        <item x="86"/>
        <item x="257"/>
        <item x="698"/>
        <item x="131"/>
        <item x="0"/>
        <item x="172"/>
        <item x="206"/>
        <item x="544"/>
        <item x="18"/>
        <item x="362"/>
        <item x="77"/>
        <item x="392"/>
        <item x="759"/>
        <item x="136"/>
        <item x="711"/>
        <item x="610"/>
        <item x="24"/>
        <item x="299"/>
        <item x="160"/>
        <item x="208"/>
        <item x="535"/>
        <item x="235"/>
        <item x="455"/>
        <item x="321"/>
        <item x="539"/>
        <item x="59"/>
        <item x="657"/>
        <item x="8"/>
        <item x="667"/>
        <item x="17"/>
        <item x="242"/>
        <item x="577"/>
        <item x="20"/>
        <item x="217"/>
        <item x="357"/>
        <item x="43"/>
        <item x="79"/>
        <item x="721"/>
        <item x="517"/>
        <item x="821"/>
        <item x="681"/>
        <item x="547"/>
        <item x="274"/>
        <item x="758"/>
        <item x="164"/>
        <item x="425"/>
        <item x="598"/>
        <item x="359"/>
        <item x="817"/>
        <item x="686"/>
        <item x="56"/>
        <item x="684"/>
        <item x="69"/>
        <item x="132"/>
        <item x="114"/>
        <item x="269"/>
        <item x="515"/>
        <item x="377"/>
        <item x="379"/>
        <item x="631"/>
        <item x="46"/>
        <item x="153"/>
        <item x="647"/>
        <item x="276"/>
        <item x="668"/>
        <item x="39"/>
        <item x="626"/>
        <item x="683"/>
        <item x="33"/>
        <item x="689"/>
        <item x="112"/>
        <item x="553"/>
        <item x="328"/>
        <item x="318"/>
        <item x="384"/>
        <item x="580"/>
        <item x="258"/>
        <item x="595"/>
        <item x="658"/>
        <item x="320"/>
        <item x="788"/>
        <item x="791"/>
        <item x="237"/>
        <item x="87"/>
        <item x="284"/>
        <item x="787"/>
        <item x="446"/>
        <item x="279"/>
        <item x="783"/>
        <item x="447"/>
        <item x="582"/>
        <item x="134"/>
        <item x="655"/>
        <item x="304"/>
        <item x="45"/>
        <item x="23"/>
        <item x="286"/>
        <item x="121"/>
        <item x="224"/>
        <item x="161"/>
        <item x="437"/>
        <item x="564"/>
        <item x="646"/>
        <item x="412"/>
        <item x="457"/>
        <item x="661"/>
        <item x="559"/>
        <item x="302"/>
        <item x="616"/>
        <item x="292"/>
        <item x="557"/>
        <item x="498"/>
        <item x="281"/>
        <item x="441"/>
        <item x="716"/>
        <item x="415"/>
        <item x="80"/>
        <item x="503"/>
        <item x="240"/>
        <item x="499"/>
        <item x="811"/>
        <item x="163"/>
        <item x="338"/>
        <item x="525"/>
        <item x="470"/>
        <item x="605"/>
        <item x="315"/>
        <item x="209"/>
        <item x="280"/>
        <item x="243"/>
        <item x="332"/>
        <item x="417"/>
        <item x="624"/>
        <item x="621"/>
        <item x="727"/>
        <item x="295"/>
        <item x="358"/>
        <item x="349"/>
        <item x="421"/>
        <item x="232"/>
        <item x="246"/>
        <item x="227"/>
        <item x="147"/>
        <item x="697"/>
        <item x="65"/>
        <item x="765"/>
        <item x="704"/>
        <item x="649"/>
        <item x="485"/>
        <item x="151"/>
        <item x="800"/>
        <item x="549"/>
        <item x="40"/>
        <item x="139"/>
        <item x="435"/>
        <item x="202"/>
        <item x="540"/>
        <item x="826"/>
        <item x="613"/>
        <item x="623"/>
        <item x="763"/>
        <item x="669"/>
        <item x="717"/>
        <item x="91"/>
        <item x="25"/>
        <item x="522"/>
        <item x="780"/>
        <item x="71"/>
        <item x="181"/>
        <item x="468"/>
        <item x="572"/>
        <item x="171"/>
        <item x="92"/>
        <item x="511"/>
        <item x="492"/>
        <item x="283"/>
        <item x="596"/>
        <item x="766"/>
        <item x="449"/>
        <item x="714"/>
        <item x="289"/>
        <item x="545"/>
        <item x="76"/>
        <item x="12"/>
        <item x="62"/>
        <item x="220"/>
        <item x="693"/>
        <item x="757"/>
        <item x="140"/>
        <item x="270"/>
        <item x="530"/>
        <item x="241"/>
        <item x="158"/>
        <item x="809"/>
        <item x="389"/>
        <item x="293"/>
        <item x="108"/>
        <item x="16"/>
        <item x="385"/>
        <item x="166"/>
        <item x="183"/>
        <item x="752"/>
        <item x="451"/>
        <item x="268"/>
        <item x="652"/>
        <item x="111"/>
        <item x="725"/>
        <item x="731"/>
        <item x="467"/>
        <item x="369"/>
        <item x="743"/>
        <item x="635"/>
        <item x="798"/>
        <item x="632"/>
        <item x="31"/>
        <item x="465"/>
        <item x="13"/>
        <item x="169"/>
        <item x="35"/>
        <item x="565"/>
        <item x="316"/>
        <item x="306"/>
        <item x="527"/>
        <item x="490"/>
        <item x="128"/>
        <item x="367"/>
        <item x="32"/>
        <item x="827"/>
        <item x="794"/>
        <item x="144"/>
        <item x="378"/>
        <item x="325"/>
        <item x="102"/>
        <item x="49"/>
        <item x="493"/>
        <item x="591"/>
        <item x="548"/>
        <item x="816"/>
        <item x="44"/>
        <item x="654"/>
        <item x="22"/>
        <item x="397"/>
        <item x="97"/>
        <item x="625"/>
        <item x="526"/>
        <item x="428"/>
        <item x="201"/>
        <item x="228"/>
        <item x="277"/>
        <item x="324"/>
        <item x="738"/>
        <item x="662"/>
        <item x="340"/>
        <item x="125"/>
        <item x="170"/>
        <item x="750"/>
        <item x="543"/>
        <item x="593"/>
        <item x="221"/>
        <item x="460"/>
        <item x="154"/>
        <item x="105"/>
        <item x="88"/>
        <item x="477"/>
        <item x="769"/>
        <item x="568"/>
        <item x="799"/>
        <item x="411"/>
        <item x="822"/>
        <item x="784"/>
        <item x="512"/>
        <item x="386"/>
        <item x="133"/>
        <item x="402"/>
        <item x="523"/>
        <item x="180"/>
        <item x="345"/>
        <item x="756"/>
        <item x="627"/>
        <item x="218"/>
        <item x="813"/>
        <item x="618"/>
        <item x="189"/>
        <item x="732"/>
        <item x="504"/>
        <item x="820"/>
        <item x="138"/>
        <item x="834"/>
        <item x="36"/>
        <item x="831"/>
        <item x="561"/>
        <item x="330"/>
        <item x="422"/>
        <item x="197"/>
        <item x="342"/>
        <item x="728"/>
        <item x="68"/>
        <item x="420"/>
        <item x="745"/>
        <item x="674"/>
        <item x="57"/>
        <item x="366"/>
        <item x="177"/>
        <item x="405"/>
        <item x="656"/>
        <item x="706"/>
        <item x="600"/>
        <item x="38"/>
        <item x="638"/>
        <item x="294"/>
        <item x="773"/>
        <item x="424"/>
        <item x="637"/>
        <item x="194"/>
        <item x="383"/>
        <item x="682"/>
        <item x="815"/>
        <item x="505"/>
        <item x="226"/>
        <item x="510"/>
        <item x="533"/>
        <item x="742"/>
        <item x="123"/>
        <item x="176"/>
        <item x="622"/>
        <item x="795"/>
        <item x="117"/>
        <item x="663"/>
        <item x="604"/>
        <item x="507"/>
        <item x="323"/>
        <item x="179"/>
        <item x="723"/>
        <item x="85"/>
        <item x="542"/>
        <item x="747"/>
        <item x="403"/>
        <item x="779"/>
        <item x="772"/>
        <item x="578"/>
        <item x="748"/>
        <item x="230"/>
        <item x="203"/>
        <item x="331"/>
        <item x="755"/>
        <item x="352"/>
        <item x="37"/>
        <item x="445"/>
        <item x="190"/>
        <item x="368"/>
        <item x="695"/>
        <item x="416"/>
        <item x="452"/>
        <item x="448"/>
        <item x="90"/>
        <item x="308"/>
        <item x="601"/>
        <item x="4"/>
        <item x="651"/>
        <item x="70"/>
        <item x="129"/>
        <item x="10"/>
        <item x="611"/>
        <item x="645"/>
        <item x="404"/>
        <item x="497"/>
        <item x="749"/>
        <item x="192"/>
        <item x="570"/>
        <item x="174"/>
        <item x="734"/>
        <item x="462"/>
        <item x="774"/>
        <item x="633"/>
        <item x="830"/>
        <item x="781"/>
        <item x="501"/>
        <item x="585"/>
        <item x="751"/>
        <item x="603"/>
        <item x="607"/>
        <item x="348"/>
        <item x="476"/>
        <item x="713"/>
        <item x="271"/>
        <item x="307"/>
        <item x="614"/>
        <item x="558"/>
        <item x="207"/>
        <item x="823"/>
        <item x="802"/>
        <item x="615"/>
        <item x="67"/>
        <item x="58"/>
        <item x="54"/>
        <item x="371"/>
        <item x="563"/>
        <item x="9"/>
        <item x="327"/>
        <item x="739"/>
        <item x="486"/>
        <item x="608"/>
        <item x="737"/>
        <item x="106"/>
        <item x="72"/>
        <item x="28"/>
        <item x="236"/>
        <item x="735"/>
        <item x="419"/>
        <item x="73"/>
        <item x="155"/>
        <item x="619"/>
        <item x="275"/>
        <item x="805"/>
        <item x="267"/>
        <item x="173"/>
        <item x="556"/>
        <item x="41"/>
        <item x="640"/>
        <item x="541"/>
        <item x="213"/>
        <item x="96"/>
        <item x="19"/>
        <item x="789"/>
        <item x="479"/>
        <item x="562"/>
        <item x="322"/>
        <item x="664"/>
        <item x="676"/>
        <item x="478"/>
        <item x="436"/>
        <item x="672"/>
        <item x="238"/>
        <item x="733"/>
        <item x="196"/>
        <item x="400"/>
        <item x="215"/>
        <item x="659"/>
        <item x="231"/>
        <item x="262"/>
        <item x="210"/>
        <item x="458"/>
        <item x="374"/>
        <item x="251"/>
        <item x="107"/>
        <item x="712"/>
        <item x="453"/>
        <item x="310"/>
        <item x="263"/>
        <item x="354"/>
        <item x="730"/>
        <item x="305"/>
        <item x="343"/>
        <item x="223"/>
        <item x="583"/>
        <item x="93"/>
        <item x="643"/>
        <item x="248"/>
        <item x="833"/>
        <item x="109"/>
        <item x="609"/>
        <item x="528"/>
        <item x="361"/>
        <item x="66"/>
        <item x="629"/>
        <item x="122"/>
        <item x="687"/>
        <item x="592"/>
        <item x="715"/>
        <item x="314"/>
        <item x="700"/>
        <item x="127"/>
        <item x="434"/>
        <item x="347"/>
        <item x="771"/>
        <item x="590"/>
        <item x="265"/>
        <item x="356"/>
        <item x="382"/>
        <item x="278"/>
        <item t="default"/>
      </items>
    </pivotField>
    <pivotField numFmtId="165" showAll="0"/>
    <pivotField dataField="1" showAll="0"/>
    <pivotField numFmtId="165" showAll="0"/>
    <pivotField showAll="0"/>
    <pivotField showAll="0">
      <items count="4">
        <item x="2"/>
        <item x="0"/>
        <item x="1"/>
        <item t="default"/>
      </items>
    </pivotField>
    <pivotField showAll="0">
      <items count="7">
        <item x="0"/>
        <item x="1"/>
        <item x="2"/>
        <item x="5"/>
        <item x="3"/>
        <item x="4"/>
        <item t="default"/>
      </items>
    </pivotField>
    <pivotField axis="axisRow" showAll="0">
      <items count="3">
        <item x="1"/>
        <item x="0"/>
        <item t="default"/>
      </items>
    </pivotField>
    <pivotField numFmtId="165" showAll="0"/>
    <pivotField numFmtId="165" showAll="0"/>
  </pivotFields>
  <rowFields count="1">
    <field x="10"/>
  </rowFields>
  <rowItems count="3">
    <i>
      <x/>
    </i>
    <i>
      <x v="1"/>
    </i>
    <i t="grand">
      <x/>
    </i>
  </rowItems>
  <colItems count="1">
    <i/>
  </colItems>
  <dataFields count="1">
    <dataField name="Count of Conversions" fld="5" subtotal="count" baseField="10" baseItem="0"/>
  </dataField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0" count="1" selected="0">
            <x v="0"/>
          </reference>
        </references>
      </pivotArea>
    </chartFormat>
    <chartFormat chart="7"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DE52C461-9503-4E0D-B7C6-6FABB2AE726A}" sourceName="Booking Status">
  <pivotTables>
    <pivotTable tabId="2" name="PivotTable3"/>
    <pivotTable tabId="2" name="PivotTable12"/>
    <pivotTable tabId="2" name="PivotTable22"/>
    <pivotTable tabId="2" name="PivotTable4"/>
    <pivotTable tabId="2" name="PivotTable5"/>
    <pivotTable tabId="2" name="PivotTable6"/>
    <pivotTable tabId="2" name="PivotTable7"/>
    <pivotTable tabId="2" name="PivotTable8"/>
    <pivotTable tabId="2" name="PivotTable9"/>
  </pivotTables>
  <data>
    <tabular pivotCacheId="79788668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Type" xr10:uid="{A89F9437-2D18-4EF8-BE25-95762A768D85}" sourceName="Client Type">
  <pivotTables>
    <pivotTable tabId="2" name="PivotTable3"/>
    <pivotTable tabId="2" name="PivotTable12"/>
    <pivotTable tabId="2" name="PivotTable22"/>
    <pivotTable tabId="2" name="PivotTable4"/>
    <pivotTable tabId="2" name="PivotTable5"/>
    <pivotTable tabId="2" name="PivotTable6"/>
    <pivotTable tabId="2" name="PivotTable7"/>
    <pivotTable tabId="2" name="PivotTable8"/>
    <pivotTable tabId="2" name="PivotTable9"/>
  </pivotTables>
  <data>
    <tabular pivotCacheId="79788668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HT" xr10:uid="{D5DC79BD-1FF5-47AC-910B-1138A1582EB5}" sourceName="MONHT">
  <pivotTables>
    <pivotTable tabId="2" name="PivotTable3"/>
    <pivotTable tabId="2" name="PivotTable12"/>
    <pivotTable tabId="2" name="PivotTable22"/>
    <pivotTable tabId="2" name="PivotTable4"/>
    <pivotTable tabId="2" name="PivotTable5"/>
    <pivotTable tabId="2" name="PivotTable6"/>
    <pivotTable tabId="2" name="PivotTable7"/>
    <pivotTable tabId="2" name="PivotTable8"/>
    <pivotTable tabId="2" name="PivotTable9"/>
  </pivotTables>
  <data>
    <tabular pivotCacheId="797886689">
      <items count="7">
        <i x="0" s="1"/>
        <i x="5" s="1"/>
        <i x="1" s="1"/>
        <i x="2" s="1"/>
        <i x="6"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2B865559-C169-483B-9220-D2E664D00CE3}" sourceName="Marketing Channel">
  <pivotTables>
    <pivotTable tabId="2" name="PivotTable3"/>
    <pivotTable tabId="2" name="PivotTable12"/>
    <pivotTable tabId="2" name="PivotTable22"/>
    <pivotTable tabId="2" name="PivotTable4"/>
    <pivotTable tabId="2" name="PivotTable5"/>
    <pivotTable tabId="2" name="PivotTable6"/>
    <pivotTable tabId="2" name="PivotTable7"/>
    <pivotTable tabId="2" name="PivotTable8"/>
    <pivotTable tabId="2" name="PivotTable9"/>
  </pivotTables>
  <data>
    <tabular pivotCacheId="797886689">
      <items count="6">
        <i x="0" s="1"/>
        <i x="1" s="1"/>
        <i x="2"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 Status" xr10:uid="{45901B6E-8B43-413E-B855-EADEB25CE5DF}" cache="Slicer_Booking_Status" caption="Booking Status" style="SlicerStyleLight2 2" rowHeight="234950"/>
  <slicer name="Client Type" xr10:uid="{27B32A20-7160-411D-900D-78F1F4EFFB52}" cache="Slicer_Client_Type" caption="Client Type" style="SlicerStyleLight2 2" rowHeight="234950"/>
  <slicer name="MONHT" xr10:uid="{330DAE99-59E3-4A08-B895-070FBCFA9D2D}" cache="Slicer_MONHT" caption="MONHT" style="SlicerStyleLight2 2" rowHeight="234950"/>
  <slicer name="Marketing Channel" xr10:uid="{73F74521-86E1-43B6-8568-844843E3F456}" cache="Slicer_Marketing_Channel" caption="Marketing Channel" style="SlicerStyleLight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ABA636-35AD-49F9-A234-578C21B4DAC9}" name="Table3" displayName="Table3" ref="A1:M2001" totalsRowShown="0" headerRowDxfId="13" dataDxfId="12">
  <autoFilter ref="A1:M2001" xr:uid="{C0ABA636-35AD-49F9-A234-578C21B4DAC9}"/>
  <tableColumns count="13">
    <tableColumn id="1" xr3:uid="{C0109138-02C4-46E4-8F39-1189C067FC7E}" name="Date" dataDxfId="11"/>
    <tableColumn id="2" xr3:uid="{07529C76-9BF3-400C-ADBB-B0E280FF6F45}" name="MONHT">
      <calculatedColumnFormula>MONTH(A2)</calculatedColumnFormula>
    </tableColumn>
    <tableColumn id="3" xr3:uid="{CD79FABE-843A-434B-8BAB-27DDBB1667C0}" name="Time" dataDxfId="10"/>
    <tableColumn id="4" xr3:uid="{E61765C9-94BB-451E-AEA7-3AD09E04D776}" name="Service Type" dataDxfId="9"/>
    <tableColumn id="5" xr3:uid="{5E0DE93A-D782-4A83-B9E0-5237F51943E8}" name="Ad Spend" dataDxfId="8"/>
    <tableColumn id="6" xr3:uid="{A4BCC192-B9CF-4C36-A125-AFCE637CB882}" name="Conversions" dataDxfId="7"/>
    <tableColumn id="7" xr3:uid="{2FCEB972-EA17-4CA2-893F-2BBB2031AF54}" name="Revenue" dataDxfId="6"/>
    <tableColumn id="8" xr3:uid="{A842763F-50A7-4916-8A2B-CCEF9B41A166}" name="Employee" dataDxfId="5"/>
    <tableColumn id="9" xr3:uid="{802FF236-02AF-470D-B118-C006FF96E9F7}" name="Client Type" dataDxfId="4"/>
    <tableColumn id="10" xr3:uid="{51E1027E-2587-4C24-AAC5-B79351668308}" name="Marketing Channel" dataDxfId="3"/>
    <tableColumn id="11" xr3:uid="{C0C0629E-58CF-4293-BD08-0FF657C69743}" name="Booking Status" dataDxfId="2"/>
    <tableColumn id="13" xr3:uid="{3BDD4D5D-2A80-448A-B441-25D7B3AAB59D}" name="ROI" dataDxfId="1">
      <calculatedColumnFormula>Table3[[#This Row],[Revenue]]-Table3[[#This Row],[Ad Spend]]</calculatedColumnFormula>
    </tableColumn>
    <tableColumn id="12" xr3:uid="{24D007C6-143F-48DC-B7BF-0782A3BBA92D}" name="Stylist Score" dataDxfId="0" dataCellStyle="Currency"/>
  </tableColumns>
  <tableStyleInfo name="TableStyleMedium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1"/>
  <sheetViews>
    <sheetView topLeftCell="D1" workbookViewId="0">
      <selection activeCell="L19" sqref="L19"/>
    </sheetView>
  </sheetViews>
  <sheetFormatPr defaultColWidth="14.44140625" defaultRowHeight="15" customHeight="1" x14ac:dyDescent="0.3"/>
  <cols>
    <col min="1" max="1" width="15.6640625" style="5" customWidth="1"/>
    <col min="2" max="2" width="15.6640625" customWidth="1"/>
    <col min="3" max="3" width="16.109375" customWidth="1"/>
    <col min="4" max="4" width="22.6640625" customWidth="1"/>
    <col min="5" max="5" width="14.77734375" style="8" customWidth="1"/>
    <col min="6" max="6" width="18.5546875" customWidth="1"/>
    <col min="7" max="7" width="14.21875" style="8" customWidth="1"/>
    <col min="8" max="8" width="14.77734375" customWidth="1"/>
    <col min="9" max="9" width="12.5546875" customWidth="1"/>
    <col min="10" max="10" width="19.109375" customWidth="1"/>
    <col min="11" max="12" width="16.44140625" customWidth="1"/>
    <col min="13" max="13" width="19.33203125" style="12" customWidth="1"/>
    <col min="14" max="28" width="8.6640625" customWidth="1"/>
  </cols>
  <sheetData>
    <row r="1" spans="1:13" ht="14.4" x14ac:dyDescent="0.3">
      <c r="A1" s="3" t="s">
        <v>0</v>
      </c>
      <c r="B1" s="15" t="s">
        <v>1503</v>
      </c>
      <c r="C1" s="1" t="s">
        <v>1</v>
      </c>
      <c r="D1" s="1" t="s">
        <v>2</v>
      </c>
      <c r="E1" s="6" t="s">
        <v>3</v>
      </c>
      <c r="F1" s="1" t="s">
        <v>4</v>
      </c>
      <c r="G1" s="6" t="s">
        <v>5</v>
      </c>
      <c r="H1" s="1" t="s">
        <v>6</v>
      </c>
      <c r="I1" s="1" t="s">
        <v>7</v>
      </c>
      <c r="J1" s="1" t="s">
        <v>8</v>
      </c>
      <c r="K1" s="1" t="s">
        <v>9</v>
      </c>
      <c r="L1" s="17" t="s">
        <v>1505</v>
      </c>
      <c r="M1" s="10" t="s">
        <v>10</v>
      </c>
    </row>
    <row r="2" spans="1:13" ht="14.4" x14ac:dyDescent="0.3">
      <c r="A2" s="4" t="s">
        <v>11</v>
      </c>
      <c r="B2">
        <f>MONTH(A2)</f>
        <v>1</v>
      </c>
      <c r="C2" s="2" t="s">
        <v>12</v>
      </c>
      <c r="D2" s="2" t="s">
        <v>13</v>
      </c>
      <c r="E2" s="7">
        <v>136.18</v>
      </c>
      <c r="F2" s="2">
        <v>6</v>
      </c>
      <c r="G2" s="7">
        <v>273.85000000000002</v>
      </c>
      <c r="H2" s="2" t="s">
        <v>14</v>
      </c>
      <c r="I2" s="2" t="s">
        <v>15</v>
      </c>
      <c r="J2" s="2" t="s">
        <v>16</v>
      </c>
      <c r="K2" s="2" t="s">
        <v>17</v>
      </c>
      <c r="L2" s="7">
        <f>Table3[[#This Row],[Revenue]]-Table3[[#This Row],[Ad Spend]]</f>
        <v>137.67000000000002</v>
      </c>
      <c r="M2" s="11">
        <v>114.31</v>
      </c>
    </row>
    <row r="3" spans="1:13" ht="14.4" x14ac:dyDescent="0.3">
      <c r="A3" s="4" t="s">
        <v>18</v>
      </c>
      <c r="B3">
        <f t="shared" ref="B3:B66" si="0">MONTH(A3)</f>
        <v>3</v>
      </c>
      <c r="C3" s="2" t="s">
        <v>19</v>
      </c>
      <c r="D3" s="2" t="s">
        <v>20</v>
      </c>
      <c r="E3" s="7">
        <v>46.24</v>
      </c>
      <c r="F3" s="2">
        <v>6</v>
      </c>
      <c r="G3" s="7">
        <v>375.2</v>
      </c>
      <c r="H3" s="2" t="s">
        <v>21</v>
      </c>
      <c r="I3" s="2" t="s">
        <v>15</v>
      </c>
      <c r="J3" s="2" t="s">
        <v>16</v>
      </c>
      <c r="K3" s="2" t="s">
        <v>17</v>
      </c>
      <c r="L3" s="7">
        <f>Table3[[#This Row],[Revenue]]-Table3[[#This Row],[Ad Spend]]</f>
        <v>328.96</v>
      </c>
      <c r="M3" s="11">
        <v>172.41</v>
      </c>
    </row>
    <row r="4" spans="1:13" ht="14.4" x14ac:dyDescent="0.3">
      <c r="A4" s="4" t="s">
        <v>22</v>
      </c>
      <c r="B4">
        <f t="shared" si="0"/>
        <v>4</v>
      </c>
      <c r="C4" s="2" t="s">
        <v>12</v>
      </c>
      <c r="D4" s="2" t="s">
        <v>23</v>
      </c>
      <c r="E4" s="7">
        <v>107.7</v>
      </c>
      <c r="F4" s="2">
        <v>3</v>
      </c>
      <c r="G4" s="7">
        <v>153.9</v>
      </c>
      <c r="H4" s="2" t="s">
        <v>24</v>
      </c>
      <c r="I4" s="2" t="s">
        <v>15</v>
      </c>
      <c r="J4" s="2" t="s">
        <v>25</v>
      </c>
      <c r="K4" s="2" t="s">
        <v>17</v>
      </c>
      <c r="L4" s="7">
        <f>Table3[[#This Row],[Revenue]]-Table3[[#This Row],[Ad Spend]]</f>
        <v>46.2</v>
      </c>
      <c r="M4" s="11">
        <v>140</v>
      </c>
    </row>
    <row r="5" spans="1:13" ht="14.4" x14ac:dyDescent="0.3">
      <c r="A5" s="4" t="s">
        <v>26</v>
      </c>
      <c r="B5">
        <f t="shared" si="0"/>
        <v>12</v>
      </c>
      <c r="C5" s="2" t="s">
        <v>19</v>
      </c>
      <c r="D5" s="2" t="s">
        <v>27</v>
      </c>
      <c r="E5" s="7">
        <v>105.08</v>
      </c>
      <c r="F5" s="2">
        <v>6</v>
      </c>
      <c r="G5" s="7">
        <v>129.22999999999999</v>
      </c>
      <c r="H5" s="2" t="s">
        <v>28</v>
      </c>
      <c r="I5" s="2" t="s">
        <v>29</v>
      </c>
      <c r="J5" s="2" t="s">
        <v>30</v>
      </c>
      <c r="K5" s="2" t="s">
        <v>17</v>
      </c>
      <c r="L5" s="7">
        <f>Table3[[#This Row],[Revenue]]-Table3[[#This Row],[Ad Spend]]</f>
        <v>24.149999999999991</v>
      </c>
      <c r="M5" s="11">
        <v>139.9</v>
      </c>
    </row>
    <row r="6" spans="1:13" ht="14.4" x14ac:dyDescent="0.3">
      <c r="A6" s="4" t="s">
        <v>31</v>
      </c>
      <c r="B6">
        <f t="shared" si="0"/>
        <v>1</v>
      </c>
      <c r="C6" s="2" t="s">
        <v>32</v>
      </c>
      <c r="D6" s="2" t="s">
        <v>33</v>
      </c>
      <c r="E6" s="7">
        <v>76.150000000000006</v>
      </c>
      <c r="F6" s="2">
        <v>5</v>
      </c>
      <c r="G6" s="7">
        <v>412.13</v>
      </c>
      <c r="H6" s="2" t="s">
        <v>34</v>
      </c>
      <c r="I6" s="2" t="s">
        <v>35</v>
      </c>
      <c r="J6" s="2" t="s">
        <v>36</v>
      </c>
      <c r="K6" s="2" t="s">
        <v>17</v>
      </c>
      <c r="L6" s="7">
        <f>Table3[[#This Row],[Revenue]]-Table3[[#This Row],[Ad Spend]]</f>
        <v>335.98</v>
      </c>
      <c r="M6" s="11">
        <v>124.68</v>
      </c>
    </row>
    <row r="7" spans="1:13" ht="14.4" x14ac:dyDescent="0.3">
      <c r="A7" s="4" t="s">
        <v>37</v>
      </c>
      <c r="B7">
        <f t="shared" si="0"/>
        <v>12</v>
      </c>
      <c r="C7" s="2" t="s">
        <v>32</v>
      </c>
      <c r="D7" s="2" t="s">
        <v>38</v>
      </c>
      <c r="E7" s="7">
        <v>118.66</v>
      </c>
      <c r="F7" s="2">
        <v>9</v>
      </c>
      <c r="G7" s="7">
        <v>199.14</v>
      </c>
      <c r="H7" s="2" t="s">
        <v>39</v>
      </c>
      <c r="I7" s="2" t="s">
        <v>29</v>
      </c>
      <c r="J7" s="2" t="s">
        <v>25</v>
      </c>
      <c r="K7" s="2" t="s">
        <v>17</v>
      </c>
      <c r="L7" s="7">
        <f>Table3[[#This Row],[Revenue]]-Table3[[#This Row],[Ad Spend]]</f>
        <v>80.47999999999999</v>
      </c>
      <c r="M7" s="11">
        <v>70.459999999999994</v>
      </c>
    </row>
    <row r="8" spans="1:13" ht="14.4" x14ac:dyDescent="0.3">
      <c r="A8" s="4" t="s">
        <v>40</v>
      </c>
      <c r="B8">
        <f t="shared" si="0"/>
        <v>3</v>
      </c>
      <c r="C8" s="2" t="s">
        <v>12</v>
      </c>
      <c r="D8" s="2" t="s">
        <v>41</v>
      </c>
      <c r="E8" s="7">
        <v>19.62</v>
      </c>
      <c r="F8" s="2">
        <v>8</v>
      </c>
      <c r="G8" s="7">
        <v>111.88</v>
      </c>
      <c r="H8" s="2" t="s">
        <v>42</v>
      </c>
      <c r="I8" s="2" t="s">
        <v>29</v>
      </c>
      <c r="J8" s="2" t="s">
        <v>25</v>
      </c>
      <c r="K8" s="2" t="s">
        <v>17</v>
      </c>
      <c r="L8" s="7">
        <f>Table3[[#This Row],[Revenue]]-Table3[[#This Row],[Ad Spend]]</f>
        <v>92.259999999999991</v>
      </c>
      <c r="M8" s="11">
        <v>112.46</v>
      </c>
    </row>
    <row r="9" spans="1:13" ht="14.4" x14ac:dyDescent="0.3">
      <c r="A9" s="4" t="s">
        <v>43</v>
      </c>
      <c r="B9">
        <f t="shared" si="0"/>
        <v>11</v>
      </c>
      <c r="C9" s="2" t="s">
        <v>12</v>
      </c>
      <c r="D9" s="2" t="s">
        <v>44</v>
      </c>
      <c r="E9" s="7">
        <v>73.930000000000007</v>
      </c>
      <c r="F9" s="2">
        <v>0</v>
      </c>
      <c r="G9" s="7">
        <v>426.18</v>
      </c>
      <c r="H9" s="2" t="s">
        <v>45</v>
      </c>
      <c r="I9" s="2" t="s">
        <v>35</v>
      </c>
      <c r="J9" s="2" t="s">
        <v>30</v>
      </c>
      <c r="K9" s="2" t="s">
        <v>46</v>
      </c>
      <c r="L9" s="7">
        <f>Table3[[#This Row],[Revenue]]-Table3[[#This Row],[Ad Spend]]</f>
        <v>352.25</v>
      </c>
      <c r="M9" s="11">
        <v>120.59</v>
      </c>
    </row>
    <row r="10" spans="1:13" ht="14.4" x14ac:dyDescent="0.3">
      <c r="A10" s="4" t="s">
        <v>47</v>
      </c>
      <c r="B10">
        <f t="shared" si="0"/>
        <v>12</v>
      </c>
      <c r="C10" s="2" t="s">
        <v>32</v>
      </c>
      <c r="D10" s="2" t="s">
        <v>48</v>
      </c>
      <c r="E10" s="7">
        <v>123.72</v>
      </c>
      <c r="F10" s="2">
        <v>6</v>
      </c>
      <c r="G10" s="7">
        <v>409.29</v>
      </c>
      <c r="H10" s="2" t="s">
        <v>49</v>
      </c>
      <c r="I10" s="2" t="s">
        <v>15</v>
      </c>
      <c r="J10" s="2" t="s">
        <v>30</v>
      </c>
      <c r="K10" s="2" t="s">
        <v>17</v>
      </c>
      <c r="L10" s="7">
        <f>Table3[[#This Row],[Revenue]]-Table3[[#This Row],[Ad Spend]]</f>
        <v>285.57000000000005</v>
      </c>
      <c r="M10" s="11">
        <v>121.16</v>
      </c>
    </row>
    <row r="11" spans="1:13" ht="14.4" x14ac:dyDescent="0.3">
      <c r="A11" s="4" t="s">
        <v>50</v>
      </c>
      <c r="B11">
        <f t="shared" si="0"/>
        <v>12</v>
      </c>
      <c r="C11" s="2" t="s">
        <v>19</v>
      </c>
      <c r="D11" s="2" t="s">
        <v>51</v>
      </c>
      <c r="E11" s="7">
        <v>108.31</v>
      </c>
      <c r="F11" s="2">
        <v>9</v>
      </c>
      <c r="G11" s="7">
        <v>394.32</v>
      </c>
      <c r="H11" s="2" t="s">
        <v>52</v>
      </c>
      <c r="I11" s="2" t="s">
        <v>15</v>
      </c>
      <c r="J11" s="2" t="s">
        <v>53</v>
      </c>
      <c r="K11" s="2" t="s">
        <v>17</v>
      </c>
      <c r="L11" s="7">
        <f>Table3[[#This Row],[Revenue]]-Table3[[#This Row],[Ad Spend]]</f>
        <v>286.01</v>
      </c>
      <c r="M11" s="11">
        <v>118.67</v>
      </c>
    </row>
    <row r="12" spans="1:13" ht="14.4" x14ac:dyDescent="0.3">
      <c r="A12" s="4" t="s">
        <v>54</v>
      </c>
      <c r="B12">
        <f t="shared" si="0"/>
        <v>2</v>
      </c>
      <c r="C12" s="2" t="s">
        <v>12</v>
      </c>
      <c r="D12" s="2" t="s">
        <v>55</v>
      </c>
      <c r="E12" s="7">
        <v>122.38</v>
      </c>
      <c r="F12" s="2">
        <v>5</v>
      </c>
      <c r="G12" s="7">
        <v>471.52</v>
      </c>
      <c r="H12" s="2" t="s">
        <v>24</v>
      </c>
      <c r="I12" s="2" t="s">
        <v>15</v>
      </c>
      <c r="J12" s="2" t="s">
        <v>30</v>
      </c>
      <c r="K12" s="2" t="s">
        <v>17</v>
      </c>
      <c r="L12" s="7">
        <f>Table3[[#This Row],[Revenue]]-Table3[[#This Row],[Ad Spend]]</f>
        <v>349.14</v>
      </c>
      <c r="M12" s="11">
        <v>145.16999999999999</v>
      </c>
    </row>
    <row r="13" spans="1:13" ht="14.4" x14ac:dyDescent="0.3">
      <c r="A13" s="4" t="s">
        <v>56</v>
      </c>
      <c r="B13">
        <f t="shared" si="0"/>
        <v>12</v>
      </c>
      <c r="C13" s="2" t="s">
        <v>12</v>
      </c>
      <c r="D13" s="2" t="s">
        <v>57</v>
      </c>
      <c r="E13" s="7">
        <v>18.559999999999999</v>
      </c>
      <c r="F13" s="2">
        <v>0</v>
      </c>
      <c r="G13" s="7">
        <v>393.69</v>
      </c>
      <c r="H13" s="2" t="s">
        <v>58</v>
      </c>
      <c r="I13" s="2" t="s">
        <v>29</v>
      </c>
      <c r="J13" s="2" t="s">
        <v>30</v>
      </c>
      <c r="K13" s="2" t="s">
        <v>46</v>
      </c>
      <c r="L13" s="7">
        <f>Table3[[#This Row],[Revenue]]-Table3[[#This Row],[Ad Spend]]</f>
        <v>375.13</v>
      </c>
      <c r="M13" s="11">
        <v>137.24</v>
      </c>
    </row>
    <row r="14" spans="1:13" ht="14.4" x14ac:dyDescent="0.3">
      <c r="A14" s="4" t="s">
        <v>59</v>
      </c>
      <c r="B14">
        <f t="shared" si="0"/>
        <v>3</v>
      </c>
      <c r="C14" s="2" t="s">
        <v>19</v>
      </c>
      <c r="D14" s="2" t="s">
        <v>60</v>
      </c>
      <c r="E14" s="7">
        <v>48.32</v>
      </c>
      <c r="F14" s="2">
        <v>8</v>
      </c>
      <c r="G14" s="7">
        <v>420.8</v>
      </c>
      <c r="H14" s="2" t="s">
        <v>61</v>
      </c>
      <c r="I14" s="2" t="s">
        <v>29</v>
      </c>
      <c r="J14" s="2" t="s">
        <v>36</v>
      </c>
      <c r="K14" s="2" t="s">
        <v>17</v>
      </c>
      <c r="L14" s="7">
        <f>Table3[[#This Row],[Revenue]]-Table3[[#This Row],[Ad Spend]]</f>
        <v>372.48</v>
      </c>
      <c r="M14" s="11">
        <v>134.69</v>
      </c>
    </row>
    <row r="15" spans="1:13" ht="14.4" x14ac:dyDescent="0.3">
      <c r="A15" s="4" t="s">
        <v>62</v>
      </c>
      <c r="B15">
        <f t="shared" si="0"/>
        <v>2</v>
      </c>
      <c r="C15" s="2" t="s">
        <v>63</v>
      </c>
      <c r="D15" s="2" t="s">
        <v>64</v>
      </c>
      <c r="E15" s="7">
        <v>41.06</v>
      </c>
      <c r="F15" s="2">
        <v>10</v>
      </c>
      <c r="G15" s="7">
        <v>381.79</v>
      </c>
      <c r="H15" s="2" t="s">
        <v>65</v>
      </c>
      <c r="I15" s="2" t="s">
        <v>35</v>
      </c>
      <c r="J15" s="2" t="s">
        <v>30</v>
      </c>
      <c r="K15" s="2" t="s">
        <v>17</v>
      </c>
      <c r="L15" s="7">
        <f>Table3[[#This Row],[Revenue]]-Table3[[#This Row],[Ad Spend]]</f>
        <v>340.73</v>
      </c>
      <c r="M15" s="11">
        <v>117.27</v>
      </c>
    </row>
    <row r="16" spans="1:13" ht="14.4" x14ac:dyDescent="0.3">
      <c r="A16" s="4" t="s">
        <v>11</v>
      </c>
      <c r="B16">
        <f t="shared" si="0"/>
        <v>1</v>
      </c>
      <c r="C16" s="2" t="s">
        <v>32</v>
      </c>
      <c r="D16" s="2" t="s">
        <v>66</v>
      </c>
      <c r="E16" s="7">
        <v>80.83</v>
      </c>
      <c r="F16" s="2">
        <v>10</v>
      </c>
      <c r="G16" s="7">
        <v>174.15</v>
      </c>
      <c r="H16" s="2" t="s">
        <v>67</v>
      </c>
      <c r="I16" s="2" t="s">
        <v>29</v>
      </c>
      <c r="J16" s="2" t="s">
        <v>36</v>
      </c>
      <c r="K16" s="2" t="s">
        <v>17</v>
      </c>
      <c r="L16" s="7">
        <f>Table3[[#This Row],[Revenue]]-Table3[[#This Row],[Ad Spend]]</f>
        <v>93.320000000000007</v>
      </c>
      <c r="M16" s="11">
        <v>99.96</v>
      </c>
    </row>
    <row r="17" spans="1:13" ht="14.4" x14ac:dyDescent="0.3">
      <c r="A17" s="4" t="s">
        <v>68</v>
      </c>
      <c r="B17">
        <f t="shared" si="0"/>
        <v>4</v>
      </c>
      <c r="C17" s="2" t="s">
        <v>32</v>
      </c>
      <c r="D17" s="2" t="s">
        <v>69</v>
      </c>
      <c r="E17" s="7">
        <v>115.15</v>
      </c>
      <c r="F17" s="2">
        <v>6</v>
      </c>
      <c r="G17" s="7">
        <v>36.57</v>
      </c>
      <c r="H17" s="2" t="s">
        <v>70</v>
      </c>
      <c r="I17" s="2" t="s">
        <v>35</v>
      </c>
      <c r="J17" s="2" t="s">
        <v>53</v>
      </c>
      <c r="K17" s="2" t="s">
        <v>17</v>
      </c>
      <c r="L17" s="7">
        <f>Table3[[#This Row],[Revenue]]-Table3[[#This Row],[Ad Spend]]</f>
        <v>-78.580000000000013</v>
      </c>
      <c r="M17" s="11">
        <v>85.5</v>
      </c>
    </row>
    <row r="18" spans="1:13" ht="14.4" x14ac:dyDescent="0.3">
      <c r="A18" s="4" t="s">
        <v>71</v>
      </c>
      <c r="B18">
        <f t="shared" si="0"/>
        <v>12</v>
      </c>
      <c r="C18" s="2" t="s">
        <v>63</v>
      </c>
      <c r="D18" s="2" t="s">
        <v>72</v>
      </c>
      <c r="E18" s="7">
        <v>22.4</v>
      </c>
      <c r="F18" s="2">
        <v>8</v>
      </c>
      <c r="G18" s="7">
        <v>205.68</v>
      </c>
      <c r="H18" s="2" t="s">
        <v>73</v>
      </c>
      <c r="I18" s="2" t="s">
        <v>29</v>
      </c>
      <c r="J18" s="2" t="s">
        <v>30</v>
      </c>
      <c r="K18" s="2" t="s">
        <v>17</v>
      </c>
      <c r="L18" s="7">
        <f>Table3[[#This Row],[Revenue]]-Table3[[#This Row],[Ad Spend]]</f>
        <v>183.28</v>
      </c>
      <c r="M18" s="11">
        <v>133.97999999999999</v>
      </c>
    </row>
    <row r="19" spans="1:13" ht="14.4" x14ac:dyDescent="0.3">
      <c r="A19" s="4" t="s">
        <v>74</v>
      </c>
      <c r="B19">
        <f t="shared" si="0"/>
        <v>11</v>
      </c>
      <c r="C19" s="2" t="s">
        <v>63</v>
      </c>
      <c r="D19" s="2" t="s">
        <v>75</v>
      </c>
      <c r="E19" s="7">
        <v>60.36</v>
      </c>
      <c r="F19" s="2">
        <v>0</v>
      </c>
      <c r="G19" s="7">
        <v>94.61</v>
      </c>
      <c r="H19" s="2" t="s">
        <v>28</v>
      </c>
      <c r="I19" s="2" t="s">
        <v>35</v>
      </c>
      <c r="J19" s="2" t="s">
        <v>30</v>
      </c>
      <c r="K19" s="2" t="s">
        <v>46</v>
      </c>
      <c r="L19" s="7">
        <f>Table3[[#This Row],[Revenue]]-Table3[[#This Row],[Ad Spend]]</f>
        <v>34.25</v>
      </c>
      <c r="M19" s="11">
        <v>142.16999999999999</v>
      </c>
    </row>
    <row r="20" spans="1:13" ht="14.4" x14ac:dyDescent="0.3">
      <c r="A20" s="4" t="s">
        <v>76</v>
      </c>
      <c r="B20">
        <f t="shared" si="0"/>
        <v>1</v>
      </c>
      <c r="C20" s="2" t="s">
        <v>63</v>
      </c>
      <c r="D20" s="2" t="s">
        <v>77</v>
      </c>
      <c r="E20" s="7">
        <v>137.06</v>
      </c>
      <c r="F20" s="2">
        <v>8</v>
      </c>
      <c r="G20" s="7">
        <v>120.04</v>
      </c>
      <c r="H20" s="2" t="s">
        <v>78</v>
      </c>
      <c r="I20" s="2" t="s">
        <v>15</v>
      </c>
      <c r="J20" s="2" t="s">
        <v>36</v>
      </c>
      <c r="K20" s="2" t="s">
        <v>17</v>
      </c>
      <c r="L20" s="7">
        <f>Table3[[#This Row],[Revenue]]-Table3[[#This Row],[Ad Spend]]</f>
        <v>-17.019999999999996</v>
      </c>
      <c r="M20" s="11">
        <v>152.61000000000001</v>
      </c>
    </row>
    <row r="21" spans="1:13" ht="15.75" customHeight="1" x14ac:dyDescent="0.3">
      <c r="A21" s="4" t="s">
        <v>79</v>
      </c>
      <c r="B21">
        <f t="shared" si="0"/>
        <v>11</v>
      </c>
      <c r="C21" s="2" t="s">
        <v>19</v>
      </c>
      <c r="D21" s="2" t="s">
        <v>80</v>
      </c>
      <c r="E21" s="7">
        <v>110.92</v>
      </c>
      <c r="F21" s="2">
        <v>5</v>
      </c>
      <c r="G21" s="7">
        <v>116.4</v>
      </c>
      <c r="H21" s="2" t="s">
        <v>81</v>
      </c>
      <c r="I21" s="2" t="s">
        <v>35</v>
      </c>
      <c r="J21" s="2" t="s">
        <v>53</v>
      </c>
      <c r="K21" s="2" t="s">
        <v>17</v>
      </c>
      <c r="L21" s="7">
        <f>Table3[[#This Row],[Revenue]]-Table3[[#This Row],[Ad Spend]]</f>
        <v>5.480000000000004</v>
      </c>
      <c r="M21" s="11">
        <v>121.9</v>
      </c>
    </row>
    <row r="22" spans="1:13" ht="15.75" customHeight="1" x14ac:dyDescent="0.3">
      <c r="A22" s="4" t="s">
        <v>82</v>
      </c>
      <c r="B22">
        <f t="shared" si="0"/>
        <v>4</v>
      </c>
      <c r="C22" s="2" t="s">
        <v>19</v>
      </c>
      <c r="D22" s="2" t="s">
        <v>83</v>
      </c>
      <c r="E22" s="7">
        <v>41.06</v>
      </c>
      <c r="F22" s="2">
        <v>7</v>
      </c>
      <c r="G22" s="7">
        <v>45.09</v>
      </c>
      <c r="H22" s="2" t="s">
        <v>34</v>
      </c>
      <c r="I22" s="2" t="s">
        <v>35</v>
      </c>
      <c r="J22" s="2" t="s">
        <v>30</v>
      </c>
      <c r="K22" s="2" t="s">
        <v>17</v>
      </c>
      <c r="L22" s="7">
        <f>Table3[[#This Row],[Revenue]]-Table3[[#This Row],[Ad Spend]]</f>
        <v>4.0300000000000011</v>
      </c>
      <c r="M22" s="11">
        <v>127.77</v>
      </c>
    </row>
    <row r="23" spans="1:13" ht="15.75" customHeight="1" x14ac:dyDescent="0.3">
      <c r="A23" s="4" t="s">
        <v>84</v>
      </c>
      <c r="B23">
        <f t="shared" si="0"/>
        <v>10</v>
      </c>
      <c r="C23" s="2" t="s">
        <v>32</v>
      </c>
      <c r="D23" s="2" t="s">
        <v>85</v>
      </c>
      <c r="E23" s="7">
        <v>23.74</v>
      </c>
      <c r="F23" s="2">
        <v>4</v>
      </c>
      <c r="G23" s="7">
        <v>104.4</v>
      </c>
      <c r="H23" s="2" t="s">
        <v>86</v>
      </c>
      <c r="I23" s="2" t="s">
        <v>35</v>
      </c>
      <c r="J23" s="2" t="s">
        <v>87</v>
      </c>
      <c r="K23" s="2" t="s">
        <v>17</v>
      </c>
      <c r="L23" s="7">
        <f>Table3[[#This Row],[Revenue]]-Table3[[#This Row],[Ad Spend]]</f>
        <v>80.660000000000011</v>
      </c>
      <c r="M23" s="11">
        <v>111.89</v>
      </c>
    </row>
    <row r="24" spans="1:13" ht="15.75" customHeight="1" x14ac:dyDescent="0.3">
      <c r="A24" s="4" t="s">
        <v>88</v>
      </c>
      <c r="B24">
        <f t="shared" si="0"/>
        <v>11</v>
      </c>
      <c r="C24" s="2" t="s">
        <v>63</v>
      </c>
      <c r="D24" s="2" t="s">
        <v>89</v>
      </c>
      <c r="E24" s="7">
        <v>55.21</v>
      </c>
      <c r="F24" s="2">
        <v>6</v>
      </c>
      <c r="G24" s="7">
        <v>271.43</v>
      </c>
      <c r="H24" s="2" t="s">
        <v>90</v>
      </c>
      <c r="I24" s="2" t="s">
        <v>29</v>
      </c>
      <c r="J24" s="2" t="s">
        <v>16</v>
      </c>
      <c r="K24" s="2" t="s">
        <v>17</v>
      </c>
      <c r="L24" s="7">
        <f>Table3[[#This Row],[Revenue]]-Table3[[#This Row],[Ad Spend]]</f>
        <v>216.22</v>
      </c>
      <c r="M24" s="11">
        <v>147.38999999999999</v>
      </c>
    </row>
    <row r="25" spans="1:13" ht="15.75" customHeight="1" x14ac:dyDescent="0.3">
      <c r="A25" s="4" t="s">
        <v>91</v>
      </c>
      <c r="B25">
        <f t="shared" si="0"/>
        <v>3</v>
      </c>
      <c r="C25" s="2" t="s">
        <v>19</v>
      </c>
      <c r="D25" s="2" t="s">
        <v>92</v>
      </c>
      <c r="E25" s="7">
        <v>126.91</v>
      </c>
      <c r="F25" s="2">
        <v>7</v>
      </c>
      <c r="G25" s="7">
        <v>126.17</v>
      </c>
      <c r="H25" s="2" t="s">
        <v>93</v>
      </c>
      <c r="I25" s="2" t="s">
        <v>15</v>
      </c>
      <c r="J25" s="2" t="s">
        <v>87</v>
      </c>
      <c r="K25" s="2" t="s">
        <v>17</v>
      </c>
      <c r="L25" s="7">
        <f>Table3[[#This Row],[Revenue]]-Table3[[#This Row],[Ad Spend]]</f>
        <v>-0.73999999999999488</v>
      </c>
      <c r="M25" s="11">
        <v>169.39</v>
      </c>
    </row>
    <row r="26" spans="1:13" ht="15.75" customHeight="1" x14ac:dyDescent="0.3">
      <c r="A26" s="4" t="s">
        <v>94</v>
      </c>
      <c r="B26">
        <f t="shared" si="0"/>
        <v>1</v>
      </c>
      <c r="C26" s="2" t="s">
        <v>12</v>
      </c>
      <c r="D26" s="2" t="s">
        <v>95</v>
      </c>
      <c r="E26" s="7">
        <v>83.47</v>
      </c>
      <c r="F26" s="2">
        <v>3</v>
      </c>
      <c r="G26" s="7">
        <v>109.99</v>
      </c>
      <c r="H26" s="2" t="s">
        <v>96</v>
      </c>
      <c r="I26" s="2" t="s">
        <v>35</v>
      </c>
      <c r="J26" s="2" t="s">
        <v>25</v>
      </c>
      <c r="K26" s="2" t="s">
        <v>17</v>
      </c>
      <c r="L26" s="7">
        <f>Table3[[#This Row],[Revenue]]-Table3[[#This Row],[Ad Spend]]</f>
        <v>26.519999999999996</v>
      </c>
      <c r="M26" s="11">
        <v>136.22999999999999</v>
      </c>
    </row>
    <row r="27" spans="1:13" ht="15.75" customHeight="1" x14ac:dyDescent="0.3">
      <c r="A27" s="4" t="s">
        <v>97</v>
      </c>
      <c r="B27">
        <f t="shared" si="0"/>
        <v>12</v>
      </c>
      <c r="C27" s="2" t="s">
        <v>32</v>
      </c>
      <c r="D27" s="2" t="s">
        <v>98</v>
      </c>
      <c r="E27" s="7">
        <v>62.91</v>
      </c>
      <c r="F27" s="2">
        <v>6</v>
      </c>
      <c r="G27" s="7">
        <v>144.93</v>
      </c>
      <c r="H27" s="2" t="s">
        <v>99</v>
      </c>
      <c r="I27" s="2" t="s">
        <v>29</v>
      </c>
      <c r="J27" s="2" t="s">
        <v>87</v>
      </c>
      <c r="K27" s="2" t="s">
        <v>17</v>
      </c>
      <c r="L27" s="7">
        <f>Table3[[#This Row],[Revenue]]-Table3[[#This Row],[Ad Spend]]</f>
        <v>82.02000000000001</v>
      </c>
      <c r="M27" s="11">
        <v>87.85</v>
      </c>
    </row>
    <row r="28" spans="1:13" ht="15.75" customHeight="1" x14ac:dyDescent="0.3">
      <c r="A28" s="4" t="s">
        <v>59</v>
      </c>
      <c r="B28">
        <f t="shared" si="0"/>
        <v>3</v>
      </c>
      <c r="C28" s="2" t="s">
        <v>12</v>
      </c>
      <c r="D28" s="2" t="s">
        <v>100</v>
      </c>
      <c r="E28" s="7">
        <v>52.08</v>
      </c>
      <c r="F28" s="2">
        <v>0</v>
      </c>
      <c r="G28" s="7">
        <v>274.39999999999998</v>
      </c>
      <c r="H28" s="2" t="s">
        <v>101</v>
      </c>
      <c r="I28" s="2" t="s">
        <v>15</v>
      </c>
      <c r="J28" s="2" t="s">
        <v>30</v>
      </c>
      <c r="K28" s="2" t="s">
        <v>46</v>
      </c>
      <c r="L28" s="7">
        <f>Table3[[#This Row],[Revenue]]-Table3[[#This Row],[Ad Spend]]</f>
        <v>222.32</v>
      </c>
      <c r="M28" s="11">
        <v>129.09</v>
      </c>
    </row>
    <row r="29" spans="1:13" ht="15.75" customHeight="1" x14ac:dyDescent="0.3">
      <c r="A29" s="4" t="s">
        <v>102</v>
      </c>
      <c r="B29">
        <f t="shared" si="0"/>
        <v>3</v>
      </c>
      <c r="C29" s="2" t="s">
        <v>12</v>
      </c>
      <c r="D29" s="2" t="s">
        <v>103</v>
      </c>
      <c r="E29" s="7">
        <v>32.47</v>
      </c>
      <c r="F29" s="2">
        <v>1</v>
      </c>
      <c r="G29" s="7">
        <v>318.86</v>
      </c>
      <c r="H29" s="2" t="s">
        <v>104</v>
      </c>
      <c r="I29" s="2" t="s">
        <v>35</v>
      </c>
      <c r="J29" s="2" t="s">
        <v>25</v>
      </c>
      <c r="K29" s="2" t="s">
        <v>17</v>
      </c>
      <c r="L29" s="7">
        <f>Table3[[#This Row],[Revenue]]-Table3[[#This Row],[Ad Spend]]</f>
        <v>286.39</v>
      </c>
      <c r="M29" s="11">
        <v>117.21</v>
      </c>
    </row>
    <row r="30" spans="1:13" ht="15.75" customHeight="1" x14ac:dyDescent="0.3">
      <c r="A30" s="4" t="s">
        <v>105</v>
      </c>
      <c r="B30">
        <f t="shared" si="0"/>
        <v>1</v>
      </c>
      <c r="C30" s="2" t="s">
        <v>12</v>
      </c>
      <c r="D30" s="2" t="s">
        <v>106</v>
      </c>
      <c r="E30" s="7">
        <v>58.88</v>
      </c>
      <c r="F30" s="2">
        <v>1</v>
      </c>
      <c r="G30" s="7">
        <v>235.48</v>
      </c>
      <c r="H30" s="2" t="s">
        <v>107</v>
      </c>
      <c r="I30" s="2" t="s">
        <v>29</v>
      </c>
      <c r="J30" s="2" t="s">
        <v>16</v>
      </c>
      <c r="K30" s="2" t="s">
        <v>17</v>
      </c>
      <c r="L30" s="7">
        <f>Table3[[#This Row],[Revenue]]-Table3[[#This Row],[Ad Spend]]</f>
        <v>176.6</v>
      </c>
      <c r="M30" s="11">
        <v>139.43</v>
      </c>
    </row>
    <row r="31" spans="1:13" ht="15.75" customHeight="1" x14ac:dyDescent="0.3">
      <c r="A31" s="4" t="s">
        <v>108</v>
      </c>
      <c r="B31">
        <f t="shared" si="0"/>
        <v>3</v>
      </c>
      <c r="C31" s="2" t="s">
        <v>19</v>
      </c>
      <c r="D31" s="2" t="s">
        <v>109</v>
      </c>
      <c r="E31" s="7">
        <v>137.78</v>
      </c>
      <c r="F31" s="2">
        <v>6</v>
      </c>
      <c r="G31" s="7">
        <v>54.32</v>
      </c>
      <c r="H31" s="2" t="s">
        <v>49</v>
      </c>
      <c r="I31" s="2" t="s">
        <v>29</v>
      </c>
      <c r="J31" s="2" t="s">
        <v>30</v>
      </c>
      <c r="K31" s="2" t="s">
        <v>17</v>
      </c>
      <c r="L31" s="7">
        <f>Table3[[#This Row],[Revenue]]-Table3[[#This Row],[Ad Spend]]</f>
        <v>-83.460000000000008</v>
      </c>
      <c r="M31" s="11">
        <v>129.38999999999999</v>
      </c>
    </row>
    <row r="32" spans="1:13" ht="15.75" customHeight="1" x14ac:dyDescent="0.3">
      <c r="A32" s="4" t="s">
        <v>110</v>
      </c>
      <c r="B32">
        <f t="shared" si="0"/>
        <v>4</v>
      </c>
      <c r="C32" s="2" t="s">
        <v>12</v>
      </c>
      <c r="D32" s="2" t="s">
        <v>111</v>
      </c>
      <c r="E32" s="7">
        <v>34.729999999999997</v>
      </c>
      <c r="F32" s="2">
        <v>9</v>
      </c>
      <c r="G32" s="7">
        <v>81.790000000000006</v>
      </c>
      <c r="H32" s="2" t="s">
        <v>112</v>
      </c>
      <c r="I32" s="2" t="s">
        <v>35</v>
      </c>
      <c r="J32" s="2" t="s">
        <v>25</v>
      </c>
      <c r="K32" s="2" t="s">
        <v>17</v>
      </c>
      <c r="L32" s="7">
        <f>Table3[[#This Row],[Revenue]]-Table3[[#This Row],[Ad Spend]]</f>
        <v>47.060000000000009</v>
      </c>
      <c r="M32" s="11">
        <v>122.58</v>
      </c>
    </row>
    <row r="33" spans="1:13" ht="15.75" customHeight="1" x14ac:dyDescent="0.3">
      <c r="A33" s="4" t="s">
        <v>113</v>
      </c>
      <c r="B33">
        <f t="shared" si="0"/>
        <v>3</v>
      </c>
      <c r="C33" s="2" t="s">
        <v>32</v>
      </c>
      <c r="D33" s="2" t="s">
        <v>114</v>
      </c>
      <c r="E33" s="7">
        <v>97.17</v>
      </c>
      <c r="F33" s="2">
        <v>6</v>
      </c>
      <c r="G33" s="7">
        <v>183.78</v>
      </c>
      <c r="H33" s="2" t="s">
        <v>24</v>
      </c>
      <c r="I33" s="2" t="s">
        <v>29</v>
      </c>
      <c r="J33" s="2" t="s">
        <v>30</v>
      </c>
      <c r="K33" s="2" t="s">
        <v>17</v>
      </c>
      <c r="L33" s="7">
        <f>Table3[[#This Row],[Revenue]]-Table3[[#This Row],[Ad Spend]]</f>
        <v>86.61</v>
      </c>
      <c r="M33" s="11">
        <v>145.18</v>
      </c>
    </row>
    <row r="34" spans="1:13" ht="15.75" customHeight="1" x14ac:dyDescent="0.3">
      <c r="A34" s="4" t="s">
        <v>115</v>
      </c>
      <c r="B34">
        <f t="shared" si="0"/>
        <v>2</v>
      </c>
      <c r="C34" s="2" t="s">
        <v>19</v>
      </c>
      <c r="D34" s="2" t="s">
        <v>116</v>
      </c>
      <c r="E34" s="7">
        <v>126.11</v>
      </c>
      <c r="F34" s="2">
        <v>7</v>
      </c>
      <c r="G34" s="7">
        <v>452.24</v>
      </c>
      <c r="H34" s="2" t="s">
        <v>49</v>
      </c>
      <c r="I34" s="2" t="s">
        <v>15</v>
      </c>
      <c r="J34" s="2" t="s">
        <v>25</v>
      </c>
      <c r="K34" s="2" t="s">
        <v>17</v>
      </c>
      <c r="L34" s="7">
        <f>Table3[[#This Row],[Revenue]]-Table3[[#This Row],[Ad Spend]]</f>
        <v>326.13</v>
      </c>
      <c r="M34" s="11">
        <v>125.46</v>
      </c>
    </row>
    <row r="35" spans="1:13" ht="15.75" customHeight="1" x14ac:dyDescent="0.3">
      <c r="A35" s="4" t="s">
        <v>117</v>
      </c>
      <c r="B35">
        <f t="shared" si="0"/>
        <v>3</v>
      </c>
      <c r="C35" s="2" t="s">
        <v>63</v>
      </c>
      <c r="D35" s="2" t="s">
        <v>118</v>
      </c>
      <c r="E35" s="7">
        <v>19.260000000000002</v>
      </c>
      <c r="F35" s="2">
        <v>10</v>
      </c>
      <c r="G35" s="7">
        <v>212.7</v>
      </c>
      <c r="H35" s="2" t="s">
        <v>119</v>
      </c>
      <c r="I35" s="2" t="s">
        <v>35</v>
      </c>
      <c r="J35" s="2" t="s">
        <v>30</v>
      </c>
      <c r="K35" s="2" t="s">
        <v>17</v>
      </c>
      <c r="L35" s="7">
        <f>Table3[[#This Row],[Revenue]]-Table3[[#This Row],[Ad Spend]]</f>
        <v>193.44</v>
      </c>
      <c r="M35" s="11">
        <v>103.28</v>
      </c>
    </row>
    <row r="36" spans="1:13" ht="15.75" customHeight="1" x14ac:dyDescent="0.3">
      <c r="A36" s="4" t="s">
        <v>120</v>
      </c>
      <c r="B36">
        <f t="shared" si="0"/>
        <v>3</v>
      </c>
      <c r="C36" s="2" t="s">
        <v>63</v>
      </c>
      <c r="D36" s="2" t="s">
        <v>121</v>
      </c>
      <c r="E36" s="7">
        <v>96.5</v>
      </c>
      <c r="F36" s="2">
        <v>3</v>
      </c>
      <c r="G36" s="7">
        <v>212.55</v>
      </c>
      <c r="H36" s="2" t="s">
        <v>122</v>
      </c>
      <c r="I36" s="2" t="s">
        <v>29</v>
      </c>
      <c r="J36" s="2" t="s">
        <v>30</v>
      </c>
      <c r="K36" s="2" t="s">
        <v>17</v>
      </c>
      <c r="L36" s="7">
        <f>Table3[[#This Row],[Revenue]]-Table3[[#This Row],[Ad Spend]]</f>
        <v>116.05000000000001</v>
      </c>
      <c r="M36" s="11">
        <v>121.4</v>
      </c>
    </row>
    <row r="37" spans="1:13" ht="15.75" customHeight="1" x14ac:dyDescent="0.3">
      <c r="A37" s="4" t="s">
        <v>123</v>
      </c>
      <c r="B37">
        <f t="shared" si="0"/>
        <v>4</v>
      </c>
      <c r="C37" s="2" t="s">
        <v>12</v>
      </c>
      <c r="D37" s="2" t="s">
        <v>124</v>
      </c>
      <c r="E37" s="7">
        <v>116.49</v>
      </c>
      <c r="F37" s="2">
        <v>1</v>
      </c>
      <c r="G37" s="7">
        <v>374.74</v>
      </c>
      <c r="H37" s="2" t="s">
        <v>125</v>
      </c>
      <c r="I37" s="2" t="s">
        <v>29</v>
      </c>
      <c r="J37" s="2" t="s">
        <v>87</v>
      </c>
      <c r="K37" s="2" t="s">
        <v>17</v>
      </c>
      <c r="L37" s="7">
        <f>Table3[[#This Row],[Revenue]]-Table3[[#This Row],[Ad Spend]]</f>
        <v>258.25</v>
      </c>
      <c r="M37" s="11">
        <v>169.8</v>
      </c>
    </row>
    <row r="38" spans="1:13" ht="15.75" customHeight="1" x14ac:dyDescent="0.3">
      <c r="A38" s="4" t="s">
        <v>126</v>
      </c>
      <c r="B38">
        <f t="shared" si="0"/>
        <v>11</v>
      </c>
      <c r="C38" s="2" t="s">
        <v>12</v>
      </c>
      <c r="D38" s="2" t="s">
        <v>127</v>
      </c>
      <c r="E38" s="7">
        <v>26.92</v>
      </c>
      <c r="F38" s="2">
        <v>2</v>
      </c>
      <c r="G38" s="7">
        <v>251.9</v>
      </c>
      <c r="H38" s="2" t="s">
        <v>128</v>
      </c>
      <c r="I38" s="2" t="s">
        <v>15</v>
      </c>
      <c r="J38" s="2" t="s">
        <v>36</v>
      </c>
      <c r="K38" s="2" t="s">
        <v>17</v>
      </c>
      <c r="L38" s="7">
        <f>Table3[[#This Row],[Revenue]]-Table3[[#This Row],[Ad Spend]]</f>
        <v>224.98000000000002</v>
      </c>
      <c r="M38" s="11">
        <v>118.49</v>
      </c>
    </row>
    <row r="39" spans="1:13" ht="15.75" customHeight="1" x14ac:dyDescent="0.3">
      <c r="A39" s="4" t="s">
        <v>129</v>
      </c>
      <c r="B39">
        <f t="shared" si="0"/>
        <v>1</v>
      </c>
      <c r="C39" s="2" t="s">
        <v>32</v>
      </c>
      <c r="D39" s="2" t="s">
        <v>130</v>
      </c>
      <c r="E39" s="7">
        <v>102.32</v>
      </c>
      <c r="F39" s="2">
        <v>5</v>
      </c>
      <c r="G39" s="7">
        <v>435.53</v>
      </c>
      <c r="H39" s="2" t="s">
        <v>42</v>
      </c>
      <c r="I39" s="2" t="s">
        <v>15</v>
      </c>
      <c r="J39" s="2" t="s">
        <v>25</v>
      </c>
      <c r="K39" s="2" t="s">
        <v>17</v>
      </c>
      <c r="L39" s="7">
        <f>Table3[[#This Row],[Revenue]]-Table3[[#This Row],[Ad Spend]]</f>
        <v>333.21</v>
      </c>
      <c r="M39" s="11">
        <v>117.06</v>
      </c>
    </row>
    <row r="40" spans="1:13" ht="15.75" customHeight="1" x14ac:dyDescent="0.3">
      <c r="A40" s="4" t="s">
        <v>131</v>
      </c>
      <c r="B40">
        <f t="shared" si="0"/>
        <v>11</v>
      </c>
      <c r="C40" s="2" t="s">
        <v>12</v>
      </c>
      <c r="D40" s="2" t="s">
        <v>130</v>
      </c>
      <c r="E40" s="7">
        <v>138.6</v>
      </c>
      <c r="F40" s="2">
        <v>2</v>
      </c>
      <c r="G40" s="7">
        <v>490.88</v>
      </c>
      <c r="H40" s="2" t="s">
        <v>132</v>
      </c>
      <c r="I40" s="2" t="s">
        <v>15</v>
      </c>
      <c r="J40" s="2" t="s">
        <v>25</v>
      </c>
      <c r="K40" s="2" t="s">
        <v>17</v>
      </c>
      <c r="L40" s="7">
        <f>Table3[[#This Row],[Revenue]]-Table3[[#This Row],[Ad Spend]]</f>
        <v>352.28</v>
      </c>
      <c r="M40" s="11">
        <v>174.6</v>
      </c>
    </row>
    <row r="41" spans="1:13" ht="15.75" customHeight="1" x14ac:dyDescent="0.3">
      <c r="A41" s="4" t="s">
        <v>133</v>
      </c>
      <c r="B41">
        <f t="shared" si="0"/>
        <v>3</v>
      </c>
      <c r="C41" s="2" t="s">
        <v>63</v>
      </c>
      <c r="D41" s="2" t="s">
        <v>134</v>
      </c>
      <c r="E41" s="7">
        <v>8.09</v>
      </c>
      <c r="F41" s="2">
        <v>8</v>
      </c>
      <c r="G41" s="7">
        <v>363.42</v>
      </c>
      <c r="H41" s="2" t="s">
        <v>135</v>
      </c>
      <c r="I41" s="2" t="s">
        <v>29</v>
      </c>
      <c r="J41" s="2" t="s">
        <v>30</v>
      </c>
      <c r="K41" s="2" t="s">
        <v>17</v>
      </c>
      <c r="L41" s="7">
        <f>Table3[[#This Row],[Revenue]]-Table3[[#This Row],[Ad Spend]]</f>
        <v>355.33000000000004</v>
      </c>
      <c r="M41" s="11">
        <v>152.62</v>
      </c>
    </row>
    <row r="42" spans="1:13" ht="15.75" customHeight="1" x14ac:dyDescent="0.3">
      <c r="A42" s="4" t="s">
        <v>136</v>
      </c>
      <c r="B42">
        <f t="shared" si="0"/>
        <v>2</v>
      </c>
      <c r="C42" s="2" t="s">
        <v>19</v>
      </c>
      <c r="D42" s="2" t="s">
        <v>137</v>
      </c>
      <c r="E42" s="7">
        <v>149.09</v>
      </c>
      <c r="F42" s="2">
        <v>0</v>
      </c>
      <c r="G42" s="7">
        <v>101.8</v>
      </c>
      <c r="H42" s="2" t="s">
        <v>138</v>
      </c>
      <c r="I42" s="2" t="s">
        <v>29</v>
      </c>
      <c r="J42" s="2" t="s">
        <v>30</v>
      </c>
      <c r="K42" s="2" t="s">
        <v>46</v>
      </c>
      <c r="L42" s="7">
        <f>Table3[[#This Row],[Revenue]]-Table3[[#This Row],[Ad Spend]]</f>
        <v>-47.290000000000006</v>
      </c>
      <c r="M42" s="11">
        <v>139.32</v>
      </c>
    </row>
    <row r="43" spans="1:13" ht="15.75" customHeight="1" x14ac:dyDescent="0.3">
      <c r="A43" s="4" t="s">
        <v>139</v>
      </c>
      <c r="B43">
        <f t="shared" si="0"/>
        <v>12</v>
      </c>
      <c r="C43" s="2" t="s">
        <v>32</v>
      </c>
      <c r="D43" s="2" t="s">
        <v>140</v>
      </c>
      <c r="E43" s="7">
        <v>29.26</v>
      </c>
      <c r="F43" s="2">
        <v>2</v>
      </c>
      <c r="G43" s="7">
        <v>272.32</v>
      </c>
      <c r="H43" s="2" t="s">
        <v>141</v>
      </c>
      <c r="I43" s="2" t="s">
        <v>15</v>
      </c>
      <c r="J43" s="2" t="s">
        <v>36</v>
      </c>
      <c r="K43" s="2" t="s">
        <v>17</v>
      </c>
      <c r="L43" s="7">
        <f>Table3[[#This Row],[Revenue]]-Table3[[#This Row],[Ad Spend]]</f>
        <v>243.06</v>
      </c>
      <c r="M43" s="11">
        <v>148.29</v>
      </c>
    </row>
    <row r="44" spans="1:13" ht="15.75" customHeight="1" x14ac:dyDescent="0.3">
      <c r="A44" s="4" t="s">
        <v>142</v>
      </c>
      <c r="B44">
        <f t="shared" si="0"/>
        <v>12</v>
      </c>
      <c r="C44" s="2" t="s">
        <v>63</v>
      </c>
      <c r="D44" s="2" t="s">
        <v>143</v>
      </c>
      <c r="E44" s="7">
        <v>84.73</v>
      </c>
      <c r="F44" s="2">
        <v>9</v>
      </c>
      <c r="G44" s="7">
        <v>94.59</v>
      </c>
      <c r="H44" s="2" t="s">
        <v>104</v>
      </c>
      <c r="I44" s="2" t="s">
        <v>29</v>
      </c>
      <c r="J44" s="2" t="s">
        <v>30</v>
      </c>
      <c r="K44" s="2" t="s">
        <v>17</v>
      </c>
      <c r="L44" s="7">
        <f>Table3[[#This Row],[Revenue]]-Table3[[#This Row],[Ad Spend]]</f>
        <v>9.86</v>
      </c>
      <c r="M44" s="11">
        <v>126.06</v>
      </c>
    </row>
    <row r="45" spans="1:13" ht="15.75" customHeight="1" x14ac:dyDescent="0.3">
      <c r="A45" s="4" t="s">
        <v>123</v>
      </c>
      <c r="B45">
        <f t="shared" si="0"/>
        <v>4</v>
      </c>
      <c r="C45" s="2" t="s">
        <v>12</v>
      </c>
      <c r="D45" s="2" t="s">
        <v>144</v>
      </c>
      <c r="E45" s="7">
        <v>9.5</v>
      </c>
      <c r="F45" s="2">
        <v>8</v>
      </c>
      <c r="G45" s="7">
        <v>369.86</v>
      </c>
      <c r="H45" s="2" t="s">
        <v>145</v>
      </c>
      <c r="I45" s="2" t="s">
        <v>15</v>
      </c>
      <c r="J45" s="2" t="s">
        <v>25</v>
      </c>
      <c r="K45" s="2" t="s">
        <v>17</v>
      </c>
      <c r="L45" s="7">
        <f>Table3[[#This Row],[Revenue]]-Table3[[#This Row],[Ad Spend]]</f>
        <v>360.36</v>
      </c>
      <c r="M45" s="11">
        <v>107.59</v>
      </c>
    </row>
    <row r="46" spans="1:13" ht="15.75" customHeight="1" x14ac:dyDescent="0.3">
      <c r="A46" s="4" t="s">
        <v>43</v>
      </c>
      <c r="B46">
        <f t="shared" si="0"/>
        <v>11</v>
      </c>
      <c r="C46" s="2" t="s">
        <v>12</v>
      </c>
      <c r="D46" s="2" t="s">
        <v>146</v>
      </c>
      <c r="E46" s="7">
        <v>142.41999999999999</v>
      </c>
      <c r="F46" s="2">
        <v>5</v>
      </c>
      <c r="G46" s="7">
        <v>454.94</v>
      </c>
      <c r="H46" s="2" t="s">
        <v>147</v>
      </c>
      <c r="I46" s="2" t="s">
        <v>15</v>
      </c>
      <c r="J46" s="2" t="s">
        <v>30</v>
      </c>
      <c r="K46" s="2" t="s">
        <v>17</v>
      </c>
      <c r="L46" s="7">
        <f>Table3[[#This Row],[Revenue]]-Table3[[#This Row],[Ad Spend]]</f>
        <v>312.52</v>
      </c>
      <c r="M46" s="11">
        <v>135.75</v>
      </c>
    </row>
    <row r="47" spans="1:13" ht="15.75" customHeight="1" x14ac:dyDescent="0.3">
      <c r="A47" s="4" t="s">
        <v>148</v>
      </c>
      <c r="B47">
        <f t="shared" si="0"/>
        <v>4</v>
      </c>
      <c r="C47" s="2" t="s">
        <v>12</v>
      </c>
      <c r="D47" s="2" t="s">
        <v>149</v>
      </c>
      <c r="E47" s="7">
        <v>11.07</v>
      </c>
      <c r="F47" s="2">
        <v>7</v>
      </c>
      <c r="G47" s="7">
        <v>451.12</v>
      </c>
      <c r="H47" s="2" t="s">
        <v>150</v>
      </c>
      <c r="I47" s="2" t="s">
        <v>35</v>
      </c>
      <c r="J47" s="2" t="s">
        <v>16</v>
      </c>
      <c r="K47" s="2" t="s">
        <v>17</v>
      </c>
      <c r="L47" s="7">
        <f>Table3[[#This Row],[Revenue]]-Table3[[#This Row],[Ad Spend]]</f>
        <v>440.05</v>
      </c>
      <c r="M47" s="11">
        <v>191.7</v>
      </c>
    </row>
    <row r="48" spans="1:13" ht="15.75" customHeight="1" x14ac:dyDescent="0.3">
      <c r="A48" s="4" t="s">
        <v>148</v>
      </c>
      <c r="B48">
        <f t="shared" si="0"/>
        <v>4</v>
      </c>
      <c r="C48" s="2" t="s">
        <v>19</v>
      </c>
      <c r="D48" s="2" t="s">
        <v>151</v>
      </c>
      <c r="E48" s="7">
        <v>139.69999999999999</v>
      </c>
      <c r="F48" s="2">
        <v>0</v>
      </c>
      <c r="G48" s="7">
        <v>57.63</v>
      </c>
      <c r="H48" s="2" t="s">
        <v>152</v>
      </c>
      <c r="I48" s="2" t="s">
        <v>15</v>
      </c>
      <c r="J48" s="2" t="s">
        <v>30</v>
      </c>
      <c r="K48" s="2" t="s">
        <v>46</v>
      </c>
      <c r="L48" s="7">
        <f>Table3[[#This Row],[Revenue]]-Table3[[#This Row],[Ad Spend]]</f>
        <v>-82.07</v>
      </c>
      <c r="M48" s="11">
        <v>97.68</v>
      </c>
    </row>
    <row r="49" spans="1:13" ht="15.75" customHeight="1" x14ac:dyDescent="0.3">
      <c r="A49" s="4" t="s">
        <v>153</v>
      </c>
      <c r="B49">
        <f t="shared" si="0"/>
        <v>1</v>
      </c>
      <c r="C49" s="2" t="s">
        <v>32</v>
      </c>
      <c r="D49" s="2" t="s">
        <v>154</v>
      </c>
      <c r="E49" s="7">
        <v>23.82</v>
      </c>
      <c r="F49" s="2">
        <v>9</v>
      </c>
      <c r="G49" s="7">
        <v>458.76</v>
      </c>
      <c r="H49" s="2" t="s">
        <v>155</v>
      </c>
      <c r="I49" s="2" t="s">
        <v>35</v>
      </c>
      <c r="J49" s="2" t="s">
        <v>16</v>
      </c>
      <c r="K49" s="2" t="s">
        <v>17</v>
      </c>
      <c r="L49" s="7">
        <f>Table3[[#This Row],[Revenue]]-Table3[[#This Row],[Ad Spend]]</f>
        <v>434.94</v>
      </c>
      <c r="M49" s="11">
        <v>158.36000000000001</v>
      </c>
    </row>
    <row r="50" spans="1:13" ht="15.75" customHeight="1" x14ac:dyDescent="0.3">
      <c r="A50" s="4" t="s">
        <v>156</v>
      </c>
      <c r="B50">
        <f t="shared" si="0"/>
        <v>12</v>
      </c>
      <c r="C50" s="2" t="s">
        <v>19</v>
      </c>
      <c r="D50" s="2" t="s">
        <v>157</v>
      </c>
      <c r="E50" s="7">
        <v>30.71</v>
      </c>
      <c r="F50" s="2">
        <v>6</v>
      </c>
      <c r="G50" s="7">
        <v>20.010000000000002</v>
      </c>
      <c r="H50" s="2" t="s">
        <v>158</v>
      </c>
      <c r="I50" s="2" t="s">
        <v>15</v>
      </c>
      <c r="J50" s="2" t="s">
        <v>87</v>
      </c>
      <c r="K50" s="2" t="s">
        <v>17</v>
      </c>
      <c r="L50" s="7">
        <f>Table3[[#This Row],[Revenue]]-Table3[[#This Row],[Ad Spend]]</f>
        <v>-10.7</v>
      </c>
      <c r="M50" s="11">
        <v>123.68</v>
      </c>
    </row>
    <row r="51" spans="1:13" ht="15.75" customHeight="1" x14ac:dyDescent="0.3">
      <c r="A51" s="4" t="s">
        <v>159</v>
      </c>
      <c r="B51">
        <f t="shared" si="0"/>
        <v>2</v>
      </c>
      <c r="C51" s="2" t="s">
        <v>19</v>
      </c>
      <c r="D51" s="2" t="s">
        <v>160</v>
      </c>
      <c r="E51" s="7">
        <v>10.78</v>
      </c>
      <c r="F51" s="2">
        <v>5</v>
      </c>
      <c r="G51" s="7">
        <v>243.58</v>
      </c>
      <c r="H51" s="2" t="s">
        <v>161</v>
      </c>
      <c r="I51" s="2" t="s">
        <v>29</v>
      </c>
      <c r="J51" s="2" t="s">
        <v>25</v>
      </c>
      <c r="K51" s="2" t="s">
        <v>17</v>
      </c>
      <c r="L51" s="7">
        <f>Table3[[#This Row],[Revenue]]-Table3[[#This Row],[Ad Spend]]</f>
        <v>232.8</v>
      </c>
      <c r="M51" s="11">
        <v>121.57</v>
      </c>
    </row>
    <row r="52" spans="1:13" ht="15.75" customHeight="1" x14ac:dyDescent="0.3">
      <c r="A52" s="4" t="s">
        <v>162</v>
      </c>
      <c r="B52">
        <f t="shared" si="0"/>
        <v>4</v>
      </c>
      <c r="C52" s="2" t="s">
        <v>12</v>
      </c>
      <c r="D52" s="2" t="s">
        <v>163</v>
      </c>
      <c r="E52" s="7">
        <v>30.96</v>
      </c>
      <c r="F52" s="2">
        <v>3</v>
      </c>
      <c r="G52" s="7">
        <v>96.8</v>
      </c>
      <c r="H52" s="2" t="s">
        <v>24</v>
      </c>
      <c r="I52" s="2" t="s">
        <v>29</v>
      </c>
      <c r="J52" s="2" t="s">
        <v>87</v>
      </c>
      <c r="K52" s="2" t="s">
        <v>17</v>
      </c>
      <c r="L52" s="7">
        <f>Table3[[#This Row],[Revenue]]-Table3[[#This Row],[Ad Spend]]</f>
        <v>65.84</v>
      </c>
      <c r="M52" s="11">
        <v>146.32</v>
      </c>
    </row>
    <row r="53" spans="1:13" ht="15.75" customHeight="1" x14ac:dyDescent="0.3">
      <c r="A53" s="4" t="s">
        <v>164</v>
      </c>
      <c r="B53">
        <f t="shared" si="0"/>
        <v>2</v>
      </c>
      <c r="C53" s="2" t="s">
        <v>63</v>
      </c>
      <c r="D53" s="2" t="s">
        <v>165</v>
      </c>
      <c r="E53" s="7">
        <v>101.87</v>
      </c>
      <c r="F53" s="2">
        <v>5</v>
      </c>
      <c r="G53" s="7">
        <v>21.41</v>
      </c>
      <c r="H53" s="2" t="s">
        <v>166</v>
      </c>
      <c r="I53" s="2" t="s">
        <v>29</v>
      </c>
      <c r="J53" s="2" t="s">
        <v>25</v>
      </c>
      <c r="K53" s="2" t="s">
        <v>17</v>
      </c>
      <c r="L53" s="7">
        <f>Table3[[#This Row],[Revenue]]-Table3[[#This Row],[Ad Spend]]</f>
        <v>-80.460000000000008</v>
      </c>
      <c r="M53" s="11">
        <v>136.4</v>
      </c>
    </row>
    <row r="54" spans="1:13" ht="15.75" customHeight="1" x14ac:dyDescent="0.3">
      <c r="A54" s="4" t="s">
        <v>26</v>
      </c>
      <c r="B54">
        <f t="shared" si="0"/>
        <v>12</v>
      </c>
      <c r="C54" s="2" t="s">
        <v>19</v>
      </c>
      <c r="D54" s="2" t="s">
        <v>167</v>
      </c>
      <c r="E54" s="7">
        <v>42.49</v>
      </c>
      <c r="F54" s="2">
        <v>3</v>
      </c>
      <c r="G54" s="7">
        <v>441.2</v>
      </c>
      <c r="H54" s="2" t="s">
        <v>168</v>
      </c>
      <c r="I54" s="2" t="s">
        <v>29</v>
      </c>
      <c r="J54" s="2" t="s">
        <v>30</v>
      </c>
      <c r="K54" s="2" t="s">
        <v>17</v>
      </c>
      <c r="L54" s="7">
        <f>Table3[[#This Row],[Revenue]]-Table3[[#This Row],[Ad Spend]]</f>
        <v>398.71</v>
      </c>
      <c r="M54" s="11">
        <v>130.33000000000001</v>
      </c>
    </row>
    <row r="55" spans="1:13" ht="15.75" customHeight="1" x14ac:dyDescent="0.3">
      <c r="A55" s="4" t="s">
        <v>169</v>
      </c>
      <c r="B55">
        <f t="shared" si="0"/>
        <v>2</v>
      </c>
      <c r="C55" s="2" t="s">
        <v>19</v>
      </c>
      <c r="D55" s="2" t="s">
        <v>170</v>
      </c>
      <c r="E55" s="7">
        <v>143.59</v>
      </c>
      <c r="F55" s="2">
        <v>3</v>
      </c>
      <c r="G55" s="7">
        <v>164.67</v>
      </c>
      <c r="H55" s="2" t="s">
        <v>171</v>
      </c>
      <c r="I55" s="2" t="s">
        <v>15</v>
      </c>
      <c r="J55" s="2" t="s">
        <v>30</v>
      </c>
      <c r="K55" s="2" t="s">
        <v>17</v>
      </c>
      <c r="L55" s="7">
        <f>Table3[[#This Row],[Revenue]]-Table3[[#This Row],[Ad Spend]]</f>
        <v>21.079999999999984</v>
      </c>
      <c r="M55" s="11">
        <v>93.42</v>
      </c>
    </row>
    <row r="56" spans="1:13" ht="15.75" customHeight="1" x14ac:dyDescent="0.3">
      <c r="A56" s="4" t="s">
        <v>172</v>
      </c>
      <c r="B56">
        <f t="shared" si="0"/>
        <v>2</v>
      </c>
      <c r="C56" s="2" t="s">
        <v>19</v>
      </c>
      <c r="D56" s="2" t="s">
        <v>173</v>
      </c>
      <c r="E56" s="7">
        <v>136.01</v>
      </c>
      <c r="F56" s="2">
        <v>7</v>
      </c>
      <c r="G56" s="7">
        <v>379.22</v>
      </c>
      <c r="H56" s="2" t="s">
        <v>174</v>
      </c>
      <c r="I56" s="2" t="s">
        <v>29</v>
      </c>
      <c r="J56" s="2" t="s">
        <v>87</v>
      </c>
      <c r="K56" s="2" t="s">
        <v>17</v>
      </c>
      <c r="L56" s="7">
        <f>Table3[[#This Row],[Revenue]]-Table3[[#This Row],[Ad Spend]]</f>
        <v>243.21000000000004</v>
      </c>
      <c r="M56" s="11">
        <v>102.97</v>
      </c>
    </row>
    <row r="57" spans="1:13" ht="15.75" customHeight="1" x14ac:dyDescent="0.3">
      <c r="A57" s="4" t="s">
        <v>175</v>
      </c>
      <c r="B57">
        <f t="shared" si="0"/>
        <v>3</v>
      </c>
      <c r="C57" s="2" t="s">
        <v>32</v>
      </c>
      <c r="D57" s="2" t="s">
        <v>176</v>
      </c>
      <c r="E57" s="7">
        <v>140.25</v>
      </c>
      <c r="F57" s="2">
        <v>2</v>
      </c>
      <c r="G57" s="7">
        <v>106.53</v>
      </c>
      <c r="H57" s="2" t="s">
        <v>177</v>
      </c>
      <c r="I57" s="2" t="s">
        <v>15</v>
      </c>
      <c r="J57" s="2" t="s">
        <v>36</v>
      </c>
      <c r="K57" s="2" t="s">
        <v>17</v>
      </c>
      <c r="L57" s="7">
        <f>Table3[[#This Row],[Revenue]]-Table3[[#This Row],[Ad Spend]]</f>
        <v>-33.72</v>
      </c>
      <c r="M57" s="11">
        <v>68.040000000000006</v>
      </c>
    </row>
    <row r="58" spans="1:13" ht="15.75" customHeight="1" x14ac:dyDescent="0.3">
      <c r="A58" s="4" t="s">
        <v>178</v>
      </c>
      <c r="B58">
        <f t="shared" si="0"/>
        <v>12</v>
      </c>
      <c r="C58" s="2" t="s">
        <v>19</v>
      </c>
      <c r="D58" s="2" t="s">
        <v>179</v>
      </c>
      <c r="E58" s="7">
        <v>8.08</v>
      </c>
      <c r="F58" s="2">
        <v>4</v>
      </c>
      <c r="G58" s="7">
        <v>166.95</v>
      </c>
      <c r="H58" s="2" t="s">
        <v>180</v>
      </c>
      <c r="I58" s="2" t="s">
        <v>15</v>
      </c>
      <c r="J58" s="2" t="s">
        <v>87</v>
      </c>
      <c r="K58" s="2" t="s">
        <v>17</v>
      </c>
      <c r="L58" s="7">
        <f>Table3[[#This Row],[Revenue]]-Table3[[#This Row],[Ad Spend]]</f>
        <v>158.86999999999998</v>
      </c>
      <c r="M58" s="11">
        <v>132</v>
      </c>
    </row>
    <row r="59" spans="1:13" ht="15.75" customHeight="1" x14ac:dyDescent="0.3">
      <c r="A59" s="4" t="s">
        <v>181</v>
      </c>
      <c r="B59">
        <f t="shared" si="0"/>
        <v>11</v>
      </c>
      <c r="C59" s="2" t="s">
        <v>12</v>
      </c>
      <c r="D59" s="2" t="s">
        <v>182</v>
      </c>
      <c r="E59" s="7">
        <v>19.760000000000002</v>
      </c>
      <c r="F59" s="2">
        <v>5</v>
      </c>
      <c r="G59" s="7">
        <v>411.32</v>
      </c>
      <c r="H59" s="2" t="s">
        <v>183</v>
      </c>
      <c r="I59" s="2" t="s">
        <v>15</v>
      </c>
      <c r="J59" s="2" t="s">
        <v>87</v>
      </c>
      <c r="K59" s="2" t="s">
        <v>17</v>
      </c>
      <c r="L59" s="7">
        <f>Table3[[#This Row],[Revenue]]-Table3[[#This Row],[Ad Spend]]</f>
        <v>391.56</v>
      </c>
      <c r="M59" s="11">
        <v>183.96</v>
      </c>
    </row>
    <row r="60" spans="1:13" ht="15.75" customHeight="1" x14ac:dyDescent="0.3">
      <c r="A60" s="4" t="s">
        <v>184</v>
      </c>
      <c r="B60">
        <f t="shared" si="0"/>
        <v>3</v>
      </c>
      <c r="C60" s="2" t="s">
        <v>63</v>
      </c>
      <c r="D60" s="2" t="s">
        <v>185</v>
      </c>
      <c r="E60" s="7">
        <v>26</v>
      </c>
      <c r="F60" s="2">
        <v>0</v>
      </c>
      <c r="G60" s="7">
        <v>400.16</v>
      </c>
      <c r="H60" s="2" t="s">
        <v>186</v>
      </c>
      <c r="I60" s="2" t="s">
        <v>15</v>
      </c>
      <c r="J60" s="2" t="s">
        <v>30</v>
      </c>
      <c r="K60" s="2" t="s">
        <v>46</v>
      </c>
      <c r="L60" s="7">
        <f>Table3[[#This Row],[Revenue]]-Table3[[#This Row],[Ad Spend]]</f>
        <v>374.16</v>
      </c>
      <c r="M60" s="11">
        <v>127.46</v>
      </c>
    </row>
    <row r="61" spans="1:13" ht="15.75" customHeight="1" x14ac:dyDescent="0.3">
      <c r="A61" s="4" t="s">
        <v>187</v>
      </c>
      <c r="B61">
        <f t="shared" si="0"/>
        <v>1</v>
      </c>
      <c r="C61" s="2" t="s">
        <v>19</v>
      </c>
      <c r="D61" s="2" t="s">
        <v>188</v>
      </c>
      <c r="E61" s="7">
        <v>123.65</v>
      </c>
      <c r="F61" s="2">
        <v>4</v>
      </c>
      <c r="G61" s="7">
        <v>331.77</v>
      </c>
      <c r="H61" s="2" t="s">
        <v>52</v>
      </c>
      <c r="I61" s="2" t="s">
        <v>29</v>
      </c>
      <c r="J61" s="2" t="s">
        <v>30</v>
      </c>
      <c r="K61" s="2" t="s">
        <v>17</v>
      </c>
      <c r="L61" s="7">
        <f>Table3[[#This Row],[Revenue]]-Table3[[#This Row],[Ad Spend]]</f>
        <v>208.11999999999998</v>
      </c>
      <c r="M61" s="11">
        <v>122.4</v>
      </c>
    </row>
    <row r="62" spans="1:13" ht="15.75" customHeight="1" x14ac:dyDescent="0.3">
      <c r="A62" s="4" t="s">
        <v>189</v>
      </c>
      <c r="B62">
        <f t="shared" si="0"/>
        <v>2</v>
      </c>
      <c r="C62" s="2" t="s">
        <v>32</v>
      </c>
      <c r="D62" s="2" t="s">
        <v>190</v>
      </c>
      <c r="E62" s="7">
        <v>132.61000000000001</v>
      </c>
      <c r="F62" s="2">
        <v>6</v>
      </c>
      <c r="G62" s="7">
        <v>366.92</v>
      </c>
      <c r="H62" s="2" t="s">
        <v>138</v>
      </c>
      <c r="I62" s="2" t="s">
        <v>35</v>
      </c>
      <c r="J62" s="2" t="s">
        <v>25</v>
      </c>
      <c r="K62" s="2" t="s">
        <v>17</v>
      </c>
      <c r="L62" s="7">
        <f>Table3[[#This Row],[Revenue]]-Table3[[#This Row],[Ad Spend]]</f>
        <v>234.31</v>
      </c>
      <c r="M62" s="11">
        <v>137.07</v>
      </c>
    </row>
    <row r="63" spans="1:13" ht="15.75" customHeight="1" x14ac:dyDescent="0.3">
      <c r="A63" s="4" t="s">
        <v>191</v>
      </c>
      <c r="B63">
        <f t="shared" si="0"/>
        <v>11</v>
      </c>
      <c r="C63" s="2" t="s">
        <v>32</v>
      </c>
      <c r="D63" s="2" t="s">
        <v>192</v>
      </c>
      <c r="E63" s="7">
        <v>89.96</v>
      </c>
      <c r="F63" s="2">
        <v>0</v>
      </c>
      <c r="G63" s="7">
        <v>28.7</v>
      </c>
      <c r="H63" s="2" t="s">
        <v>193</v>
      </c>
      <c r="I63" s="2" t="s">
        <v>29</v>
      </c>
      <c r="J63" s="2" t="s">
        <v>30</v>
      </c>
      <c r="K63" s="2" t="s">
        <v>46</v>
      </c>
      <c r="L63" s="7">
        <f>Table3[[#This Row],[Revenue]]-Table3[[#This Row],[Ad Spend]]</f>
        <v>-61.259999999999991</v>
      </c>
      <c r="M63" s="11">
        <v>39.83</v>
      </c>
    </row>
    <row r="64" spans="1:13" ht="15.75" customHeight="1" x14ac:dyDescent="0.3">
      <c r="A64" s="4" t="s">
        <v>194</v>
      </c>
      <c r="B64">
        <f t="shared" si="0"/>
        <v>11</v>
      </c>
      <c r="C64" s="2" t="s">
        <v>63</v>
      </c>
      <c r="D64" s="2" t="s">
        <v>195</v>
      </c>
      <c r="E64" s="7">
        <v>84.01</v>
      </c>
      <c r="F64" s="2">
        <v>8</v>
      </c>
      <c r="G64" s="7">
        <v>438.36</v>
      </c>
      <c r="H64" s="2" t="s">
        <v>196</v>
      </c>
      <c r="I64" s="2" t="s">
        <v>35</v>
      </c>
      <c r="J64" s="2" t="s">
        <v>25</v>
      </c>
      <c r="K64" s="2" t="s">
        <v>17</v>
      </c>
      <c r="L64" s="7">
        <f>Table3[[#This Row],[Revenue]]-Table3[[#This Row],[Ad Spend]]</f>
        <v>354.35</v>
      </c>
      <c r="M64" s="11">
        <v>145.28</v>
      </c>
    </row>
    <row r="65" spans="1:13" ht="15.75" customHeight="1" x14ac:dyDescent="0.3">
      <c r="A65" s="4" t="s">
        <v>172</v>
      </c>
      <c r="B65">
        <f t="shared" si="0"/>
        <v>2</v>
      </c>
      <c r="C65" s="2" t="s">
        <v>19</v>
      </c>
      <c r="D65" s="2" t="s">
        <v>197</v>
      </c>
      <c r="E65" s="7">
        <v>100.01</v>
      </c>
      <c r="F65" s="2">
        <v>0</v>
      </c>
      <c r="G65" s="7">
        <v>364.71</v>
      </c>
      <c r="H65" s="2" t="s">
        <v>198</v>
      </c>
      <c r="I65" s="2" t="s">
        <v>15</v>
      </c>
      <c r="J65" s="2" t="s">
        <v>87</v>
      </c>
      <c r="K65" s="2" t="s">
        <v>46</v>
      </c>
      <c r="L65" s="7">
        <f>Table3[[#This Row],[Revenue]]-Table3[[#This Row],[Ad Spend]]</f>
        <v>264.7</v>
      </c>
      <c r="M65" s="11">
        <v>116.05</v>
      </c>
    </row>
    <row r="66" spans="1:13" ht="15.75" customHeight="1" x14ac:dyDescent="0.3">
      <c r="A66" s="4" t="s">
        <v>199</v>
      </c>
      <c r="B66">
        <f t="shared" si="0"/>
        <v>4</v>
      </c>
      <c r="C66" s="2" t="s">
        <v>19</v>
      </c>
      <c r="D66" s="2" t="s">
        <v>106</v>
      </c>
      <c r="E66" s="7">
        <v>21.52</v>
      </c>
      <c r="F66" s="2">
        <v>2</v>
      </c>
      <c r="G66" s="7">
        <v>186.94</v>
      </c>
      <c r="H66" s="2" t="s">
        <v>14</v>
      </c>
      <c r="I66" s="2" t="s">
        <v>29</v>
      </c>
      <c r="J66" s="2" t="s">
        <v>53</v>
      </c>
      <c r="K66" s="2" t="s">
        <v>17</v>
      </c>
      <c r="L66" s="7">
        <f>Table3[[#This Row],[Revenue]]-Table3[[#This Row],[Ad Spend]]</f>
        <v>165.42</v>
      </c>
      <c r="M66" s="11">
        <v>113.51</v>
      </c>
    </row>
    <row r="67" spans="1:13" ht="15.75" customHeight="1" x14ac:dyDescent="0.3">
      <c r="A67" s="4" t="s">
        <v>31</v>
      </c>
      <c r="B67">
        <f t="shared" ref="B67:B130" si="1">MONTH(A67)</f>
        <v>1</v>
      </c>
      <c r="C67" s="2" t="s">
        <v>19</v>
      </c>
      <c r="D67" s="2" t="s">
        <v>200</v>
      </c>
      <c r="E67" s="7">
        <v>120.26</v>
      </c>
      <c r="F67" s="2">
        <v>0</v>
      </c>
      <c r="G67" s="7">
        <v>92.57</v>
      </c>
      <c r="H67" s="2" t="s">
        <v>201</v>
      </c>
      <c r="I67" s="2" t="s">
        <v>15</v>
      </c>
      <c r="J67" s="2" t="s">
        <v>25</v>
      </c>
      <c r="K67" s="2" t="s">
        <v>46</v>
      </c>
      <c r="L67" s="7">
        <f>Table3[[#This Row],[Revenue]]-Table3[[#This Row],[Ad Spend]]</f>
        <v>-27.690000000000012</v>
      </c>
      <c r="M67" s="11">
        <v>105.31</v>
      </c>
    </row>
    <row r="68" spans="1:13" ht="15.75" customHeight="1" x14ac:dyDescent="0.3">
      <c r="A68" s="4" t="s">
        <v>202</v>
      </c>
      <c r="B68">
        <f t="shared" si="1"/>
        <v>3</v>
      </c>
      <c r="C68" s="2" t="s">
        <v>12</v>
      </c>
      <c r="D68" s="2" t="s">
        <v>203</v>
      </c>
      <c r="E68" s="7">
        <v>97.42</v>
      </c>
      <c r="F68" s="2">
        <v>8</v>
      </c>
      <c r="G68" s="7">
        <v>187.23</v>
      </c>
      <c r="H68" s="2" t="s">
        <v>204</v>
      </c>
      <c r="I68" s="2" t="s">
        <v>35</v>
      </c>
      <c r="J68" s="2" t="s">
        <v>53</v>
      </c>
      <c r="K68" s="2" t="s">
        <v>17</v>
      </c>
      <c r="L68" s="7">
        <f>Table3[[#This Row],[Revenue]]-Table3[[#This Row],[Ad Spend]]</f>
        <v>89.809999999999988</v>
      </c>
      <c r="M68" s="11">
        <v>134.82</v>
      </c>
    </row>
    <row r="69" spans="1:13" ht="15.75" customHeight="1" x14ac:dyDescent="0.3">
      <c r="A69" s="4" t="s">
        <v>205</v>
      </c>
      <c r="B69">
        <f t="shared" si="1"/>
        <v>2</v>
      </c>
      <c r="C69" s="2" t="s">
        <v>32</v>
      </c>
      <c r="D69" s="2" t="s">
        <v>206</v>
      </c>
      <c r="E69" s="7">
        <v>122.35</v>
      </c>
      <c r="F69" s="2">
        <v>0</v>
      </c>
      <c r="G69" s="7">
        <v>423</v>
      </c>
      <c r="H69" s="2" t="s">
        <v>207</v>
      </c>
      <c r="I69" s="2" t="s">
        <v>35</v>
      </c>
      <c r="J69" s="2" t="s">
        <v>53</v>
      </c>
      <c r="K69" s="2" t="s">
        <v>46</v>
      </c>
      <c r="L69" s="7">
        <f>Table3[[#This Row],[Revenue]]-Table3[[#This Row],[Ad Spend]]</f>
        <v>300.64999999999998</v>
      </c>
      <c r="M69" s="11">
        <v>166.35</v>
      </c>
    </row>
    <row r="70" spans="1:13" ht="15.75" customHeight="1" x14ac:dyDescent="0.3">
      <c r="A70" s="4" t="s">
        <v>208</v>
      </c>
      <c r="B70">
        <f t="shared" si="1"/>
        <v>11</v>
      </c>
      <c r="C70" s="2" t="s">
        <v>63</v>
      </c>
      <c r="D70" s="2" t="s">
        <v>209</v>
      </c>
      <c r="E70" s="7">
        <v>131.99</v>
      </c>
      <c r="F70" s="2">
        <v>6</v>
      </c>
      <c r="G70" s="7">
        <v>116.16</v>
      </c>
      <c r="H70" s="2" t="s">
        <v>210</v>
      </c>
      <c r="I70" s="2" t="s">
        <v>15</v>
      </c>
      <c r="J70" s="2" t="s">
        <v>16</v>
      </c>
      <c r="K70" s="2" t="s">
        <v>17</v>
      </c>
      <c r="L70" s="7">
        <f>Table3[[#This Row],[Revenue]]-Table3[[#This Row],[Ad Spend]]</f>
        <v>-15.830000000000013</v>
      </c>
      <c r="M70" s="11">
        <v>160.78</v>
      </c>
    </row>
    <row r="71" spans="1:13" ht="15.75" customHeight="1" x14ac:dyDescent="0.3">
      <c r="A71" s="4" t="s">
        <v>211</v>
      </c>
      <c r="B71">
        <f t="shared" si="1"/>
        <v>2</v>
      </c>
      <c r="C71" s="2" t="s">
        <v>19</v>
      </c>
      <c r="D71" s="2" t="s">
        <v>212</v>
      </c>
      <c r="E71" s="7">
        <v>99.67</v>
      </c>
      <c r="F71" s="2">
        <v>2</v>
      </c>
      <c r="G71" s="7">
        <v>286.56</v>
      </c>
      <c r="H71" s="2" t="s">
        <v>213</v>
      </c>
      <c r="I71" s="2" t="s">
        <v>29</v>
      </c>
      <c r="J71" s="2" t="s">
        <v>53</v>
      </c>
      <c r="K71" s="2" t="s">
        <v>17</v>
      </c>
      <c r="L71" s="7">
        <f>Table3[[#This Row],[Revenue]]-Table3[[#This Row],[Ad Spend]]</f>
        <v>186.89</v>
      </c>
      <c r="M71" s="11">
        <v>113.07</v>
      </c>
    </row>
    <row r="72" spans="1:13" ht="15.75" customHeight="1" x14ac:dyDescent="0.3">
      <c r="A72" s="4" t="s">
        <v>214</v>
      </c>
      <c r="B72">
        <f t="shared" si="1"/>
        <v>3</v>
      </c>
      <c r="C72" s="2" t="s">
        <v>12</v>
      </c>
      <c r="D72" s="2" t="s">
        <v>215</v>
      </c>
      <c r="E72" s="7">
        <v>88.12</v>
      </c>
      <c r="F72" s="2">
        <v>8</v>
      </c>
      <c r="G72" s="7">
        <v>195.29</v>
      </c>
      <c r="H72" s="2" t="s">
        <v>158</v>
      </c>
      <c r="I72" s="2" t="s">
        <v>35</v>
      </c>
      <c r="J72" s="2" t="s">
        <v>25</v>
      </c>
      <c r="K72" s="2" t="s">
        <v>17</v>
      </c>
      <c r="L72" s="7">
        <f>Table3[[#This Row],[Revenue]]-Table3[[#This Row],[Ad Spend]]</f>
        <v>107.16999999999999</v>
      </c>
      <c r="M72" s="11">
        <v>121.42</v>
      </c>
    </row>
    <row r="73" spans="1:13" ht="15.75" customHeight="1" x14ac:dyDescent="0.3">
      <c r="A73" s="4" t="s">
        <v>216</v>
      </c>
      <c r="B73">
        <f t="shared" si="1"/>
        <v>2</v>
      </c>
      <c r="C73" s="2" t="s">
        <v>19</v>
      </c>
      <c r="D73" s="2" t="s">
        <v>217</v>
      </c>
      <c r="E73" s="7">
        <v>143.88</v>
      </c>
      <c r="F73" s="2">
        <v>3</v>
      </c>
      <c r="G73" s="7">
        <v>48.51</v>
      </c>
      <c r="H73" s="2" t="s">
        <v>168</v>
      </c>
      <c r="I73" s="2" t="s">
        <v>29</v>
      </c>
      <c r="J73" s="2" t="s">
        <v>36</v>
      </c>
      <c r="K73" s="2" t="s">
        <v>17</v>
      </c>
      <c r="L73" s="7">
        <f>Table3[[#This Row],[Revenue]]-Table3[[#This Row],[Ad Spend]]</f>
        <v>-95.37</v>
      </c>
      <c r="M73" s="11">
        <v>140.52000000000001</v>
      </c>
    </row>
    <row r="74" spans="1:13" ht="15.75" customHeight="1" x14ac:dyDescent="0.3">
      <c r="A74" s="4" t="s">
        <v>56</v>
      </c>
      <c r="B74">
        <f t="shared" si="1"/>
        <v>12</v>
      </c>
      <c r="C74" s="2" t="s">
        <v>63</v>
      </c>
      <c r="D74" s="2" t="s">
        <v>218</v>
      </c>
      <c r="E74" s="7">
        <v>114.1</v>
      </c>
      <c r="F74" s="2">
        <v>5</v>
      </c>
      <c r="G74" s="7">
        <v>428.31</v>
      </c>
      <c r="H74" s="2" t="s">
        <v>219</v>
      </c>
      <c r="I74" s="2" t="s">
        <v>29</v>
      </c>
      <c r="J74" s="2" t="s">
        <v>30</v>
      </c>
      <c r="K74" s="2" t="s">
        <v>17</v>
      </c>
      <c r="L74" s="7">
        <f>Table3[[#This Row],[Revenue]]-Table3[[#This Row],[Ad Spend]]</f>
        <v>314.21000000000004</v>
      </c>
      <c r="M74" s="11">
        <v>149.15</v>
      </c>
    </row>
    <row r="75" spans="1:13" ht="15.75" customHeight="1" x14ac:dyDescent="0.3">
      <c r="A75" s="4" t="s">
        <v>220</v>
      </c>
      <c r="B75">
        <f t="shared" si="1"/>
        <v>12</v>
      </c>
      <c r="C75" s="2" t="s">
        <v>32</v>
      </c>
      <c r="D75" s="2" t="s">
        <v>221</v>
      </c>
      <c r="E75" s="7">
        <v>82.29</v>
      </c>
      <c r="F75" s="2">
        <v>2</v>
      </c>
      <c r="G75" s="7">
        <v>183.48</v>
      </c>
      <c r="H75" s="2" t="s">
        <v>222</v>
      </c>
      <c r="I75" s="2" t="s">
        <v>15</v>
      </c>
      <c r="J75" s="2" t="s">
        <v>53</v>
      </c>
      <c r="K75" s="2" t="s">
        <v>17</v>
      </c>
      <c r="L75" s="7">
        <f>Table3[[#This Row],[Revenue]]-Table3[[#This Row],[Ad Spend]]</f>
        <v>101.18999999999998</v>
      </c>
      <c r="M75" s="11">
        <v>142.51</v>
      </c>
    </row>
    <row r="76" spans="1:13" ht="15.75" customHeight="1" x14ac:dyDescent="0.3">
      <c r="A76" s="4" t="s">
        <v>91</v>
      </c>
      <c r="B76">
        <f t="shared" si="1"/>
        <v>3</v>
      </c>
      <c r="C76" s="2" t="s">
        <v>63</v>
      </c>
      <c r="D76" s="2" t="s">
        <v>223</v>
      </c>
      <c r="E76" s="7">
        <v>68.790000000000006</v>
      </c>
      <c r="F76" s="2">
        <v>9</v>
      </c>
      <c r="G76" s="7">
        <v>440.06</v>
      </c>
      <c r="H76" s="2" t="s">
        <v>45</v>
      </c>
      <c r="I76" s="2" t="s">
        <v>29</v>
      </c>
      <c r="J76" s="2" t="s">
        <v>36</v>
      </c>
      <c r="K76" s="2" t="s">
        <v>17</v>
      </c>
      <c r="L76" s="7">
        <f>Table3[[#This Row],[Revenue]]-Table3[[#This Row],[Ad Spend]]</f>
        <v>371.27</v>
      </c>
      <c r="M76" s="11">
        <v>120.69</v>
      </c>
    </row>
    <row r="77" spans="1:13" ht="15.75" customHeight="1" x14ac:dyDescent="0.3">
      <c r="A77" s="4" t="s">
        <v>11</v>
      </c>
      <c r="B77">
        <f t="shared" si="1"/>
        <v>1</v>
      </c>
      <c r="C77" s="2" t="s">
        <v>32</v>
      </c>
      <c r="D77" s="2" t="s">
        <v>224</v>
      </c>
      <c r="E77" s="7">
        <v>36.28</v>
      </c>
      <c r="F77" s="2">
        <v>4</v>
      </c>
      <c r="G77" s="7">
        <v>99.14</v>
      </c>
      <c r="H77" s="2" t="s">
        <v>225</v>
      </c>
      <c r="I77" s="2" t="s">
        <v>15</v>
      </c>
      <c r="J77" s="2" t="s">
        <v>30</v>
      </c>
      <c r="K77" s="2" t="s">
        <v>17</v>
      </c>
      <c r="L77" s="7">
        <f>Table3[[#This Row],[Revenue]]-Table3[[#This Row],[Ad Spend]]</f>
        <v>62.86</v>
      </c>
      <c r="M77" s="11">
        <v>124.34</v>
      </c>
    </row>
    <row r="78" spans="1:13" ht="15.75" customHeight="1" x14ac:dyDescent="0.3">
      <c r="A78" s="4" t="s">
        <v>226</v>
      </c>
      <c r="B78">
        <f t="shared" si="1"/>
        <v>2</v>
      </c>
      <c r="C78" s="2" t="s">
        <v>12</v>
      </c>
      <c r="D78" s="2" t="s">
        <v>227</v>
      </c>
      <c r="E78" s="7">
        <v>37.700000000000003</v>
      </c>
      <c r="F78" s="2">
        <v>2</v>
      </c>
      <c r="G78" s="7">
        <v>71.900000000000006</v>
      </c>
      <c r="H78" s="2" t="s">
        <v>119</v>
      </c>
      <c r="I78" s="2" t="s">
        <v>35</v>
      </c>
      <c r="J78" s="2" t="s">
        <v>25</v>
      </c>
      <c r="K78" s="2" t="s">
        <v>17</v>
      </c>
      <c r="L78" s="7">
        <f>Table3[[#This Row],[Revenue]]-Table3[[#This Row],[Ad Spend]]</f>
        <v>34.200000000000003</v>
      </c>
      <c r="M78" s="11">
        <v>103.31</v>
      </c>
    </row>
    <row r="79" spans="1:13" ht="15.75" customHeight="1" x14ac:dyDescent="0.3">
      <c r="A79" s="4" t="s">
        <v>208</v>
      </c>
      <c r="B79">
        <f t="shared" si="1"/>
        <v>11</v>
      </c>
      <c r="C79" s="2" t="s">
        <v>32</v>
      </c>
      <c r="D79" s="2" t="s">
        <v>228</v>
      </c>
      <c r="E79" s="7">
        <v>134.38</v>
      </c>
      <c r="F79" s="2">
        <v>1</v>
      </c>
      <c r="G79" s="7">
        <v>289.77999999999997</v>
      </c>
      <c r="H79" s="2" t="s">
        <v>229</v>
      </c>
      <c r="I79" s="2" t="s">
        <v>15</v>
      </c>
      <c r="J79" s="2" t="s">
        <v>87</v>
      </c>
      <c r="K79" s="2" t="s">
        <v>17</v>
      </c>
      <c r="L79" s="7">
        <f>Table3[[#This Row],[Revenue]]-Table3[[#This Row],[Ad Spend]]</f>
        <v>155.39999999999998</v>
      </c>
      <c r="M79" s="11">
        <v>97.01</v>
      </c>
    </row>
    <row r="80" spans="1:13" ht="15.75" customHeight="1" x14ac:dyDescent="0.3">
      <c r="A80" s="4" t="s">
        <v>230</v>
      </c>
      <c r="B80">
        <f t="shared" si="1"/>
        <v>1</v>
      </c>
      <c r="C80" s="2" t="s">
        <v>12</v>
      </c>
      <c r="D80" s="2" t="s">
        <v>231</v>
      </c>
      <c r="E80" s="7">
        <v>38.08</v>
      </c>
      <c r="F80" s="2">
        <v>4</v>
      </c>
      <c r="G80" s="7">
        <v>262.55</v>
      </c>
      <c r="H80" s="2" t="s">
        <v>232</v>
      </c>
      <c r="I80" s="2" t="s">
        <v>15</v>
      </c>
      <c r="J80" s="2" t="s">
        <v>16</v>
      </c>
      <c r="K80" s="2" t="s">
        <v>17</v>
      </c>
      <c r="L80" s="7">
        <f>Table3[[#This Row],[Revenue]]-Table3[[#This Row],[Ad Spend]]</f>
        <v>224.47000000000003</v>
      </c>
      <c r="M80" s="11">
        <v>132.03</v>
      </c>
    </row>
    <row r="81" spans="1:13" ht="15.75" customHeight="1" x14ac:dyDescent="0.3">
      <c r="A81" s="4" t="s">
        <v>233</v>
      </c>
      <c r="B81">
        <f t="shared" si="1"/>
        <v>3</v>
      </c>
      <c r="C81" s="2" t="s">
        <v>63</v>
      </c>
      <c r="D81" s="2" t="s">
        <v>234</v>
      </c>
      <c r="E81" s="7">
        <v>105.4</v>
      </c>
      <c r="F81" s="2">
        <v>10</v>
      </c>
      <c r="G81" s="7">
        <v>301.43</v>
      </c>
      <c r="H81" s="2" t="s">
        <v>235</v>
      </c>
      <c r="I81" s="2" t="s">
        <v>15</v>
      </c>
      <c r="J81" s="2" t="s">
        <v>25</v>
      </c>
      <c r="K81" s="2" t="s">
        <v>17</v>
      </c>
      <c r="L81" s="7">
        <f>Table3[[#This Row],[Revenue]]-Table3[[#This Row],[Ad Spend]]</f>
        <v>196.03</v>
      </c>
      <c r="M81" s="11">
        <v>130.88</v>
      </c>
    </row>
    <row r="82" spans="1:13" ht="15.75" customHeight="1" x14ac:dyDescent="0.3">
      <c r="A82" s="4" t="s">
        <v>236</v>
      </c>
      <c r="B82">
        <f t="shared" si="1"/>
        <v>4</v>
      </c>
      <c r="C82" s="2" t="s">
        <v>32</v>
      </c>
      <c r="D82" s="2" t="s">
        <v>89</v>
      </c>
      <c r="E82" s="7">
        <v>37.92</v>
      </c>
      <c r="F82" s="2">
        <v>2</v>
      </c>
      <c r="G82" s="7">
        <v>196.55</v>
      </c>
      <c r="H82" s="2" t="s">
        <v>237</v>
      </c>
      <c r="I82" s="2" t="s">
        <v>35</v>
      </c>
      <c r="J82" s="2" t="s">
        <v>30</v>
      </c>
      <c r="K82" s="2" t="s">
        <v>17</v>
      </c>
      <c r="L82" s="7">
        <f>Table3[[#This Row],[Revenue]]-Table3[[#This Row],[Ad Spend]]</f>
        <v>158.63</v>
      </c>
      <c r="M82" s="11">
        <v>137.46</v>
      </c>
    </row>
    <row r="83" spans="1:13" ht="15.75" customHeight="1" x14ac:dyDescent="0.3">
      <c r="A83" s="4" t="s">
        <v>238</v>
      </c>
      <c r="B83">
        <f t="shared" si="1"/>
        <v>3</v>
      </c>
      <c r="C83" s="2" t="s">
        <v>12</v>
      </c>
      <c r="D83" s="2" t="s">
        <v>239</v>
      </c>
      <c r="E83" s="7">
        <v>5.13</v>
      </c>
      <c r="F83" s="2">
        <v>10</v>
      </c>
      <c r="G83" s="7">
        <v>415.83</v>
      </c>
      <c r="H83" s="2" t="s">
        <v>240</v>
      </c>
      <c r="I83" s="2" t="s">
        <v>15</v>
      </c>
      <c r="J83" s="2" t="s">
        <v>36</v>
      </c>
      <c r="K83" s="2" t="s">
        <v>17</v>
      </c>
      <c r="L83" s="7">
        <f>Table3[[#This Row],[Revenue]]-Table3[[#This Row],[Ad Spend]]</f>
        <v>410.7</v>
      </c>
      <c r="M83" s="11">
        <v>146.03</v>
      </c>
    </row>
    <row r="84" spans="1:13" ht="15.75" customHeight="1" x14ac:dyDescent="0.3">
      <c r="A84" s="4" t="s">
        <v>241</v>
      </c>
      <c r="B84">
        <f t="shared" si="1"/>
        <v>12</v>
      </c>
      <c r="C84" s="2" t="s">
        <v>19</v>
      </c>
      <c r="D84" s="2" t="s">
        <v>242</v>
      </c>
      <c r="E84" s="7">
        <v>126.29</v>
      </c>
      <c r="F84" s="2">
        <v>3</v>
      </c>
      <c r="G84" s="7">
        <v>309.7</v>
      </c>
      <c r="H84" s="2" t="s">
        <v>243</v>
      </c>
      <c r="I84" s="2" t="s">
        <v>35</v>
      </c>
      <c r="J84" s="2" t="s">
        <v>53</v>
      </c>
      <c r="K84" s="2" t="s">
        <v>17</v>
      </c>
      <c r="L84" s="7">
        <f>Table3[[#This Row],[Revenue]]-Table3[[#This Row],[Ad Spend]]</f>
        <v>183.40999999999997</v>
      </c>
      <c r="M84" s="11">
        <v>127.97</v>
      </c>
    </row>
    <row r="85" spans="1:13" ht="15.75" customHeight="1" x14ac:dyDescent="0.3">
      <c r="A85" s="4" t="s">
        <v>244</v>
      </c>
      <c r="B85">
        <f t="shared" si="1"/>
        <v>2</v>
      </c>
      <c r="C85" s="2" t="s">
        <v>63</v>
      </c>
      <c r="D85" s="2" t="s">
        <v>245</v>
      </c>
      <c r="E85" s="7">
        <v>6.31</v>
      </c>
      <c r="F85" s="2">
        <v>9</v>
      </c>
      <c r="G85" s="7">
        <v>208.17</v>
      </c>
      <c r="H85" s="2" t="s">
        <v>246</v>
      </c>
      <c r="I85" s="2" t="s">
        <v>35</v>
      </c>
      <c r="J85" s="2" t="s">
        <v>25</v>
      </c>
      <c r="K85" s="2" t="s">
        <v>17</v>
      </c>
      <c r="L85" s="7">
        <f>Table3[[#This Row],[Revenue]]-Table3[[#This Row],[Ad Spend]]</f>
        <v>201.85999999999999</v>
      </c>
      <c r="M85" s="11">
        <v>112.38</v>
      </c>
    </row>
    <row r="86" spans="1:13" ht="15.75" customHeight="1" x14ac:dyDescent="0.3">
      <c r="A86" s="4" t="s">
        <v>247</v>
      </c>
      <c r="B86">
        <f t="shared" si="1"/>
        <v>3</v>
      </c>
      <c r="C86" s="2" t="s">
        <v>32</v>
      </c>
      <c r="D86" s="2" t="s">
        <v>248</v>
      </c>
      <c r="E86" s="7">
        <v>46.75</v>
      </c>
      <c r="F86" s="2">
        <v>5</v>
      </c>
      <c r="G86" s="7">
        <v>74.8</v>
      </c>
      <c r="H86" s="2" t="s">
        <v>249</v>
      </c>
      <c r="I86" s="2" t="s">
        <v>35</v>
      </c>
      <c r="J86" s="2" t="s">
        <v>25</v>
      </c>
      <c r="K86" s="2" t="s">
        <v>17</v>
      </c>
      <c r="L86" s="7">
        <f>Table3[[#This Row],[Revenue]]-Table3[[#This Row],[Ad Spend]]</f>
        <v>28.049999999999997</v>
      </c>
      <c r="M86" s="11">
        <v>112.24</v>
      </c>
    </row>
    <row r="87" spans="1:13" ht="15.75" customHeight="1" x14ac:dyDescent="0.3">
      <c r="A87" s="4" t="s">
        <v>250</v>
      </c>
      <c r="B87">
        <f t="shared" si="1"/>
        <v>12</v>
      </c>
      <c r="C87" s="2" t="s">
        <v>63</v>
      </c>
      <c r="D87" s="2" t="s">
        <v>251</v>
      </c>
      <c r="E87" s="7">
        <v>140.62</v>
      </c>
      <c r="F87" s="2">
        <v>6</v>
      </c>
      <c r="G87" s="7">
        <v>57.4</v>
      </c>
      <c r="H87" s="2" t="s">
        <v>28</v>
      </c>
      <c r="I87" s="2" t="s">
        <v>29</v>
      </c>
      <c r="J87" s="2" t="s">
        <v>87</v>
      </c>
      <c r="K87" s="2" t="s">
        <v>17</v>
      </c>
      <c r="L87" s="7">
        <f>Table3[[#This Row],[Revenue]]-Table3[[#This Row],[Ad Spend]]</f>
        <v>-83.22</v>
      </c>
      <c r="M87" s="11">
        <v>134.87</v>
      </c>
    </row>
    <row r="88" spans="1:13" ht="15.75" customHeight="1" x14ac:dyDescent="0.3">
      <c r="A88" s="4" t="s">
        <v>252</v>
      </c>
      <c r="B88">
        <f t="shared" si="1"/>
        <v>11</v>
      </c>
      <c r="C88" s="2" t="s">
        <v>32</v>
      </c>
      <c r="D88" s="2" t="s">
        <v>253</v>
      </c>
      <c r="E88" s="7">
        <v>49.76</v>
      </c>
      <c r="F88" s="2">
        <v>7</v>
      </c>
      <c r="G88" s="7">
        <v>105.34</v>
      </c>
      <c r="H88" s="2" t="s">
        <v>96</v>
      </c>
      <c r="I88" s="2" t="s">
        <v>29</v>
      </c>
      <c r="J88" s="2" t="s">
        <v>16</v>
      </c>
      <c r="K88" s="2" t="s">
        <v>17</v>
      </c>
      <c r="L88" s="7">
        <f>Table3[[#This Row],[Revenue]]-Table3[[#This Row],[Ad Spend]]</f>
        <v>55.580000000000005</v>
      </c>
      <c r="M88" s="11">
        <v>131.62</v>
      </c>
    </row>
    <row r="89" spans="1:13" ht="15.75" customHeight="1" x14ac:dyDescent="0.3">
      <c r="A89" s="4" t="s">
        <v>254</v>
      </c>
      <c r="B89">
        <f t="shared" si="1"/>
        <v>11</v>
      </c>
      <c r="C89" s="2" t="s">
        <v>12</v>
      </c>
      <c r="D89" s="2" t="s">
        <v>255</v>
      </c>
      <c r="E89" s="7">
        <v>15.42</v>
      </c>
      <c r="F89" s="2">
        <v>2</v>
      </c>
      <c r="G89" s="7">
        <v>411.67</v>
      </c>
      <c r="H89" s="2" t="s">
        <v>138</v>
      </c>
      <c r="I89" s="2" t="s">
        <v>35</v>
      </c>
      <c r="J89" s="2" t="s">
        <v>87</v>
      </c>
      <c r="K89" s="2" t="s">
        <v>17</v>
      </c>
      <c r="L89" s="7">
        <f>Table3[[#This Row],[Revenue]]-Table3[[#This Row],[Ad Spend]]</f>
        <v>396.25</v>
      </c>
      <c r="M89" s="11">
        <v>131.77000000000001</v>
      </c>
    </row>
    <row r="90" spans="1:13" ht="15.75" customHeight="1" x14ac:dyDescent="0.3">
      <c r="A90" s="4" t="s">
        <v>230</v>
      </c>
      <c r="B90">
        <f t="shared" si="1"/>
        <v>1</v>
      </c>
      <c r="C90" s="2" t="s">
        <v>32</v>
      </c>
      <c r="D90" s="2" t="s">
        <v>256</v>
      </c>
      <c r="E90" s="7">
        <v>98.6</v>
      </c>
      <c r="F90" s="2">
        <v>1</v>
      </c>
      <c r="G90" s="7">
        <v>290.66000000000003</v>
      </c>
      <c r="H90" s="2" t="s">
        <v>257</v>
      </c>
      <c r="I90" s="2" t="s">
        <v>15</v>
      </c>
      <c r="J90" s="2" t="s">
        <v>25</v>
      </c>
      <c r="K90" s="2" t="s">
        <v>17</v>
      </c>
      <c r="L90" s="7">
        <f>Table3[[#This Row],[Revenue]]-Table3[[#This Row],[Ad Spend]]</f>
        <v>192.06000000000003</v>
      </c>
      <c r="M90" s="11">
        <v>144.41</v>
      </c>
    </row>
    <row r="91" spans="1:13" ht="15.75" customHeight="1" x14ac:dyDescent="0.3">
      <c r="A91" s="4" t="s">
        <v>258</v>
      </c>
      <c r="B91">
        <f t="shared" si="1"/>
        <v>2</v>
      </c>
      <c r="C91" s="2" t="s">
        <v>63</v>
      </c>
      <c r="D91" s="2" t="s">
        <v>259</v>
      </c>
      <c r="E91" s="7">
        <v>121.31</v>
      </c>
      <c r="F91" s="2">
        <v>7</v>
      </c>
      <c r="G91" s="7">
        <v>217.35</v>
      </c>
      <c r="H91" s="2" t="s">
        <v>260</v>
      </c>
      <c r="I91" s="2" t="s">
        <v>15</v>
      </c>
      <c r="J91" s="2" t="s">
        <v>87</v>
      </c>
      <c r="K91" s="2" t="s">
        <v>17</v>
      </c>
      <c r="L91" s="7">
        <f>Table3[[#This Row],[Revenue]]-Table3[[#This Row],[Ad Spend]]</f>
        <v>96.039999999999992</v>
      </c>
      <c r="M91" s="11">
        <v>128.61000000000001</v>
      </c>
    </row>
    <row r="92" spans="1:13" ht="15.75" customHeight="1" x14ac:dyDescent="0.3">
      <c r="A92" s="4" t="s">
        <v>261</v>
      </c>
      <c r="B92">
        <f t="shared" si="1"/>
        <v>10</v>
      </c>
      <c r="C92" s="2" t="s">
        <v>12</v>
      </c>
      <c r="D92" s="2" t="s">
        <v>262</v>
      </c>
      <c r="E92" s="7">
        <v>82.01</v>
      </c>
      <c r="F92" s="2">
        <v>0</v>
      </c>
      <c r="G92" s="7">
        <v>400.95</v>
      </c>
      <c r="H92" s="2" t="s">
        <v>42</v>
      </c>
      <c r="I92" s="2" t="s">
        <v>29</v>
      </c>
      <c r="J92" s="2" t="s">
        <v>87</v>
      </c>
      <c r="K92" s="2" t="s">
        <v>46</v>
      </c>
      <c r="L92" s="7">
        <f>Table3[[#This Row],[Revenue]]-Table3[[#This Row],[Ad Spend]]</f>
        <v>318.94</v>
      </c>
      <c r="M92" s="11">
        <v>118.53</v>
      </c>
    </row>
    <row r="93" spans="1:13" ht="15.75" customHeight="1" x14ac:dyDescent="0.3">
      <c r="A93" s="4" t="s">
        <v>172</v>
      </c>
      <c r="B93">
        <f t="shared" si="1"/>
        <v>2</v>
      </c>
      <c r="C93" s="2" t="s">
        <v>32</v>
      </c>
      <c r="D93" s="2" t="s">
        <v>263</v>
      </c>
      <c r="E93" s="7">
        <v>122.92</v>
      </c>
      <c r="F93" s="2">
        <v>5</v>
      </c>
      <c r="G93" s="7">
        <v>252.24</v>
      </c>
      <c r="H93" s="2" t="s">
        <v>264</v>
      </c>
      <c r="I93" s="2" t="s">
        <v>15</v>
      </c>
      <c r="J93" s="2" t="s">
        <v>53</v>
      </c>
      <c r="K93" s="2" t="s">
        <v>17</v>
      </c>
      <c r="L93" s="7">
        <f>Table3[[#This Row],[Revenue]]-Table3[[#This Row],[Ad Spend]]</f>
        <v>129.32</v>
      </c>
      <c r="M93" s="11">
        <v>131.26</v>
      </c>
    </row>
    <row r="94" spans="1:13" ht="15.75" customHeight="1" x14ac:dyDescent="0.3">
      <c r="A94" s="4" t="s">
        <v>254</v>
      </c>
      <c r="B94">
        <f t="shared" si="1"/>
        <v>11</v>
      </c>
      <c r="C94" s="2" t="s">
        <v>19</v>
      </c>
      <c r="D94" s="2" t="s">
        <v>265</v>
      </c>
      <c r="E94" s="7">
        <v>50.45</v>
      </c>
      <c r="F94" s="2">
        <v>9</v>
      </c>
      <c r="G94" s="7">
        <v>224.19</v>
      </c>
      <c r="H94" s="2" t="s">
        <v>52</v>
      </c>
      <c r="I94" s="2" t="s">
        <v>15</v>
      </c>
      <c r="J94" s="2" t="s">
        <v>53</v>
      </c>
      <c r="K94" s="2" t="s">
        <v>17</v>
      </c>
      <c r="L94" s="7">
        <f>Table3[[#This Row],[Revenue]]-Table3[[#This Row],[Ad Spend]]</f>
        <v>173.74</v>
      </c>
      <c r="M94" s="11">
        <v>118.14</v>
      </c>
    </row>
    <row r="95" spans="1:13" ht="15.75" customHeight="1" x14ac:dyDescent="0.3">
      <c r="A95" s="4" t="s">
        <v>250</v>
      </c>
      <c r="B95">
        <f t="shared" si="1"/>
        <v>12</v>
      </c>
      <c r="C95" s="2" t="s">
        <v>12</v>
      </c>
      <c r="D95" s="2" t="s">
        <v>266</v>
      </c>
      <c r="E95" s="7">
        <v>15.87</v>
      </c>
      <c r="F95" s="2">
        <v>2</v>
      </c>
      <c r="G95" s="7">
        <v>249.63</v>
      </c>
      <c r="H95" s="2" t="s">
        <v>267</v>
      </c>
      <c r="I95" s="2" t="s">
        <v>15</v>
      </c>
      <c r="J95" s="2" t="s">
        <v>36</v>
      </c>
      <c r="K95" s="2" t="s">
        <v>17</v>
      </c>
      <c r="L95" s="7">
        <f>Table3[[#This Row],[Revenue]]-Table3[[#This Row],[Ad Spend]]</f>
        <v>233.76</v>
      </c>
      <c r="M95" s="11">
        <v>123.12</v>
      </c>
    </row>
    <row r="96" spans="1:13" ht="15.75" customHeight="1" x14ac:dyDescent="0.3">
      <c r="A96" s="4" t="s">
        <v>211</v>
      </c>
      <c r="B96">
        <f t="shared" si="1"/>
        <v>2</v>
      </c>
      <c r="C96" s="2" t="s">
        <v>32</v>
      </c>
      <c r="D96" s="2" t="s">
        <v>268</v>
      </c>
      <c r="E96" s="7">
        <v>36.869999999999997</v>
      </c>
      <c r="F96" s="2">
        <v>9</v>
      </c>
      <c r="G96" s="7">
        <v>53.51</v>
      </c>
      <c r="H96" s="2" t="s">
        <v>161</v>
      </c>
      <c r="I96" s="2" t="s">
        <v>35</v>
      </c>
      <c r="J96" s="2" t="s">
        <v>30</v>
      </c>
      <c r="K96" s="2" t="s">
        <v>17</v>
      </c>
      <c r="L96" s="7">
        <f>Table3[[#This Row],[Revenue]]-Table3[[#This Row],[Ad Spend]]</f>
        <v>16.64</v>
      </c>
      <c r="M96" s="11">
        <v>116.13</v>
      </c>
    </row>
    <row r="97" spans="1:13" ht="15.75" customHeight="1" x14ac:dyDescent="0.3">
      <c r="A97" s="4" t="s">
        <v>269</v>
      </c>
      <c r="B97">
        <f t="shared" si="1"/>
        <v>12</v>
      </c>
      <c r="C97" s="2" t="s">
        <v>19</v>
      </c>
      <c r="D97" s="2" t="s">
        <v>270</v>
      </c>
      <c r="E97" s="7">
        <v>89.77</v>
      </c>
      <c r="F97" s="2">
        <v>4</v>
      </c>
      <c r="G97" s="7">
        <v>359.23</v>
      </c>
      <c r="H97" s="2" t="s">
        <v>267</v>
      </c>
      <c r="I97" s="2" t="s">
        <v>35</v>
      </c>
      <c r="J97" s="2" t="s">
        <v>25</v>
      </c>
      <c r="K97" s="2" t="s">
        <v>17</v>
      </c>
      <c r="L97" s="7">
        <f>Table3[[#This Row],[Revenue]]-Table3[[#This Row],[Ad Spend]]</f>
        <v>269.46000000000004</v>
      </c>
      <c r="M97" s="11">
        <v>118.12</v>
      </c>
    </row>
    <row r="98" spans="1:13" ht="15.75" customHeight="1" x14ac:dyDescent="0.3">
      <c r="A98" s="4" t="s">
        <v>271</v>
      </c>
      <c r="B98">
        <f t="shared" si="1"/>
        <v>1</v>
      </c>
      <c r="C98" s="2" t="s">
        <v>32</v>
      </c>
      <c r="D98" s="2" t="s">
        <v>272</v>
      </c>
      <c r="E98" s="7">
        <v>123.64</v>
      </c>
      <c r="F98" s="2">
        <v>3</v>
      </c>
      <c r="G98" s="7">
        <v>54.56</v>
      </c>
      <c r="H98" s="2" t="s">
        <v>45</v>
      </c>
      <c r="I98" s="2" t="s">
        <v>15</v>
      </c>
      <c r="J98" s="2" t="s">
        <v>87</v>
      </c>
      <c r="K98" s="2" t="s">
        <v>17</v>
      </c>
      <c r="L98" s="7">
        <f>Table3[[#This Row],[Revenue]]-Table3[[#This Row],[Ad Spend]]</f>
        <v>-69.08</v>
      </c>
      <c r="M98" s="11">
        <v>120.84</v>
      </c>
    </row>
    <row r="99" spans="1:13" ht="15.75" customHeight="1" x14ac:dyDescent="0.3">
      <c r="A99" s="4" t="s">
        <v>273</v>
      </c>
      <c r="B99">
        <f t="shared" si="1"/>
        <v>11</v>
      </c>
      <c r="C99" s="2" t="s">
        <v>19</v>
      </c>
      <c r="D99" s="2" t="s">
        <v>239</v>
      </c>
      <c r="E99" s="7">
        <v>102.04</v>
      </c>
      <c r="F99" s="2">
        <v>6</v>
      </c>
      <c r="G99" s="7">
        <v>288.77999999999997</v>
      </c>
      <c r="H99" s="2" t="s">
        <v>257</v>
      </c>
      <c r="I99" s="2" t="s">
        <v>15</v>
      </c>
      <c r="J99" s="2" t="s">
        <v>53</v>
      </c>
      <c r="K99" s="2" t="s">
        <v>17</v>
      </c>
      <c r="L99" s="7">
        <f>Table3[[#This Row],[Revenue]]-Table3[[#This Row],[Ad Spend]]</f>
        <v>186.73999999999995</v>
      </c>
      <c r="M99" s="11">
        <v>140.54</v>
      </c>
    </row>
    <row r="100" spans="1:13" ht="15.75" customHeight="1" x14ac:dyDescent="0.3">
      <c r="A100" s="4" t="s">
        <v>274</v>
      </c>
      <c r="B100">
        <f t="shared" si="1"/>
        <v>12</v>
      </c>
      <c r="C100" s="2" t="s">
        <v>63</v>
      </c>
      <c r="D100" s="2" t="s">
        <v>275</v>
      </c>
      <c r="E100" s="7">
        <v>57.81</v>
      </c>
      <c r="F100" s="2">
        <v>7</v>
      </c>
      <c r="G100" s="7">
        <v>141.16999999999999</v>
      </c>
      <c r="H100" s="2" t="s">
        <v>276</v>
      </c>
      <c r="I100" s="2" t="s">
        <v>29</v>
      </c>
      <c r="J100" s="2" t="s">
        <v>25</v>
      </c>
      <c r="K100" s="2" t="s">
        <v>17</v>
      </c>
      <c r="L100" s="7">
        <f>Table3[[#This Row],[Revenue]]-Table3[[#This Row],[Ad Spend]]</f>
        <v>83.359999999999985</v>
      </c>
      <c r="M100" s="11">
        <v>55.03</v>
      </c>
    </row>
    <row r="101" spans="1:13" ht="15.75" customHeight="1" x14ac:dyDescent="0.3">
      <c r="A101" s="4" t="s">
        <v>277</v>
      </c>
      <c r="B101">
        <f t="shared" si="1"/>
        <v>2</v>
      </c>
      <c r="C101" s="2" t="s">
        <v>32</v>
      </c>
      <c r="D101" s="2" t="s">
        <v>278</v>
      </c>
      <c r="E101" s="7">
        <v>149.51</v>
      </c>
      <c r="F101" s="2">
        <v>0</v>
      </c>
      <c r="G101" s="7">
        <v>187.59</v>
      </c>
      <c r="H101" s="2" t="s">
        <v>279</v>
      </c>
      <c r="I101" s="2" t="s">
        <v>29</v>
      </c>
      <c r="J101" s="2" t="s">
        <v>53</v>
      </c>
      <c r="K101" s="2" t="s">
        <v>46</v>
      </c>
      <c r="L101" s="7">
        <f>Table3[[#This Row],[Revenue]]-Table3[[#This Row],[Ad Spend]]</f>
        <v>38.080000000000013</v>
      </c>
      <c r="M101" s="11">
        <v>138.13999999999999</v>
      </c>
    </row>
    <row r="102" spans="1:13" ht="15.75" customHeight="1" x14ac:dyDescent="0.3">
      <c r="A102" s="4" t="s">
        <v>280</v>
      </c>
      <c r="B102">
        <f t="shared" si="1"/>
        <v>2</v>
      </c>
      <c r="C102" s="2" t="s">
        <v>32</v>
      </c>
      <c r="D102" s="2" t="s">
        <v>281</v>
      </c>
      <c r="E102" s="7">
        <v>145.94</v>
      </c>
      <c r="F102" s="2">
        <v>7</v>
      </c>
      <c r="G102" s="7">
        <v>360.33</v>
      </c>
      <c r="H102" s="2" t="s">
        <v>282</v>
      </c>
      <c r="I102" s="2" t="s">
        <v>15</v>
      </c>
      <c r="J102" s="2" t="s">
        <v>53</v>
      </c>
      <c r="K102" s="2" t="s">
        <v>17</v>
      </c>
      <c r="L102" s="7">
        <f>Table3[[#This Row],[Revenue]]-Table3[[#This Row],[Ad Spend]]</f>
        <v>214.39</v>
      </c>
      <c r="M102" s="11">
        <v>184.68</v>
      </c>
    </row>
    <row r="103" spans="1:13" ht="15.75" customHeight="1" x14ac:dyDescent="0.3">
      <c r="A103" s="4" t="s">
        <v>283</v>
      </c>
      <c r="B103">
        <f t="shared" si="1"/>
        <v>11</v>
      </c>
      <c r="C103" s="2" t="s">
        <v>19</v>
      </c>
      <c r="D103" s="2" t="s">
        <v>209</v>
      </c>
      <c r="E103" s="7">
        <v>93.84</v>
      </c>
      <c r="F103" s="2">
        <v>6</v>
      </c>
      <c r="G103" s="7">
        <v>226.64</v>
      </c>
      <c r="H103" s="2" t="s">
        <v>284</v>
      </c>
      <c r="I103" s="2" t="s">
        <v>15</v>
      </c>
      <c r="J103" s="2" t="s">
        <v>25</v>
      </c>
      <c r="K103" s="2" t="s">
        <v>17</v>
      </c>
      <c r="L103" s="7">
        <f>Table3[[#This Row],[Revenue]]-Table3[[#This Row],[Ad Spend]]</f>
        <v>132.79999999999998</v>
      </c>
      <c r="M103" s="11">
        <v>125.79</v>
      </c>
    </row>
    <row r="104" spans="1:13" ht="15.75" customHeight="1" x14ac:dyDescent="0.3">
      <c r="A104" s="4" t="s">
        <v>269</v>
      </c>
      <c r="B104">
        <f t="shared" si="1"/>
        <v>12</v>
      </c>
      <c r="C104" s="2" t="s">
        <v>19</v>
      </c>
      <c r="D104" s="2" t="s">
        <v>285</v>
      </c>
      <c r="E104" s="7">
        <v>98.28</v>
      </c>
      <c r="F104" s="2">
        <v>4</v>
      </c>
      <c r="G104" s="7">
        <v>364.06</v>
      </c>
      <c r="H104" s="2" t="s">
        <v>286</v>
      </c>
      <c r="I104" s="2" t="s">
        <v>35</v>
      </c>
      <c r="J104" s="2" t="s">
        <v>25</v>
      </c>
      <c r="K104" s="2" t="s">
        <v>17</v>
      </c>
      <c r="L104" s="7">
        <f>Table3[[#This Row],[Revenue]]-Table3[[#This Row],[Ad Spend]]</f>
        <v>265.77999999999997</v>
      </c>
      <c r="M104" s="11">
        <v>114.16</v>
      </c>
    </row>
    <row r="105" spans="1:13" ht="15.75" customHeight="1" x14ac:dyDescent="0.3">
      <c r="A105" s="4" t="s">
        <v>287</v>
      </c>
      <c r="B105">
        <f t="shared" si="1"/>
        <v>2</v>
      </c>
      <c r="C105" s="2" t="s">
        <v>32</v>
      </c>
      <c r="D105" s="2" t="s">
        <v>121</v>
      </c>
      <c r="E105" s="7">
        <v>118.22</v>
      </c>
      <c r="F105" s="2">
        <v>10</v>
      </c>
      <c r="G105" s="7">
        <v>215.42</v>
      </c>
      <c r="H105" s="2" t="s">
        <v>104</v>
      </c>
      <c r="I105" s="2" t="s">
        <v>29</v>
      </c>
      <c r="J105" s="2" t="s">
        <v>53</v>
      </c>
      <c r="K105" s="2" t="s">
        <v>17</v>
      </c>
      <c r="L105" s="7">
        <f>Table3[[#This Row],[Revenue]]-Table3[[#This Row],[Ad Spend]]</f>
        <v>97.199999999999989</v>
      </c>
      <c r="M105" s="11">
        <v>115.56</v>
      </c>
    </row>
    <row r="106" spans="1:13" ht="15.75" customHeight="1" x14ac:dyDescent="0.3">
      <c r="A106" s="4" t="s">
        <v>102</v>
      </c>
      <c r="B106">
        <f t="shared" si="1"/>
        <v>3</v>
      </c>
      <c r="C106" s="2" t="s">
        <v>63</v>
      </c>
      <c r="D106" s="2" t="s">
        <v>288</v>
      </c>
      <c r="E106" s="7">
        <v>139.09</v>
      </c>
      <c r="F106" s="2">
        <v>3</v>
      </c>
      <c r="G106" s="7">
        <v>43.79</v>
      </c>
      <c r="H106" s="2" t="s">
        <v>289</v>
      </c>
      <c r="I106" s="2" t="s">
        <v>35</v>
      </c>
      <c r="J106" s="2" t="s">
        <v>87</v>
      </c>
      <c r="K106" s="2" t="s">
        <v>17</v>
      </c>
      <c r="L106" s="7">
        <f>Table3[[#This Row],[Revenue]]-Table3[[#This Row],[Ad Spend]]</f>
        <v>-95.300000000000011</v>
      </c>
      <c r="M106" s="11">
        <v>165.42</v>
      </c>
    </row>
    <row r="107" spans="1:13" ht="15.75" customHeight="1" x14ac:dyDescent="0.3">
      <c r="A107" s="4" t="s">
        <v>290</v>
      </c>
      <c r="B107">
        <f t="shared" si="1"/>
        <v>1</v>
      </c>
      <c r="C107" s="2" t="s">
        <v>63</v>
      </c>
      <c r="D107" s="2" t="s">
        <v>291</v>
      </c>
      <c r="E107" s="7">
        <v>83.76</v>
      </c>
      <c r="F107" s="2">
        <v>9</v>
      </c>
      <c r="G107" s="7">
        <v>35.799999999999997</v>
      </c>
      <c r="H107" s="2" t="s">
        <v>174</v>
      </c>
      <c r="I107" s="2" t="s">
        <v>29</v>
      </c>
      <c r="J107" s="2" t="s">
        <v>53</v>
      </c>
      <c r="K107" s="2" t="s">
        <v>17</v>
      </c>
      <c r="L107" s="7">
        <f>Table3[[#This Row],[Revenue]]-Table3[[#This Row],[Ad Spend]]</f>
        <v>-47.960000000000008</v>
      </c>
      <c r="M107" s="11">
        <v>103.06</v>
      </c>
    </row>
    <row r="108" spans="1:13" ht="15.75" customHeight="1" x14ac:dyDescent="0.3">
      <c r="A108" s="4" t="s">
        <v>250</v>
      </c>
      <c r="B108">
        <f t="shared" si="1"/>
        <v>12</v>
      </c>
      <c r="C108" s="2" t="s">
        <v>63</v>
      </c>
      <c r="D108" s="2" t="s">
        <v>292</v>
      </c>
      <c r="E108" s="7">
        <v>55.81</v>
      </c>
      <c r="F108" s="2">
        <v>9</v>
      </c>
      <c r="G108" s="7">
        <v>34.74</v>
      </c>
      <c r="H108" s="2" t="s">
        <v>65</v>
      </c>
      <c r="I108" s="2" t="s">
        <v>15</v>
      </c>
      <c r="J108" s="2" t="s">
        <v>25</v>
      </c>
      <c r="K108" s="2" t="s">
        <v>17</v>
      </c>
      <c r="L108" s="7">
        <f>Table3[[#This Row],[Revenue]]-Table3[[#This Row],[Ad Spend]]</f>
        <v>-21.07</v>
      </c>
      <c r="M108" s="11">
        <v>120.43</v>
      </c>
    </row>
    <row r="109" spans="1:13" ht="15.75" customHeight="1" x14ac:dyDescent="0.3">
      <c r="A109" s="4" t="s">
        <v>293</v>
      </c>
      <c r="B109">
        <f t="shared" si="1"/>
        <v>11</v>
      </c>
      <c r="C109" s="2" t="s">
        <v>32</v>
      </c>
      <c r="D109" s="2" t="s">
        <v>294</v>
      </c>
      <c r="E109" s="7">
        <v>77.95</v>
      </c>
      <c r="F109" s="2">
        <v>5</v>
      </c>
      <c r="G109" s="7">
        <v>51.36</v>
      </c>
      <c r="H109" s="2" t="s">
        <v>42</v>
      </c>
      <c r="I109" s="2" t="s">
        <v>35</v>
      </c>
      <c r="J109" s="2" t="s">
        <v>16</v>
      </c>
      <c r="K109" s="2" t="s">
        <v>17</v>
      </c>
      <c r="L109" s="7">
        <f>Table3[[#This Row],[Revenue]]-Table3[[#This Row],[Ad Spend]]</f>
        <v>-26.590000000000003</v>
      </c>
      <c r="M109" s="11">
        <v>114.82</v>
      </c>
    </row>
    <row r="110" spans="1:13" ht="15.75" customHeight="1" x14ac:dyDescent="0.3">
      <c r="A110" s="4" t="s">
        <v>295</v>
      </c>
      <c r="B110">
        <f t="shared" si="1"/>
        <v>12</v>
      </c>
      <c r="C110" s="2" t="s">
        <v>19</v>
      </c>
      <c r="D110" s="2" t="s">
        <v>296</v>
      </c>
      <c r="E110" s="7">
        <v>90.7</v>
      </c>
      <c r="F110" s="2">
        <v>2</v>
      </c>
      <c r="G110" s="7">
        <v>450.81</v>
      </c>
      <c r="H110" s="2" t="s">
        <v>297</v>
      </c>
      <c r="I110" s="2" t="s">
        <v>29</v>
      </c>
      <c r="J110" s="2" t="s">
        <v>30</v>
      </c>
      <c r="K110" s="2" t="s">
        <v>17</v>
      </c>
      <c r="L110" s="7">
        <f>Table3[[#This Row],[Revenue]]-Table3[[#This Row],[Ad Spend]]</f>
        <v>360.11</v>
      </c>
      <c r="M110" s="11">
        <v>137.08000000000001</v>
      </c>
    </row>
    <row r="111" spans="1:13" ht="15.75" customHeight="1" x14ac:dyDescent="0.3">
      <c r="A111" s="4" t="s">
        <v>298</v>
      </c>
      <c r="B111">
        <f t="shared" si="1"/>
        <v>1</v>
      </c>
      <c r="C111" s="2" t="s">
        <v>12</v>
      </c>
      <c r="D111" s="2" t="s">
        <v>299</v>
      </c>
      <c r="E111" s="7">
        <v>141.59</v>
      </c>
      <c r="F111" s="2">
        <v>10</v>
      </c>
      <c r="G111" s="7">
        <v>452.42</v>
      </c>
      <c r="H111" s="2" t="s">
        <v>28</v>
      </c>
      <c r="I111" s="2" t="s">
        <v>15</v>
      </c>
      <c r="J111" s="2" t="s">
        <v>25</v>
      </c>
      <c r="K111" s="2" t="s">
        <v>17</v>
      </c>
      <c r="L111" s="7">
        <f>Table3[[#This Row],[Revenue]]-Table3[[#This Row],[Ad Spend]]</f>
        <v>310.83000000000004</v>
      </c>
      <c r="M111" s="11">
        <v>141.55000000000001</v>
      </c>
    </row>
    <row r="112" spans="1:13" ht="15.75" customHeight="1" x14ac:dyDescent="0.3">
      <c r="A112" s="4" t="s">
        <v>123</v>
      </c>
      <c r="B112">
        <f t="shared" si="1"/>
        <v>4</v>
      </c>
      <c r="C112" s="2" t="s">
        <v>63</v>
      </c>
      <c r="D112" s="2" t="s">
        <v>300</v>
      </c>
      <c r="E112" s="7">
        <v>62.45</v>
      </c>
      <c r="F112" s="2">
        <v>0</v>
      </c>
      <c r="G112" s="7">
        <v>471.85</v>
      </c>
      <c r="H112" s="2" t="s">
        <v>301</v>
      </c>
      <c r="I112" s="2" t="s">
        <v>29</v>
      </c>
      <c r="J112" s="2" t="s">
        <v>25</v>
      </c>
      <c r="K112" s="2" t="s">
        <v>46</v>
      </c>
      <c r="L112" s="7">
        <f>Table3[[#This Row],[Revenue]]-Table3[[#This Row],[Ad Spend]]</f>
        <v>409.40000000000003</v>
      </c>
      <c r="M112" s="11">
        <v>151.01</v>
      </c>
    </row>
    <row r="113" spans="1:13" ht="15.75" customHeight="1" x14ac:dyDescent="0.3">
      <c r="A113" s="4" t="s">
        <v>187</v>
      </c>
      <c r="B113">
        <f t="shared" si="1"/>
        <v>1</v>
      </c>
      <c r="C113" s="2" t="s">
        <v>12</v>
      </c>
      <c r="D113" s="2" t="s">
        <v>302</v>
      </c>
      <c r="E113" s="7">
        <v>11.32</v>
      </c>
      <c r="F113" s="2">
        <v>4</v>
      </c>
      <c r="G113" s="7">
        <v>194.04</v>
      </c>
      <c r="H113" s="2" t="s">
        <v>303</v>
      </c>
      <c r="I113" s="2" t="s">
        <v>15</v>
      </c>
      <c r="J113" s="2" t="s">
        <v>25</v>
      </c>
      <c r="K113" s="2" t="s">
        <v>17</v>
      </c>
      <c r="L113" s="7">
        <f>Table3[[#This Row],[Revenue]]-Table3[[#This Row],[Ad Spend]]</f>
        <v>182.72</v>
      </c>
      <c r="M113" s="11">
        <v>102.63</v>
      </c>
    </row>
    <row r="114" spans="1:13" ht="15.75" customHeight="1" x14ac:dyDescent="0.3">
      <c r="A114" s="4" t="s">
        <v>304</v>
      </c>
      <c r="B114">
        <f t="shared" si="1"/>
        <v>12</v>
      </c>
      <c r="C114" s="2" t="s">
        <v>19</v>
      </c>
      <c r="D114" s="2" t="s">
        <v>305</v>
      </c>
      <c r="E114" s="7">
        <v>75.39</v>
      </c>
      <c r="F114" s="2">
        <v>7</v>
      </c>
      <c r="G114" s="7">
        <v>282.32</v>
      </c>
      <c r="H114" s="2" t="s">
        <v>306</v>
      </c>
      <c r="I114" s="2" t="s">
        <v>35</v>
      </c>
      <c r="J114" s="2" t="s">
        <v>53</v>
      </c>
      <c r="K114" s="2" t="s">
        <v>17</v>
      </c>
      <c r="L114" s="7">
        <f>Table3[[#This Row],[Revenue]]-Table3[[#This Row],[Ad Spend]]</f>
        <v>206.93</v>
      </c>
      <c r="M114" s="11">
        <v>150.37</v>
      </c>
    </row>
    <row r="115" spans="1:13" ht="15.75" customHeight="1" x14ac:dyDescent="0.3">
      <c r="A115" s="4" t="s">
        <v>43</v>
      </c>
      <c r="B115">
        <f t="shared" si="1"/>
        <v>11</v>
      </c>
      <c r="C115" s="2" t="s">
        <v>12</v>
      </c>
      <c r="D115" s="2" t="s">
        <v>307</v>
      </c>
      <c r="E115" s="7">
        <v>87.27</v>
      </c>
      <c r="F115" s="2">
        <v>6</v>
      </c>
      <c r="G115" s="7">
        <v>447.69</v>
      </c>
      <c r="H115" s="2" t="s">
        <v>308</v>
      </c>
      <c r="I115" s="2" t="s">
        <v>35</v>
      </c>
      <c r="J115" s="2" t="s">
        <v>30</v>
      </c>
      <c r="K115" s="2" t="s">
        <v>17</v>
      </c>
      <c r="L115" s="7">
        <f>Table3[[#This Row],[Revenue]]-Table3[[#This Row],[Ad Spend]]</f>
        <v>360.42</v>
      </c>
      <c r="M115" s="11">
        <v>172.17</v>
      </c>
    </row>
    <row r="116" spans="1:13" ht="15.75" customHeight="1" x14ac:dyDescent="0.3">
      <c r="A116" s="4" t="s">
        <v>309</v>
      </c>
      <c r="B116">
        <f t="shared" si="1"/>
        <v>4</v>
      </c>
      <c r="C116" s="2" t="s">
        <v>63</v>
      </c>
      <c r="D116" s="2" t="s">
        <v>256</v>
      </c>
      <c r="E116" s="7">
        <v>125.48</v>
      </c>
      <c r="F116" s="2">
        <v>2</v>
      </c>
      <c r="G116" s="7">
        <v>271.74</v>
      </c>
      <c r="H116" s="2" t="s">
        <v>310</v>
      </c>
      <c r="I116" s="2" t="s">
        <v>15</v>
      </c>
      <c r="J116" s="2" t="s">
        <v>87</v>
      </c>
      <c r="K116" s="2" t="s">
        <v>17</v>
      </c>
      <c r="L116" s="7">
        <f>Table3[[#This Row],[Revenue]]-Table3[[#This Row],[Ad Spend]]</f>
        <v>146.26</v>
      </c>
      <c r="M116" s="11">
        <v>109.47</v>
      </c>
    </row>
    <row r="117" spans="1:13" ht="15.75" customHeight="1" x14ac:dyDescent="0.3">
      <c r="A117" s="4" t="s">
        <v>216</v>
      </c>
      <c r="B117">
        <f t="shared" si="1"/>
        <v>2</v>
      </c>
      <c r="C117" s="2" t="s">
        <v>32</v>
      </c>
      <c r="D117" s="2" t="s">
        <v>311</v>
      </c>
      <c r="E117" s="7">
        <v>121.82</v>
      </c>
      <c r="F117" s="2">
        <v>1</v>
      </c>
      <c r="G117" s="7">
        <v>389.48</v>
      </c>
      <c r="H117" s="2" t="s">
        <v>279</v>
      </c>
      <c r="I117" s="2" t="s">
        <v>29</v>
      </c>
      <c r="J117" s="2" t="s">
        <v>30</v>
      </c>
      <c r="K117" s="2" t="s">
        <v>17</v>
      </c>
      <c r="L117" s="7">
        <f>Table3[[#This Row],[Revenue]]-Table3[[#This Row],[Ad Spend]]</f>
        <v>267.66000000000003</v>
      </c>
      <c r="M117" s="11">
        <v>127.2</v>
      </c>
    </row>
    <row r="118" spans="1:13" ht="15.75" customHeight="1" x14ac:dyDescent="0.3">
      <c r="A118" s="4" t="s">
        <v>312</v>
      </c>
      <c r="B118">
        <f t="shared" si="1"/>
        <v>3</v>
      </c>
      <c r="C118" s="2" t="s">
        <v>19</v>
      </c>
      <c r="D118" s="2" t="s">
        <v>190</v>
      </c>
      <c r="E118" s="7">
        <v>45.84</v>
      </c>
      <c r="F118" s="2">
        <v>6</v>
      </c>
      <c r="G118" s="7">
        <v>316.42</v>
      </c>
      <c r="H118" s="2" t="s">
        <v>313</v>
      </c>
      <c r="I118" s="2" t="s">
        <v>15</v>
      </c>
      <c r="J118" s="2" t="s">
        <v>53</v>
      </c>
      <c r="K118" s="2" t="s">
        <v>17</v>
      </c>
      <c r="L118" s="7">
        <f>Table3[[#This Row],[Revenue]]-Table3[[#This Row],[Ad Spend]]</f>
        <v>270.58000000000004</v>
      </c>
      <c r="M118" s="11">
        <v>120.53</v>
      </c>
    </row>
    <row r="119" spans="1:13" ht="15.75" customHeight="1" x14ac:dyDescent="0.3">
      <c r="A119" s="4" t="s">
        <v>172</v>
      </c>
      <c r="B119">
        <f t="shared" si="1"/>
        <v>2</v>
      </c>
      <c r="C119" s="2" t="s">
        <v>32</v>
      </c>
      <c r="D119" s="2" t="s">
        <v>314</v>
      </c>
      <c r="E119" s="7">
        <v>25.47</v>
      </c>
      <c r="F119" s="2">
        <v>3</v>
      </c>
      <c r="G119" s="7">
        <v>30.32</v>
      </c>
      <c r="H119" s="2" t="s">
        <v>315</v>
      </c>
      <c r="I119" s="2" t="s">
        <v>29</v>
      </c>
      <c r="J119" s="2" t="s">
        <v>25</v>
      </c>
      <c r="K119" s="2" t="s">
        <v>17</v>
      </c>
      <c r="L119" s="7">
        <f>Table3[[#This Row],[Revenue]]-Table3[[#This Row],[Ad Spend]]</f>
        <v>4.8500000000000014</v>
      </c>
      <c r="M119" s="11">
        <v>112.74</v>
      </c>
    </row>
    <row r="120" spans="1:13" ht="15.75" customHeight="1" x14ac:dyDescent="0.3">
      <c r="A120" s="4" t="s">
        <v>84</v>
      </c>
      <c r="B120">
        <f t="shared" si="1"/>
        <v>10</v>
      </c>
      <c r="C120" s="2" t="s">
        <v>19</v>
      </c>
      <c r="D120" s="2" t="s">
        <v>316</v>
      </c>
      <c r="E120" s="7">
        <v>61.85</v>
      </c>
      <c r="F120" s="2">
        <v>5</v>
      </c>
      <c r="G120" s="7">
        <v>223.9</v>
      </c>
      <c r="H120" s="2" t="s">
        <v>317</v>
      </c>
      <c r="I120" s="2" t="s">
        <v>35</v>
      </c>
      <c r="J120" s="2" t="s">
        <v>30</v>
      </c>
      <c r="K120" s="2" t="s">
        <v>17</v>
      </c>
      <c r="L120" s="7">
        <f>Table3[[#This Row],[Revenue]]-Table3[[#This Row],[Ad Spend]]</f>
        <v>162.05000000000001</v>
      </c>
      <c r="M120" s="11">
        <v>156.15</v>
      </c>
    </row>
    <row r="121" spans="1:13" ht="15.75" customHeight="1" x14ac:dyDescent="0.3">
      <c r="A121" s="4" t="s">
        <v>169</v>
      </c>
      <c r="B121">
        <f t="shared" si="1"/>
        <v>2</v>
      </c>
      <c r="C121" s="2" t="s">
        <v>32</v>
      </c>
      <c r="D121" s="2" t="s">
        <v>318</v>
      </c>
      <c r="E121" s="7">
        <v>35.22</v>
      </c>
      <c r="F121" s="2">
        <v>1</v>
      </c>
      <c r="G121" s="7">
        <v>321.73</v>
      </c>
      <c r="H121" s="2" t="s">
        <v>319</v>
      </c>
      <c r="I121" s="2" t="s">
        <v>35</v>
      </c>
      <c r="J121" s="2" t="s">
        <v>16</v>
      </c>
      <c r="K121" s="2" t="s">
        <v>17</v>
      </c>
      <c r="L121" s="7">
        <f>Table3[[#This Row],[Revenue]]-Table3[[#This Row],[Ad Spend]]</f>
        <v>286.51</v>
      </c>
      <c r="M121" s="11">
        <v>151.22</v>
      </c>
    </row>
    <row r="122" spans="1:13" ht="15.75" customHeight="1" x14ac:dyDescent="0.3">
      <c r="A122" s="4" t="s">
        <v>320</v>
      </c>
      <c r="B122">
        <f t="shared" si="1"/>
        <v>4</v>
      </c>
      <c r="C122" s="2" t="s">
        <v>63</v>
      </c>
      <c r="D122" s="2" t="s">
        <v>66</v>
      </c>
      <c r="E122" s="7">
        <v>48.5</v>
      </c>
      <c r="F122" s="2">
        <v>4</v>
      </c>
      <c r="G122" s="7">
        <v>27.87</v>
      </c>
      <c r="H122" s="2" t="s">
        <v>321</v>
      </c>
      <c r="I122" s="2" t="s">
        <v>29</v>
      </c>
      <c r="J122" s="2" t="s">
        <v>30</v>
      </c>
      <c r="K122" s="2" t="s">
        <v>17</v>
      </c>
      <c r="L122" s="7">
        <f>Table3[[#This Row],[Revenue]]-Table3[[#This Row],[Ad Spend]]</f>
        <v>-20.63</v>
      </c>
      <c r="M122" s="11">
        <v>83.18</v>
      </c>
    </row>
    <row r="123" spans="1:13" ht="15.75" customHeight="1" x14ac:dyDescent="0.3">
      <c r="A123" s="4" t="s">
        <v>322</v>
      </c>
      <c r="B123">
        <f t="shared" si="1"/>
        <v>11</v>
      </c>
      <c r="C123" s="2" t="s">
        <v>32</v>
      </c>
      <c r="D123" s="2" t="s">
        <v>323</v>
      </c>
      <c r="E123" s="7">
        <v>139.65</v>
      </c>
      <c r="F123" s="2">
        <v>8</v>
      </c>
      <c r="G123" s="7">
        <v>237.4</v>
      </c>
      <c r="H123" s="2" t="s">
        <v>186</v>
      </c>
      <c r="I123" s="2" t="s">
        <v>35</v>
      </c>
      <c r="J123" s="2" t="s">
        <v>30</v>
      </c>
      <c r="K123" s="2" t="s">
        <v>17</v>
      </c>
      <c r="L123" s="7">
        <f>Table3[[#This Row],[Revenue]]-Table3[[#This Row],[Ad Spend]]</f>
        <v>97.75</v>
      </c>
      <c r="M123" s="11">
        <v>131.88999999999999</v>
      </c>
    </row>
    <row r="124" spans="1:13" ht="15.75" customHeight="1" x14ac:dyDescent="0.3">
      <c r="A124" s="4" t="s">
        <v>324</v>
      </c>
      <c r="B124">
        <f t="shared" si="1"/>
        <v>3</v>
      </c>
      <c r="C124" s="2" t="s">
        <v>32</v>
      </c>
      <c r="D124" s="2" t="s">
        <v>325</v>
      </c>
      <c r="E124" s="7">
        <v>50.02</v>
      </c>
      <c r="F124" s="2">
        <v>8</v>
      </c>
      <c r="G124" s="7">
        <v>461.47</v>
      </c>
      <c r="H124" s="2" t="s">
        <v>326</v>
      </c>
      <c r="I124" s="2" t="s">
        <v>35</v>
      </c>
      <c r="J124" s="2" t="s">
        <v>30</v>
      </c>
      <c r="K124" s="2" t="s">
        <v>17</v>
      </c>
      <c r="L124" s="7">
        <f>Table3[[#This Row],[Revenue]]-Table3[[#This Row],[Ad Spend]]</f>
        <v>411.45000000000005</v>
      </c>
      <c r="M124" s="11">
        <v>153.06</v>
      </c>
    </row>
    <row r="125" spans="1:13" ht="15.75" customHeight="1" x14ac:dyDescent="0.3">
      <c r="A125" s="4" t="s">
        <v>131</v>
      </c>
      <c r="B125">
        <f t="shared" si="1"/>
        <v>11</v>
      </c>
      <c r="C125" s="2" t="s">
        <v>32</v>
      </c>
      <c r="D125" s="2" t="s">
        <v>327</v>
      </c>
      <c r="E125" s="7">
        <v>73.89</v>
      </c>
      <c r="F125" s="2">
        <v>0</v>
      </c>
      <c r="G125" s="7">
        <v>368.57</v>
      </c>
      <c r="H125" s="2" t="s">
        <v>328</v>
      </c>
      <c r="I125" s="2" t="s">
        <v>29</v>
      </c>
      <c r="J125" s="2" t="s">
        <v>87</v>
      </c>
      <c r="K125" s="2" t="s">
        <v>46</v>
      </c>
      <c r="L125" s="7">
        <f>Table3[[#This Row],[Revenue]]-Table3[[#This Row],[Ad Spend]]</f>
        <v>294.68</v>
      </c>
      <c r="M125" s="11">
        <v>134.87</v>
      </c>
    </row>
    <row r="126" spans="1:13" ht="15.75" customHeight="1" x14ac:dyDescent="0.3">
      <c r="A126" s="4" t="s">
        <v>236</v>
      </c>
      <c r="B126">
        <f t="shared" si="1"/>
        <v>4</v>
      </c>
      <c r="C126" s="2" t="s">
        <v>19</v>
      </c>
      <c r="D126" s="2" t="s">
        <v>329</v>
      </c>
      <c r="E126" s="7">
        <v>106.7</v>
      </c>
      <c r="F126" s="2">
        <v>9</v>
      </c>
      <c r="G126" s="7">
        <v>171.15</v>
      </c>
      <c r="H126" s="2" t="s">
        <v>330</v>
      </c>
      <c r="I126" s="2" t="s">
        <v>29</v>
      </c>
      <c r="J126" s="2" t="s">
        <v>53</v>
      </c>
      <c r="K126" s="2" t="s">
        <v>17</v>
      </c>
      <c r="L126" s="7">
        <f>Table3[[#This Row],[Revenue]]-Table3[[#This Row],[Ad Spend]]</f>
        <v>64.45</v>
      </c>
      <c r="M126" s="11">
        <v>127.84</v>
      </c>
    </row>
    <row r="127" spans="1:13" ht="15.75" customHeight="1" x14ac:dyDescent="0.3">
      <c r="A127" s="4" t="s">
        <v>274</v>
      </c>
      <c r="B127">
        <f t="shared" si="1"/>
        <v>12</v>
      </c>
      <c r="C127" s="2" t="s">
        <v>19</v>
      </c>
      <c r="D127" s="2" t="s">
        <v>281</v>
      </c>
      <c r="E127" s="7">
        <v>58.62</v>
      </c>
      <c r="F127" s="2">
        <v>0</v>
      </c>
      <c r="G127" s="7">
        <v>487.48</v>
      </c>
      <c r="H127" s="2" t="s">
        <v>229</v>
      </c>
      <c r="I127" s="2" t="s">
        <v>35</v>
      </c>
      <c r="J127" s="2" t="s">
        <v>30</v>
      </c>
      <c r="K127" s="2" t="s">
        <v>46</v>
      </c>
      <c r="L127" s="7">
        <f>Table3[[#This Row],[Revenue]]-Table3[[#This Row],[Ad Spend]]</f>
        <v>428.86</v>
      </c>
      <c r="M127" s="11">
        <v>94.25</v>
      </c>
    </row>
    <row r="128" spans="1:13" ht="15.75" customHeight="1" x14ac:dyDescent="0.3">
      <c r="A128" s="4" t="s">
        <v>244</v>
      </c>
      <c r="B128">
        <f t="shared" si="1"/>
        <v>2</v>
      </c>
      <c r="C128" s="2" t="s">
        <v>12</v>
      </c>
      <c r="D128" s="2" t="s">
        <v>331</v>
      </c>
      <c r="E128" s="7">
        <v>30.94</v>
      </c>
      <c r="F128" s="2">
        <v>10</v>
      </c>
      <c r="G128" s="7">
        <v>406</v>
      </c>
      <c r="H128" s="2" t="s">
        <v>332</v>
      </c>
      <c r="I128" s="2" t="s">
        <v>35</v>
      </c>
      <c r="J128" s="2" t="s">
        <v>25</v>
      </c>
      <c r="K128" s="2" t="s">
        <v>17</v>
      </c>
      <c r="L128" s="7">
        <f>Table3[[#This Row],[Revenue]]-Table3[[#This Row],[Ad Spend]]</f>
        <v>375.06</v>
      </c>
      <c r="M128" s="11">
        <v>159.52000000000001</v>
      </c>
    </row>
    <row r="129" spans="1:13" ht="15.75" customHeight="1" x14ac:dyDescent="0.3">
      <c r="A129" s="4" t="s">
        <v>208</v>
      </c>
      <c r="B129">
        <f t="shared" si="1"/>
        <v>11</v>
      </c>
      <c r="C129" s="2" t="s">
        <v>19</v>
      </c>
      <c r="D129" s="2" t="s">
        <v>311</v>
      </c>
      <c r="E129" s="7">
        <v>21.2</v>
      </c>
      <c r="F129" s="2">
        <v>0</v>
      </c>
      <c r="G129" s="7">
        <v>240.71</v>
      </c>
      <c r="H129" s="2" t="s">
        <v>333</v>
      </c>
      <c r="I129" s="2" t="s">
        <v>35</v>
      </c>
      <c r="J129" s="2" t="s">
        <v>25</v>
      </c>
      <c r="K129" s="2" t="s">
        <v>46</v>
      </c>
      <c r="L129" s="7">
        <f>Table3[[#This Row],[Revenue]]-Table3[[#This Row],[Ad Spend]]</f>
        <v>219.51000000000002</v>
      </c>
      <c r="M129" s="11">
        <v>118.6</v>
      </c>
    </row>
    <row r="130" spans="1:13" ht="15.75" customHeight="1" x14ac:dyDescent="0.3">
      <c r="A130" s="4" t="s">
        <v>191</v>
      </c>
      <c r="B130">
        <f t="shared" si="1"/>
        <v>11</v>
      </c>
      <c r="C130" s="2" t="s">
        <v>63</v>
      </c>
      <c r="D130" s="2" t="s">
        <v>334</v>
      </c>
      <c r="E130" s="7">
        <v>49.02</v>
      </c>
      <c r="F130" s="2">
        <v>2</v>
      </c>
      <c r="G130" s="7">
        <v>441.04</v>
      </c>
      <c r="H130" s="2" t="s">
        <v>328</v>
      </c>
      <c r="I130" s="2" t="s">
        <v>29</v>
      </c>
      <c r="J130" s="2" t="s">
        <v>25</v>
      </c>
      <c r="K130" s="2" t="s">
        <v>17</v>
      </c>
      <c r="L130" s="7">
        <f>Table3[[#This Row],[Revenue]]-Table3[[#This Row],[Ad Spend]]</f>
        <v>392.02000000000004</v>
      </c>
      <c r="M130" s="11">
        <v>138.06</v>
      </c>
    </row>
    <row r="131" spans="1:13" ht="15.75" customHeight="1" x14ac:dyDescent="0.3">
      <c r="A131" s="4" t="s">
        <v>335</v>
      </c>
      <c r="B131">
        <f t="shared" ref="B131:B194" si="2">MONTH(A131)</f>
        <v>11</v>
      </c>
      <c r="C131" s="2" t="s">
        <v>63</v>
      </c>
      <c r="D131" s="2" t="s">
        <v>336</v>
      </c>
      <c r="E131" s="7">
        <v>9.73</v>
      </c>
      <c r="F131" s="2">
        <v>0</v>
      </c>
      <c r="G131" s="7">
        <v>181.97</v>
      </c>
      <c r="H131" s="2" t="s">
        <v>337</v>
      </c>
      <c r="I131" s="2" t="s">
        <v>15</v>
      </c>
      <c r="J131" s="2" t="s">
        <v>16</v>
      </c>
      <c r="K131" s="2" t="s">
        <v>46</v>
      </c>
      <c r="L131" s="7">
        <f>Table3[[#This Row],[Revenue]]-Table3[[#This Row],[Ad Spend]]</f>
        <v>172.24</v>
      </c>
      <c r="M131" s="11">
        <v>151.44999999999999</v>
      </c>
    </row>
    <row r="132" spans="1:13" ht="15.75" customHeight="1" x14ac:dyDescent="0.3">
      <c r="A132" s="4" t="s">
        <v>338</v>
      </c>
      <c r="B132">
        <f t="shared" si="2"/>
        <v>4</v>
      </c>
      <c r="C132" s="2" t="s">
        <v>63</v>
      </c>
      <c r="D132" s="2" t="s">
        <v>339</v>
      </c>
      <c r="E132" s="7">
        <v>81.95</v>
      </c>
      <c r="F132" s="2">
        <v>1</v>
      </c>
      <c r="G132" s="7">
        <v>200.02</v>
      </c>
      <c r="H132" s="2" t="s">
        <v>301</v>
      </c>
      <c r="I132" s="2" t="s">
        <v>15</v>
      </c>
      <c r="J132" s="2" t="s">
        <v>16</v>
      </c>
      <c r="K132" s="2" t="s">
        <v>17</v>
      </c>
      <c r="L132" s="7">
        <f>Table3[[#This Row],[Revenue]]-Table3[[#This Row],[Ad Spend]]</f>
        <v>118.07000000000001</v>
      </c>
      <c r="M132" s="11">
        <v>151.21</v>
      </c>
    </row>
    <row r="133" spans="1:13" ht="15.75" customHeight="1" x14ac:dyDescent="0.3">
      <c r="A133" s="4" t="s">
        <v>340</v>
      </c>
      <c r="B133">
        <f t="shared" si="2"/>
        <v>11</v>
      </c>
      <c r="C133" s="2" t="s">
        <v>32</v>
      </c>
      <c r="D133" s="2" t="s">
        <v>341</v>
      </c>
      <c r="E133" s="7">
        <v>111.62</v>
      </c>
      <c r="F133" s="2">
        <v>3</v>
      </c>
      <c r="G133" s="7">
        <v>405.9</v>
      </c>
      <c r="H133" s="2" t="s">
        <v>158</v>
      </c>
      <c r="I133" s="2" t="s">
        <v>35</v>
      </c>
      <c r="J133" s="2" t="s">
        <v>25</v>
      </c>
      <c r="K133" s="2" t="s">
        <v>17</v>
      </c>
      <c r="L133" s="7">
        <f>Table3[[#This Row],[Revenue]]-Table3[[#This Row],[Ad Spend]]</f>
        <v>294.27999999999997</v>
      </c>
      <c r="M133" s="11">
        <v>124.89</v>
      </c>
    </row>
    <row r="134" spans="1:13" ht="15.75" customHeight="1" x14ac:dyDescent="0.3">
      <c r="A134" s="4" t="s">
        <v>342</v>
      </c>
      <c r="B134">
        <f t="shared" si="2"/>
        <v>3</v>
      </c>
      <c r="C134" s="2" t="s">
        <v>12</v>
      </c>
      <c r="D134" s="2" t="s">
        <v>343</v>
      </c>
      <c r="E134" s="7">
        <v>41.81</v>
      </c>
      <c r="F134" s="2">
        <v>8</v>
      </c>
      <c r="G134" s="7">
        <v>187.26</v>
      </c>
      <c r="H134" s="2" t="s">
        <v>310</v>
      </c>
      <c r="I134" s="2" t="s">
        <v>29</v>
      </c>
      <c r="J134" s="2" t="s">
        <v>30</v>
      </c>
      <c r="K134" s="2" t="s">
        <v>17</v>
      </c>
      <c r="L134" s="7">
        <f>Table3[[#This Row],[Revenue]]-Table3[[#This Row],[Ad Spend]]</f>
        <v>145.44999999999999</v>
      </c>
      <c r="M134" s="11">
        <v>100.43</v>
      </c>
    </row>
    <row r="135" spans="1:13" ht="15.75" customHeight="1" x14ac:dyDescent="0.3">
      <c r="A135" s="4" t="s">
        <v>76</v>
      </c>
      <c r="B135">
        <f t="shared" si="2"/>
        <v>1</v>
      </c>
      <c r="C135" s="2" t="s">
        <v>19</v>
      </c>
      <c r="D135" s="2" t="s">
        <v>344</v>
      </c>
      <c r="E135" s="7">
        <v>66.94</v>
      </c>
      <c r="F135" s="2">
        <v>2</v>
      </c>
      <c r="G135" s="7">
        <v>100.56</v>
      </c>
      <c r="H135" s="2" t="s">
        <v>345</v>
      </c>
      <c r="I135" s="2" t="s">
        <v>29</v>
      </c>
      <c r="J135" s="2" t="s">
        <v>87</v>
      </c>
      <c r="K135" s="2" t="s">
        <v>17</v>
      </c>
      <c r="L135" s="7">
        <f>Table3[[#This Row],[Revenue]]-Table3[[#This Row],[Ad Spend]]</f>
        <v>33.620000000000005</v>
      </c>
      <c r="M135" s="11">
        <v>79.59</v>
      </c>
    </row>
    <row r="136" spans="1:13" ht="15.75" customHeight="1" x14ac:dyDescent="0.3">
      <c r="A136" s="4" t="s">
        <v>236</v>
      </c>
      <c r="B136">
        <f t="shared" si="2"/>
        <v>4</v>
      </c>
      <c r="C136" s="2" t="s">
        <v>32</v>
      </c>
      <c r="D136" s="2" t="s">
        <v>346</v>
      </c>
      <c r="E136" s="7">
        <v>47.95</v>
      </c>
      <c r="F136" s="2">
        <v>1</v>
      </c>
      <c r="G136" s="7">
        <v>402.52</v>
      </c>
      <c r="H136" s="2" t="s">
        <v>78</v>
      </c>
      <c r="I136" s="2" t="s">
        <v>29</v>
      </c>
      <c r="J136" s="2" t="s">
        <v>30</v>
      </c>
      <c r="K136" s="2" t="s">
        <v>17</v>
      </c>
      <c r="L136" s="7">
        <f>Table3[[#This Row],[Revenue]]-Table3[[#This Row],[Ad Spend]]</f>
        <v>354.57</v>
      </c>
      <c r="M136" s="11">
        <v>150.94999999999999</v>
      </c>
    </row>
    <row r="137" spans="1:13" ht="15.75" customHeight="1" x14ac:dyDescent="0.3">
      <c r="A137" s="4" t="s">
        <v>115</v>
      </c>
      <c r="B137">
        <f t="shared" si="2"/>
        <v>2</v>
      </c>
      <c r="C137" s="2" t="s">
        <v>63</v>
      </c>
      <c r="D137" s="2" t="s">
        <v>55</v>
      </c>
      <c r="E137" s="7">
        <v>36.22</v>
      </c>
      <c r="F137" s="2">
        <v>6</v>
      </c>
      <c r="G137" s="7">
        <v>217.13</v>
      </c>
      <c r="H137" s="2" t="s">
        <v>347</v>
      </c>
      <c r="I137" s="2" t="s">
        <v>29</v>
      </c>
      <c r="J137" s="2" t="s">
        <v>16</v>
      </c>
      <c r="K137" s="2" t="s">
        <v>17</v>
      </c>
      <c r="L137" s="7">
        <f>Table3[[#This Row],[Revenue]]-Table3[[#This Row],[Ad Spend]]</f>
        <v>180.91</v>
      </c>
      <c r="M137" s="11">
        <v>129.69</v>
      </c>
    </row>
    <row r="138" spans="1:13" ht="15.75" customHeight="1" x14ac:dyDescent="0.3">
      <c r="A138" s="4" t="s">
        <v>340</v>
      </c>
      <c r="B138">
        <f t="shared" si="2"/>
        <v>11</v>
      </c>
      <c r="C138" s="2" t="s">
        <v>63</v>
      </c>
      <c r="D138" s="2" t="s">
        <v>348</v>
      </c>
      <c r="E138" s="7">
        <v>144.63</v>
      </c>
      <c r="F138" s="2">
        <v>9</v>
      </c>
      <c r="G138" s="7">
        <v>405.95</v>
      </c>
      <c r="H138" s="2" t="s">
        <v>349</v>
      </c>
      <c r="I138" s="2" t="s">
        <v>35</v>
      </c>
      <c r="J138" s="2" t="s">
        <v>25</v>
      </c>
      <c r="K138" s="2" t="s">
        <v>17</v>
      </c>
      <c r="L138" s="7">
        <f>Table3[[#This Row],[Revenue]]-Table3[[#This Row],[Ad Spend]]</f>
        <v>261.32</v>
      </c>
      <c r="M138" s="11">
        <v>186.11</v>
      </c>
    </row>
    <row r="139" spans="1:13" ht="15.75" customHeight="1" x14ac:dyDescent="0.3">
      <c r="A139" s="4" t="s">
        <v>178</v>
      </c>
      <c r="B139">
        <f t="shared" si="2"/>
        <v>12</v>
      </c>
      <c r="C139" s="2" t="s">
        <v>19</v>
      </c>
      <c r="D139" s="2" t="s">
        <v>350</v>
      </c>
      <c r="E139" s="7">
        <v>54.69</v>
      </c>
      <c r="F139" s="2">
        <v>4</v>
      </c>
      <c r="G139" s="7">
        <v>410.63</v>
      </c>
      <c r="H139" s="2" t="s">
        <v>65</v>
      </c>
      <c r="I139" s="2" t="s">
        <v>35</v>
      </c>
      <c r="J139" s="2" t="s">
        <v>16</v>
      </c>
      <c r="K139" s="2" t="s">
        <v>17</v>
      </c>
      <c r="L139" s="7">
        <f>Table3[[#This Row],[Revenue]]-Table3[[#This Row],[Ad Spend]]</f>
        <v>355.94</v>
      </c>
      <c r="M139" s="11">
        <v>124.35</v>
      </c>
    </row>
    <row r="140" spans="1:13" ht="15.75" customHeight="1" x14ac:dyDescent="0.3">
      <c r="A140" s="4" t="s">
        <v>351</v>
      </c>
      <c r="B140">
        <f t="shared" si="2"/>
        <v>4</v>
      </c>
      <c r="C140" s="2" t="s">
        <v>32</v>
      </c>
      <c r="D140" s="2" t="s">
        <v>352</v>
      </c>
      <c r="E140" s="7">
        <v>109.66</v>
      </c>
      <c r="F140" s="2">
        <v>8</v>
      </c>
      <c r="G140" s="7">
        <v>412.68</v>
      </c>
      <c r="H140" s="2" t="s">
        <v>101</v>
      </c>
      <c r="I140" s="2" t="s">
        <v>15</v>
      </c>
      <c r="J140" s="2" t="s">
        <v>16</v>
      </c>
      <c r="K140" s="2" t="s">
        <v>17</v>
      </c>
      <c r="L140" s="7">
        <f>Table3[[#This Row],[Revenue]]-Table3[[#This Row],[Ad Spend]]</f>
        <v>303.02</v>
      </c>
      <c r="M140" s="11">
        <v>125.97</v>
      </c>
    </row>
    <row r="141" spans="1:13" ht="15.75" customHeight="1" x14ac:dyDescent="0.3">
      <c r="A141" s="4" t="s">
        <v>353</v>
      </c>
      <c r="B141">
        <f t="shared" si="2"/>
        <v>1</v>
      </c>
      <c r="C141" s="2" t="s">
        <v>12</v>
      </c>
      <c r="D141" s="2" t="s">
        <v>354</v>
      </c>
      <c r="E141" s="7">
        <v>140.85</v>
      </c>
      <c r="F141" s="2">
        <v>7</v>
      </c>
      <c r="G141" s="7">
        <v>258.64999999999998</v>
      </c>
      <c r="H141" s="2" t="s">
        <v>355</v>
      </c>
      <c r="I141" s="2" t="s">
        <v>29</v>
      </c>
      <c r="J141" s="2" t="s">
        <v>87</v>
      </c>
      <c r="K141" s="2" t="s">
        <v>17</v>
      </c>
      <c r="L141" s="7">
        <f>Table3[[#This Row],[Revenue]]-Table3[[#This Row],[Ad Spend]]</f>
        <v>117.79999999999998</v>
      </c>
      <c r="M141" s="11">
        <v>133.58000000000001</v>
      </c>
    </row>
    <row r="142" spans="1:13" ht="15.75" customHeight="1" x14ac:dyDescent="0.3">
      <c r="A142" s="4" t="s">
        <v>356</v>
      </c>
      <c r="B142">
        <f t="shared" si="2"/>
        <v>3</v>
      </c>
      <c r="C142" s="2" t="s">
        <v>19</v>
      </c>
      <c r="D142" s="2" t="s">
        <v>357</v>
      </c>
      <c r="E142" s="7">
        <v>49.22</v>
      </c>
      <c r="F142" s="2">
        <v>4</v>
      </c>
      <c r="G142" s="7">
        <v>326.75</v>
      </c>
      <c r="H142" s="2" t="s">
        <v>301</v>
      </c>
      <c r="I142" s="2" t="s">
        <v>29</v>
      </c>
      <c r="J142" s="2" t="s">
        <v>87</v>
      </c>
      <c r="K142" s="2" t="s">
        <v>17</v>
      </c>
      <c r="L142" s="7">
        <f>Table3[[#This Row],[Revenue]]-Table3[[#This Row],[Ad Spend]]</f>
        <v>277.52999999999997</v>
      </c>
      <c r="M142" s="11">
        <v>148.33000000000001</v>
      </c>
    </row>
    <row r="143" spans="1:13" ht="15.75" customHeight="1" x14ac:dyDescent="0.3">
      <c r="A143" s="4" t="s">
        <v>79</v>
      </c>
      <c r="B143">
        <f t="shared" si="2"/>
        <v>11</v>
      </c>
      <c r="C143" s="2" t="s">
        <v>19</v>
      </c>
      <c r="D143" s="2" t="s">
        <v>358</v>
      </c>
      <c r="E143" s="7">
        <v>82.56</v>
      </c>
      <c r="F143" s="2">
        <v>3</v>
      </c>
      <c r="G143" s="7">
        <v>205.52</v>
      </c>
      <c r="H143" s="2" t="s">
        <v>359</v>
      </c>
      <c r="I143" s="2" t="s">
        <v>35</v>
      </c>
      <c r="J143" s="2" t="s">
        <v>30</v>
      </c>
      <c r="K143" s="2" t="s">
        <v>17</v>
      </c>
      <c r="L143" s="7">
        <f>Table3[[#This Row],[Revenue]]-Table3[[#This Row],[Ad Spend]]</f>
        <v>122.96000000000001</v>
      </c>
      <c r="M143" s="11">
        <v>141.49</v>
      </c>
    </row>
    <row r="144" spans="1:13" ht="15.75" customHeight="1" x14ac:dyDescent="0.3">
      <c r="A144" s="4" t="s">
        <v>360</v>
      </c>
      <c r="B144">
        <f t="shared" si="2"/>
        <v>1</v>
      </c>
      <c r="C144" s="2" t="s">
        <v>12</v>
      </c>
      <c r="D144" s="2" t="s">
        <v>361</v>
      </c>
      <c r="E144" s="7">
        <v>66.44</v>
      </c>
      <c r="F144" s="2">
        <v>10</v>
      </c>
      <c r="G144" s="7">
        <v>206.93</v>
      </c>
      <c r="H144" s="2" t="s">
        <v>362</v>
      </c>
      <c r="I144" s="2" t="s">
        <v>29</v>
      </c>
      <c r="J144" s="2" t="s">
        <v>30</v>
      </c>
      <c r="K144" s="2" t="s">
        <v>17</v>
      </c>
      <c r="L144" s="7">
        <f>Table3[[#This Row],[Revenue]]-Table3[[#This Row],[Ad Spend]]</f>
        <v>140.49</v>
      </c>
      <c r="M144" s="11">
        <v>110.07</v>
      </c>
    </row>
    <row r="145" spans="1:13" ht="15.75" customHeight="1" x14ac:dyDescent="0.3">
      <c r="A145" s="4" t="s">
        <v>115</v>
      </c>
      <c r="B145">
        <f t="shared" si="2"/>
        <v>2</v>
      </c>
      <c r="C145" s="2" t="s">
        <v>63</v>
      </c>
      <c r="D145" s="2" t="s">
        <v>363</v>
      </c>
      <c r="E145" s="7">
        <v>121.46</v>
      </c>
      <c r="F145" s="2">
        <v>0</v>
      </c>
      <c r="G145" s="7">
        <v>280.08999999999997</v>
      </c>
      <c r="H145" s="2" t="s">
        <v>364</v>
      </c>
      <c r="I145" s="2" t="s">
        <v>29</v>
      </c>
      <c r="J145" s="2" t="s">
        <v>30</v>
      </c>
      <c r="K145" s="2" t="s">
        <v>46</v>
      </c>
      <c r="L145" s="7">
        <f>Table3[[#This Row],[Revenue]]-Table3[[#This Row],[Ad Spend]]</f>
        <v>158.63</v>
      </c>
      <c r="M145" s="11">
        <v>124.35</v>
      </c>
    </row>
    <row r="146" spans="1:13" ht="15.75" customHeight="1" x14ac:dyDescent="0.3">
      <c r="A146" s="4" t="s">
        <v>365</v>
      </c>
      <c r="B146">
        <f t="shared" si="2"/>
        <v>11</v>
      </c>
      <c r="C146" s="2" t="s">
        <v>19</v>
      </c>
      <c r="D146" s="2" t="s">
        <v>366</v>
      </c>
      <c r="E146" s="7">
        <v>25.7</v>
      </c>
      <c r="F146" s="2">
        <v>2</v>
      </c>
      <c r="G146" s="7">
        <v>393.2</v>
      </c>
      <c r="H146" s="2" t="s">
        <v>367</v>
      </c>
      <c r="I146" s="2" t="s">
        <v>35</v>
      </c>
      <c r="J146" s="2" t="s">
        <v>30</v>
      </c>
      <c r="K146" s="2" t="s">
        <v>17</v>
      </c>
      <c r="L146" s="7">
        <f>Table3[[#This Row],[Revenue]]-Table3[[#This Row],[Ad Spend]]</f>
        <v>367.5</v>
      </c>
      <c r="M146" s="11">
        <v>159.58000000000001</v>
      </c>
    </row>
    <row r="147" spans="1:13" ht="15.75" customHeight="1" x14ac:dyDescent="0.3">
      <c r="A147" s="4" t="s">
        <v>368</v>
      </c>
      <c r="B147">
        <f t="shared" si="2"/>
        <v>3</v>
      </c>
      <c r="C147" s="2" t="s">
        <v>12</v>
      </c>
      <c r="D147" s="2" t="s">
        <v>369</v>
      </c>
      <c r="E147" s="7">
        <v>40.11</v>
      </c>
      <c r="F147" s="2">
        <v>8</v>
      </c>
      <c r="G147" s="7">
        <v>59.07</v>
      </c>
      <c r="H147" s="2" t="s">
        <v>370</v>
      </c>
      <c r="I147" s="2" t="s">
        <v>15</v>
      </c>
      <c r="J147" s="2" t="s">
        <v>30</v>
      </c>
      <c r="K147" s="2" t="s">
        <v>17</v>
      </c>
      <c r="L147" s="7">
        <f>Table3[[#This Row],[Revenue]]-Table3[[#This Row],[Ad Spend]]</f>
        <v>18.96</v>
      </c>
      <c r="M147" s="11">
        <v>102.39</v>
      </c>
    </row>
    <row r="148" spans="1:13" ht="15.75" customHeight="1" x14ac:dyDescent="0.3">
      <c r="A148" s="4" t="s">
        <v>110</v>
      </c>
      <c r="B148">
        <f t="shared" si="2"/>
        <v>4</v>
      </c>
      <c r="C148" s="2" t="s">
        <v>19</v>
      </c>
      <c r="D148" s="2" t="s">
        <v>371</v>
      </c>
      <c r="E148" s="7">
        <v>117.69</v>
      </c>
      <c r="F148" s="2">
        <v>5</v>
      </c>
      <c r="G148" s="7">
        <v>191.01</v>
      </c>
      <c r="H148" s="2" t="s">
        <v>372</v>
      </c>
      <c r="I148" s="2" t="s">
        <v>29</v>
      </c>
      <c r="J148" s="2" t="s">
        <v>30</v>
      </c>
      <c r="K148" s="2" t="s">
        <v>17</v>
      </c>
      <c r="L148" s="7">
        <f>Table3[[#This Row],[Revenue]]-Table3[[#This Row],[Ad Spend]]</f>
        <v>73.319999999999993</v>
      </c>
      <c r="M148" s="11">
        <v>115.16</v>
      </c>
    </row>
    <row r="149" spans="1:13" ht="15.75" customHeight="1" x14ac:dyDescent="0.3">
      <c r="A149" s="4" t="s">
        <v>84</v>
      </c>
      <c r="B149">
        <f t="shared" si="2"/>
        <v>10</v>
      </c>
      <c r="C149" s="2" t="s">
        <v>32</v>
      </c>
      <c r="D149" s="2" t="s">
        <v>373</v>
      </c>
      <c r="E149" s="7">
        <v>104.48</v>
      </c>
      <c r="F149" s="2">
        <v>4</v>
      </c>
      <c r="G149" s="7">
        <v>58.41</v>
      </c>
      <c r="H149" s="2" t="s">
        <v>374</v>
      </c>
      <c r="I149" s="2" t="s">
        <v>35</v>
      </c>
      <c r="J149" s="2" t="s">
        <v>87</v>
      </c>
      <c r="K149" s="2" t="s">
        <v>17</v>
      </c>
      <c r="L149" s="7">
        <f>Table3[[#This Row],[Revenue]]-Table3[[#This Row],[Ad Spend]]</f>
        <v>-46.070000000000007</v>
      </c>
      <c r="M149" s="11">
        <v>128.09</v>
      </c>
    </row>
    <row r="150" spans="1:13" ht="15.75" customHeight="1" x14ac:dyDescent="0.3">
      <c r="A150" s="4" t="s">
        <v>71</v>
      </c>
      <c r="B150">
        <f t="shared" si="2"/>
        <v>12</v>
      </c>
      <c r="C150" s="2" t="s">
        <v>19</v>
      </c>
      <c r="D150" s="2" t="s">
        <v>375</v>
      </c>
      <c r="E150" s="7">
        <v>139.61000000000001</v>
      </c>
      <c r="F150" s="2">
        <v>6</v>
      </c>
      <c r="G150" s="7">
        <v>496.92</v>
      </c>
      <c r="H150" s="2" t="s">
        <v>249</v>
      </c>
      <c r="I150" s="2" t="s">
        <v>15</v>
      </c>
      <c r="J150" s="2" t="s">
        <v>87</v>
      </c>
      <c r="K150" s="2" t="s">
        <v>17</v>
      </c>
      <c r="L150" s="7">
        <f>Table3[[#This Row],[Revenue]]-Table3[[#This Row],[Ad Spend]]</f>
        <v>357.31</v>
      </c>
      <c r="M150" s="11">
        <v>113.22</v>
      </c>
    </row>
    <row r="151" spans="1:13" ht="15.75" customHeight="1" x14ac:dyDescent="0.3">
      <c r="A151" s="4" t="s">
        <v>376</v>
      </c>
      <c r="B151">
        <f t="shared" si="2"/>
        <v>4</v>
      </c>
      <c r="C151" s="2" t="s">
        <v>19</v>
      </c>
      <c r="D151" s="2" t="s">
        <v>377</v>
      </c>
      <c r="E151" s="7">
        <v>148.52000000000001</v>
      </c>
      <c r="F151" s="2">
        <v>7</v>
      </c>
      <c r="G151" s="7">
        <v>52.59</v>
      </c>
      <c r="H151" s="2" t="s">
        <v>52</v>
      </c>
      <c r="I151" s="2" t="s">
        <v>29</v>
      </c>
      <c r="J151" s="2" t="s">
        <v>30</v>
      </c>
      <c r="K151" s="2" t="s">
        <v>17</v>
      </c>
      <c r="L151" s="7">
        <f>Table3[[#This Row],[Revenue]]-Table3[[#This Row],[Ad Spend]]</f>
        <v>-95.93</v>
      </c>
      <c r="M151" s="11">
        <v>127.77</v>
      </c>
    </row>
    <row r="152" spans="1:13" ht="15.75" customHeight="1" x14ac:dyDescent="0.3">
      <c r="A152" s="4" t="s">
        <v>191</v>
      </c>
      <c r="B152">
        <f t="shared" si="2"/>
        <v>11</v>
      </c>
      <c r="C152" s="2" t="s">
        <v>12</v>
      </c>
      <c r="D152" s="2" t="s">
        <v>259</v>
      </c>
      <c r="E152" s="7">
        <v>114.49</v>
      </c>
      <c r="F152" s="2">
        <v>6</v>
      </c>
      <c r="G152" s="7">
        <v>425.03</v>
      </c>
      <c r="H152" s="2" t="s">
        <v>219</v>
      </c>
      <c r="I152" s="2" t="s">
        <v>35</v>
      </c>
      <c r="J152" s="2" t="s">
        <v>25</v>
      </c>
      <c r="K152" s="2" t="s">
        <v>17</v>
      </c>
      <c r="L152" s="7">
        <f>Table3[[#This Row],[Revenue]]-Table3[[#This Row],[Ad Spend]]</f>
        <v>310.53999999999996</v>
      </c>
      <c r="M152" s="11">
        <v>150.63</v>
      </c>
    </row>
    <row r="153" spans="1:13" ht="15.75" customHeight="1" x14ac:dyDescent="0.3">
      <c r="A153" s="4" t="s">
        <v>126</v>
      </c>
      <c r="B153">
        <f t="shared" si="2"/>
        <v>11</v>
      </c>
      <c r="C153" s="2" t="s">
        <v>12</v>
      </c>
      <c r="D153" s="2" t="s">
        <v>378</v>
      </c>
      <c r="E153" s="7">
        <v>33.840000000000003</v>
      </c>
      <c r="F153" s="2">
        <v>9</v>
      </c>
      <c r="G153" s="7">
        <v>257.29000000000002</v>
      </c>
      <c r="H153" s="2" t="s">
        <v>379</v>
      </c>
      <c r="I153" s="2" t="s">
        <v>35</v>
      </c>
      <c r="J153" s="2" t="s">
        <v>25</v>
      </c>
      <c r="K153" s="2" t="s">
        <v>17</v>
      </c>
      <c r="L153" s="7">
        <f>Table3[[#This Row],[Revenue]]-Table3[[#This Row],[Ad Spend]]</f>
        <v>223.45000000000002</v>
      </c>
      <c r="M153" s="11">
        <v>122.44</v>
      </c>
    </row>
    <row r="154" spans="1:13" ht="15.75" customHeight="1" x14ac:dyDescent="0.3">
      <c r="A154" s="4" t="s">
        <v>380</v>
      </c>
      <c r="B154">
        <f t="shared" si="2"/>
        <v>2</v>
      </c>
      <c r="C154" s="2" t="s">
        <v>19</v>
      </c>
      <c r="D154" s="2" t="s">
        <v>381</v>
      </c>
      <c r="E154" s="7">
        <v>79.81</v>
      </c>
      <c r="F154" s="2">
        <v>5</v>
      </c>
      <c r="G154" s="7">
        <v>491.42</v>
      </c>
      <c r="H154" s="2" t="s">
        <v>28</v>
      </c>
      <c r="I154" s="2" t="s">
        <v>35</v>
      </c>
      <c r="J154" s="2" t="s">
        <v>25</v>
      </c>
      <c r="K154" s="2" t="s">
        <v>17</v>
      </c>
      <c r="L154" s="7">
        <f>Table3[[#This Row],[Revenue]]-Table3[[#This Row],[Ad Spend]]</f>
        <v>411.61</v>
      </c>
      <c r="M154" s="11">
        <v>141.51</v>
      </c>
    </row>
    <row r="155" spans="1:13" ht="15.75" customHeight="1" x14ac:dyDescent="0.3">
      <c r="A155" s="4" t="s">
        <v>79</v>
      </c>
      <c r="B155">
        <f t="shared" si="2"/>
        <v>11</v>
      </c>
      <c r="C155" s="2" t="s">
        <v>12</v>
      </c>
      <c r="D155" s="2" t="s">
        <v>382</v>
      </c>
      <c r="E155" s="7">
        <v>27.33</v>
      </c>
      <c r="F155" s="2">
        <v>9</v>
      </c>
      <c r="G155" s="7">
        <v>436.97</v>
      </c>
      <c r="H155" s="2" t="s">
        <v>225</v>
      </c>
      <c r="I155" s="2" t="s">
        <v>35</v>
      </c>
      <c r="J155" s="2" t="s">
        <v>87</v>
      </c>
      <c r="K155" s="2" t="s">
        <v>17</v>
      </c>
      <c r="L155" s="7">
        <f>Table3[[#This Row],[Revenue]]-Table3[[#This Row],[Ad Spend]]</f>
        <v>409.64000000000004</v>
      </c>
      <c r="M155" s="11">
        <v>127.46</v>
      </c>
    </row>
    <row r="156" spans="1:13" ht="15.75" customHeight="1" x14ac:dyDescent="0.3">
      <c r="A156" s="4" t="s">
        <v>383</v>
      </c>
      <c r="B156">
        <f t="shared" si="2"/>
        <v>12</v>
      </c>
      <c r="C156" s="2" t="s">
        <v>63</v>
      </c>
      <c r="D156" s="2" t="s">
        <v>384</v>
      </c>
      <c r="E156" s="7">
        <v>19.489999999999998</v>
      </c>
      <c r="F156" s="2">
        <v>1</v>
      </c>
      <c r="G156" s="7">
        <v>292.18</v>
      </c>
      <c r="H156" s="2" t="s">
        <v>279</v>
      </c>
      <c r="I156" s="2" t="s">
        <v>35</v>
      </c>
      <c r="J156" s="2" t="s">
        <v>30</v>
      </c>
      <c r="K156" s="2" t="s">
        <v>17</v>
      </c>
      <c r="L156" s="7">
        <f>Table3[[#This Row],[Revenue]]-Table3[[#This Row],[Ad Spend]]</f>
        <v>272.69</v>
      </c>
      <c r="M156" s="11">
        <v>133.18</v>
      </c>
    </row>
    <row r="157" spans="1:13" ht="15.75" customHeight="1" x14ac:dyDescent="0.3">
      <c r="A157" s="4" t="s">
        <v>26</v>
      </c>
      <c r="B157">
        <f t="shared" si="2"/>
        <v>12</v>
      </c>
      <c r="C157" s="2" t="s">
        <v>19</v>
      </c>
      <c r="D157" s="2" t="s">
        <v>385</v>
      </c>
      <c r="E157" s="7">
        <v>24</v>
      </c>
      <c r="F157" s="2">
        <v>7</v>
      </c>
      <c r="G157" s="7">
        <v>218.68</v>
      </c>
      <c r="H157" s="2" t="s">
        <v>386</v>
      </c>
      <c r="I157" s="2" t="s">
        <v>29</v>
      </c>
      <c r="J157" s="2" t="s">
        <v>16</v>
      </c>
      <c r="K157" s="2" t="s">
        <v>17</v>
      </c>
      <c r="L157" s="7">
        <f>Table3[[#This Row],[Revenue]]-Table3[[#This Row],[Ad Spend]]</f>
        <v>194.68</v>
      </c>
      <c r="M157" s="11">
        <v>156.28</v>
      </c>
    </row>
    <row r="158" spans="1:13" ht="15.75" customHeight="1" x14ac:dyDescent="0.3">
      <c r="A158" s="4" t="s">
        <v>387</v>
      </c>
      <c r="B158">
        <f t="shared" si="2"/>
        <v>2</v>
      </c>
      <c r="C158" s="2" t="s">
        <v>32</v>
      </c>
      <c r="D158" s="2" t="s">
        <v>388</v>
      </c>
      <c r="E158" s="7">
        <v>112.63</v>
      </c>
      <c r="F158" s="2">
        <v>8</v>
      </c>
      <c r="G158" s="7">
        <v>118.91</v>
      </c>
      <c r="H158" s="2" t="s">
        <v>389</v>
      </c>
      <c r="I158" s="2" t="s">
        <v>35</v>
      </c>
      <c r="J158" s="2" t="s">
        <v>36</v>
      </c>
      <c r="K158" s="2" t="s">
        <v>17</v>
      </c>
      <c r="L158" s="7">
        <f>Table3[[#This Row],[Revenue]]-Table3[[#This Row],[Ad Spend]]</f>
        <v>6.2800000000000011</v>
      </c>
      <c r="M158" s="11">
        <v>115.73</v>
      </c>
    </row>
    <row r="159" spans="1:13" ht="15.75" customHeight="1" x14ac:dyDescent="0.3">
      <c r="A159" s="4" t="s">
        <v>108</v>
      </c>
      <c r="B159">
        <f t="shared" si="2"/>
        <v>3</v>
      </c>
      <c r="C159" s="2" t="s">
        <v>19</v>
      </c>
      <c r="D159" s="2" t="s">
        <v>390</v>
      </c>
      <c r="E159" s="7">
        <v>125.75</v>
      </c>
      <c r="F159" s="2">
        <v>4</v>
      </c>
      <c r="G159" s="7">
        <v>297.5</v>
      </c>
      <c r="H159" s="2" t="s">
        <v>391</v>
      </c>
      <c r="I159" s="2" t="s">
        <v>29</v>
      </c>
      <c r="J159" s="2" t="s">
        <v>16</v>
      </c>
      <c r="K159" s="2" t="s">
        <v>17</v>
      </c>
      <c r="L159" s="7">
        <f>Table3[[#This Row],[Revenue]]-Table3[[#This Row],[Ad Spend]]</f>
        <v>171.75</v>
      </c>
      <c r="M159" s="11">
        <v>91.91</v>
      </c>
    </row>
    <row r="160" spans="1:13" ht="15.75" customHeight="1" x14ac:dyDescent="0.3">
      <c r="A160" s="4" t="s">
        <v>392</v>
      </c>
      <c r="B160">
        <f t="shared" si="2"/>
        <v>1</v>
      </c>
      <c r="C160" s="2" t="s">
        <v>32</v>
      </c>
      <c r="D160" s="2" t="s">
        <v>393</v>
      </c>
      <c r="E160" s="7">
        <v>102.47</v>
      </c>
      <c r="F160" s="2">
        <v>6</v>
      </c>
      <c r="G160" s="7">
        <v>382.06</v>
      </c>
      <c r="H160" s="2" t="s">
        <v>394</v>
      </c>
      <c r="I160" s="2" t="s">
        <v>29</v>
      </c>
      <c r="J160" s="2" t="s">
        <v>36</v>
      </c>
      <c r="K160" s="2" t="s">
        <v>17</v>
      </c>
      <c r="L160" s="7">
        <f>Table3[[#This Row],[Revenue]]-Table3[[#This Row],[Ad Spend]]</f>
        <v>279.59000000000003</v>
      </c>
      <c r="M160" s="11">
        <v>126.67</v>
      </c>
    </row>
    <row r="161" spans="1:13" ht="15.75" customHeight="1" x14ac:dyDescent="0.3">
      <c r="A161" s="4" t="s">
        <v>236</v>
      </c>
      <c r="B161">
        <f t="shared" si="2"/>
        <v>4</v>
      </c>
      <c r="C161" s="2" t="s">
        <v>32</v>
      </c>
      <c r="D161" s="2" t="s">
        <v>377</v>
      </c>
      <c r="E161" s="7">
        <v>119.93</v>
      </c>
      <c r="F161" s="2">
        <v>4</v>
      </c>
      <c r="G161" s="7">
        <v>100.7</v>
      </c>
      <c r="H161" s="2" t="s">
        <v>395</v>
      </c>
      <c r="I161" s="2" t="s">
        <v>15</v>
      </c>
      <c r="J161" s="2" t="s">
        <v>25</v>
      </c>
      <c r="K161" s="2" t="s">
        <v>17</v>
      </c>
      <c r="L161" s="7">
        <f>Table3[[#This Row],[Revenue]]-Table3[[#This Row],[Ad Spend]]</f>
        <v>-19.230000000000004</v>
      </c>
      <c r="M161" s="11">
        <v>144.44</v>
      </c>
    </row>
    <row r="162" spans="1:13" ht="15.75" customHeight="1" x14ac:dyDescent="0.3">
      <c r="A162" s="4" t="s">
        <v>250</v>
      </c>
      <c r="B162">
        <f t="shared" si="2"/>
        <v>12</v>
      </c>
      <c r="C162" s="2" t="s">
        <v>63</v>
      </c>
      <c r="D162" s="2" t="s">
        <v>396</v>
      </c>
      <c r="E162" s="7">
        <v>85.68</v>
      </c>
      <c r="F162" s="2">
        <v>2</v>
      </c>
      <c r="G162" s="7">
        <v>294.74</v>
      </c>
      <c r="H162" s="2" t="s">
        <v>397</v>
      </c>
      <c r="I162" s="2" t="s">
        <v>35</v>
      </c>
      <c r="J162" s="2" t="s">
        <v>30</v>
      </c>
      <c r="K162" s="2" t="s">
        <v>17</v>
      </c>
      <c r="L162" s="7">
        <f>Table3[[#This Row],[Revenue]]-Table3[[#This Row],[Ad Spend]]</f>
        <v>209.06</v>
      </c>
      <c r="M162" s="11">
        <v>146.82</v>
      </c>
    </row>
    <row r="163" spans="1:13" ht="15.75" customHeight="1" x14ac:dyDescent="0.3">
      <c r="A163" s="4" t="s">
        <v>387</v>
      </c>
      <c r="B163">
        <f t="shared" si="2"/>
        <v>2</v>
      </c>
      <c r="C163" s="2" t="s">
        <v>32</v>
      </c>
      <c r="D163" s="2" t="s">
        <v>398</v>
      </c>
      <c r="E163" s="7">
        <v>142.12</v>
      </c>
      <c r="F163" s="2">
        <v>9</v>
      </c>
      <c r="G163" s="7">
        <v>91.03</v>
      </c>
      <c r="H163" s="2" t="s">
        <v>104</v>
      </c>
      <c r="I163" s="2" t="s">
        <v>29</v>
      </c>
      <c r="J163" s="2" t="s">
        <v>30</v>
      </c>
      <c r="K163" s="2" t="s">
        <v>17</v>
      </c>
      <c r="L163" s="7">
        <f>Table3[[#This Row],[Revenue]]-Table3[[#This Row],[Ad Spend]]</f>
        <v>-51.09</v>
      </c>
      <c r="M163" s="11">
        <v>118.67</v>
      </c>
    </row>
    <row r="164" spans="1:13" ht="15.75" customHeight="1" x14ac:dyDescent="0.3">
      <c r="A164" s="4" t="s">
        <v>189</v>
      </c>
      <c r="B164">
        <f t="shared" si="2"/>
        <v>2</v>
      </c>
      <c r="C164" s="2" t="s">
        <v>12</v>
      </c>
      <c r="D164" s="2" t="s">
        <v>399</v>
      </c>
      <c r="E164" s="7">
        <v>39.61</v>
      </c>
      <c r="F164" s="2">
        <v>1</v>
      </c>
      <c r="G164" s="7">
        <v>143.69999999999999</v>
      </c>
      <c r="H164" s="2" t="s">
        <v>58</v>
      </c>
      <c r="I164" s="2" t="s">
        <v>29</v>
      </c>
      <c r="J164" s="2" t="s">
        <v>87</v>
      </c>
      <c r="K164" s="2" t="s">
        <v>17</v>
      </c>
      <c r="L164" s="7">
        <f>Table3[[#This Row],[Revenue]]-Table3[[#This Row],[Ad Spend]]</f>
        <v>104.08999999999999</v>
      </c>
      <c r="M164" s="11">
        <v>136.19</v>
      </c>
    </row>
    <row r="165" spans="1:13" ht="15.75" customHeight="1" x14ac:dyDescent="0.3">
      <c r="A165" s="4" t="s">
        <v>400</v>
      </c>
      <c r="B165">
        <f t="shared" si="2"/>
        <v>2</v>
      </c>
      <c r="C165" s="2" t="s">
        <v>32</v>
      </c>
      <c r="D165" s="2" t="s">
        <v>398</v>
      </c>
      <c r="E165" s="7">
        <v>117.82</v>
      </c>
      <c r="F165" s="2">
        <v>0</v>
      </c>
      <c r="G165" s="7">
        <v>150.57</v>
      </c>
      <c r="H165" s="2" t="s">
        <v>401</v>
      </c>
      <c r="I165" s="2" t="s">
        <v>15</v>
      </c>
      <c r="J165" s="2" t="s">
        <v>25</v>
      </c>
      <c r="K165" s="2" t="s">
        <v>46</v>
      </c>
      <c r="L165" s="7">
        <f>Table3[[#This Row],[Revenue]]-Table3[[#This Row],[Ad Spend]]</f>
        <v>32.75</v>
      </c>
      <c r="M165" s="11">
        <v>136.97</v>
      </c>
    </row>
    <row r="166" spans="1:13" ht="15.75" customHeight="1" x14ac:dyDescent="0.3">
      <c r="A166" s="4" t="s">
        <v>402</v>
      </c>
      <c r="B166">
        <f t="shared" si="2"/>
        <v>3</v>
      </c>
      <c r="C166" s="2" t="s">
        <v>12</v>
      </c>
      <c r="D166" s="2" t="s">
        <v>403</v>
      </c>
      <c r="E166" s="7">
        <v>131.69</v>
      </c>
      <c r="F166" s="2">
        <v>3</v>
      </c>
      <c r="G166" s="7">
        <v>249.33</v>
      </c>
      <c r="H166" s="2" t="s">
        <v>61</v>
      </c>
      <c r="I166" s="2" t="s">
        <v>15</v>
      </c>
      <c r="J166" s="2" t="s">
        <v>30</v>
      </c>
      <c r="K166" s="2" t="s">
        <v>17</v>
      </c>
      <c r="L166" s="7">
        <f>Table3[[#This Row],[Revenue]]-Table3[[#This Row],[Ad Spend]]</f>
        <v>117.64000000000001</v>
      </c>
      <c r="M166" s="11">
        <v>140.9</v>
      </c>
    </row>
    <row r="167" spans="1:13" ht="15.75" customHeight="1" x14ac:dyDescent="0.3">
      <c r="A167" s="4" t="s">
        <v>404</v>
      </c>
      <c r="B167">
        <f t="shared" si="2"/>
        <v>3</v>
      </c>
      <c r="C167" s="2" t="s">
        <v>12</v>
      </c>
      <c r="D167" s="2" t="s">
        <v>405</v>
      </c>
      <c r="E167" s="7">
        <v>20.09</v>
      </c>
      <c r="F167" s="2">
        <v>8</v>
      </c>
      <c r="G167" s="7">
        <v>121.04</v>
      </c>
      <c r="H167" s="2" t="s">
        <v>389</v>
      </c>
      <c r="I167" s="2" t="s">
        <v>15</v>
      </c>
      <c r="J167" s="2" t="s">
        <v>16</v>
      </c>
      <c r="K167" s="2" t="s">
        <v>17</v>
      </c>
      <c r="L167" s="7">
        <f>Table3[[#This Row],[Revenue]]-Table3[[#This Row],[Ad Spend]]</f>
        <v>100.95</v>
      </c>
      <c r="M167" s="11">
        <v>106.67</v>
      </c>
    </row>
    <row r="168" spans="1:13" ht="15.75" customHeight="1" x14ac:dyDescent="0.3">
      <c r="A168" s="4" t="s">
        <v>406</v>
      </c>
      <c r="B168">
        <f t="shared" si="2"/>
        <v>1</v>
      </c>
      <c r="C168" s="2" t="s">
        <v>12</v>
      </c>
      <c r="D168" s="2" t="s">
        <v>407</v>
      </c>
      <c r="E168" s="7">
        <v>123.73</v>
      </c>
      <c r="F168" s="2">
        <v>9</v>
      </c>
      <c r="G168" s="7">
        <v>335.89</v>
      </c>
      <c r="H168" s="2" t="s">
        <v>408</v>
      </c>
      <c r="I168" s="2" t="s">
        <v>29</v>
      </c>
      <c r="J168" s="2" t="s">
        <v>36</v>
      </c>
      <c r="K168" s="2" t="s">
        <v>17</v>
      </c>
      <c r="L168" s="7">
        <f>Table3[[#This Row],[Revenue]]-Table3[[#This Row],[Ad Spend]]</f>
        <v>212.15999999999997</v>
      </c>
      <c r="M168" s="11">
        <v>154.57</v>
      </c>
    </row>
    <row r="169" spans="1:13" ht="15.75" customHeight="1" x14ac:dyDescent="0.3">
      <c r="A169" s="4" t="s">
        <v>91</v>
      </c>
      <c r="B169">
        <f t="shared" si="2"/>
        <v>3</v>
      </c>
      <c r="C169" s="2" t="s">
        <v>63</v>
      </c>
      <c r="D169" s="2" t="s">
        <v>163</v>
      </c>
      <c r="E169" s="7">
        <v>63.41</v>
      </c>
      <c r="F169" s="2">
        <v>5</v>
      </c>
      <c r="G169" s="7">
        <v>172.17</v>
      </c>
      <c r="H169" s="2" t="s">
        <v>14</v>
      </c>
      <c r="I169" s="2" t="s">
        <v>35</v>
      </c>
      <c r="J169" s="2" t="s">
        <v>30</v>
      </c>
      <c r="K169" s="2" t="s">
        <v>17</v>
      </c>
      <c r="L169" s="7">
        <f>Table3[[#This Row],[Revenue]]-Table3[[#This Row],[Ad Spend]]</f>
        <v>108.75999999999999</v>
      </c>
      <c r="M169" s="11">
        <v>121.17</v>
      </c>
    </row>
    <row r="170" spans="1:13" ht="15.75" customHeight="1" x14ac:dyDescent="0.3">
      <c r="A170" s="4" t="s">
        <v>409</v>
      </c>
      <c r="B170">
        <f t="shared" si="2"/>
        <v>11</v>
      </c>
      <c r="C170" s="2" t="s">
        <v>19</v>
      </c>
      <c r="D170" s="2" t="s">
        <v>410</v>
      </c>
      <c r="E170" s="7">
        <v>89.17</v>
      </c>
      <c r="F170" s="2">
        <v>4</v>
      </c>
      <c r="G170" s="7">
        <v>221.51</v>
      </c>
      <c r="H170" s="2" t="s">
        <v>411</v>
      </c>
      <c r="I170" s="2" t="s">
        <v>15</v>
      </c>
      <c r="J170" s="2" t="s">
        <v>16</v>
      </c>
      <c r="K170" s="2" t="s">
        <v>17</v>
      </c>
      <c r="L170" s="7">
        <f>Table3[[#This Row],[Revenue]]-Table3[[#This Row],[Ad Spend]]</f>
        <v>132.33999999999997</v>
      </c>
      <c r="M170" s="11">
        <v>161.02000000000001</v>
      </c>
    </row>
    <row r="171" spans="1:13" ht="15.75" customHeight="1" x14ac:dyDescent="0.3">
      <c r="A171" s="4" t="s">
        <v>191</v>
      </c>
      <c r="B171">
        <f t="shared" si="2"/>
        <v>11</v>
      </c>
      <c r="C171" s="2" t="s">
        <v>19</v>
      </c>
      <c r="D171" s="2" t="s">
        <v>412</v>
      </c>
      <c r="E171" s="7">
        <v>31.29</v>
      </c>
      <c r="F171" s="2">
        <v>0</v>
      </c>
      <c r="G171" s="7">
        <v>102.95</v>
      </c>
      <c r="H171" s="2" t="s">
        <v>413</v>
      </c>
      <c r="I171" s="2" t="s">
        <v>29</v>
      </c>
      <c r="J171" s="2" t="s">
        <v>25</v>
      </c>
      <c r="K171" s="2" t="s">
        <v>46</v>
      </c>
      <c r="L171" s="7">
        <f>Table3[[#This Row],[Revenue]]-Table3[[#This Row],[Ad Spend]]</f>
        <v>71.66</v>
      </c>
      <c r="M171" s="11">
        <v>125.84</v>
      </c>
    </row>
    <row r="172" spans="1:13" ht="15.75" customHeight="1" x14ac:dyDescent="0.3">
      <c r="A172" s="4" t="s">
        <v>117</v>
      </c>
      <c r="B172">
        <f t="shared" si="2"/>
        <v>3</v>
      </c>
      <c r="C172" s="2" t="s">
        <v>19</v>
      </c>
      <c r="D172" s="2" t="s">
        <v>414</v>
      </c>
      <c r="E172" s="7">
        <v>31.13</v>
      </c>
      <c r="F172" s="2">
        <v>6</v>
      </c>
      <c r="G172" s="7">
        <v>259.47000000000003</v>
      </c>
      <c r="H172" s="2" t="s">
        <v>61</v>
      </c>
      <c r="I172" s="2" t="s">
        <v>15</v>
      </c>
      <c r="J172" s="2" t="s">
        <v>87</v>
      </c>
      <c r="K172" s="2" t="s">
        <v>17</v>
      </c>
      <c r="L172" s="7">
        <f>Table3[[#This Row],[Revenue]]-Table3[[#This Row],[Ad Spend]]</f>
        <v>228.34000000000003</v>
      </c>
      <c r="M172" s="11">
        <v>139.82</v>
      </c>
    </row>
    <row r="173" spans="1:13" ht="15.75" customHeight="1" x14ac:dyDescent="0.3">
      <c r="A173" s="4" t="s">
        <v>415</v>
      </c>
      <c r="B173">
        <f t="shared" si="2"/>
        <v>4</v>
      </c>
      <c r="C173" s="2" t="s">
        <v>12</v>
      </c>
      <c r="D173" s="2" t="s">
        <v>416</v>
      </c>
      <c r="E173" s="7">
        <v>71.319999999999993</v>
      </c>
      <c r="F173" s="2">
        <v>8</v>
      </c>
      <c r="G173" s="7">
        <v>352.25</v>
      </c>
      <c r="H173" s="2" t="s">
        <v>65</v>
      </c>
      <c r="I173" s="2" t="s">
        <v>35</v>
      </c>
      <c r="J173" s="2" t="s">
        <v>30</v>
      </c>
      <c r="K173" s="2" t="s">
        <v>17</v>
      </c>
      <c r="L173" s="7">
        <f>Table3[[#This Row],[Revenue]]-Table3[[#This Row],[Ad Spend]]</f>
        <v>280.93</v>
      </c>
      <c r="M173" s="11">
        <v>122.33</v>
      </c>
    </row>
    <row r="174" spans="1:13" ht="15.75" customHeight="1" x14ac:dyDescent="0.3">
      <c r="A174" s="4" t="s">
        <v>194</v>
      </c>
      <c r="B174">
        <f t="shared" si="2"/>
        <v>11</v>
      </c>
      <c r="C174" s="2" t="s">
        <v>19</v>
      </c>
      <c r="D174" s="2" t="s">
        <v>417</v>
      </c>
      <c r="E174" s="7">
        <v>111.67</v>
      </c>
      <c r="F174" s="2">
        <v>7</v>
      </c>
      <c r="G174" s="7">
        <v>218.67</v>
      </c>
      <c r="H174" s="2" t="s">
        <v>418</v>
      </c>
      <c r="I174" s="2" t="s">
        <v>35</v>
      </c>
      <c r="J174" s="2" t="s">
        <v>30</v>
      </c>
      <c r="K174" s="2" t="s">
        <v>17</v>
      </c>
      <c r="L174" s="7">
        <f>Table3[[#This Row],[Revenue]]-Table3[[#This Row],[Ad Spend]]</f>
        <v>106.99999999999999</v>
      </c>
      <c r="M174" s="11">
        <v>112.24</v>
      </c>
    </row>
    <row r="175" spans="1:13" ht="15.75" customHeight="1" x14ac:dyDescent="0.3">
      <c r="A175" s="4" t="s">
        <v>258</v>
      </c>
      <c r="B175">
        <f t="shared" si="2"/>
        <v>2</v>
      </c>
      <c r="C175" s="2" t="s">
        <v>63</v>
      </c>
      <c r="D175" s="2" t="s">
        <v>419</v>
      </c>
      <c r="E175" s="7">
        <v>75.86</v>
      </c>
      <c r="F175" s="2">
        <v>6</v>
      </c>
      <c r="G175" s="7">
        <v>345.76</v>
      </c>
      <c r="H175" s="2" t="s">
        <v>107</v>
      </c>
      <c r="I175" s="2" t="s">
        <v>35</v>
      </c>
      <c r="J175" s="2" t="s">
        <v>87</v>
      </c>
      <c r="K175" s="2" t="s">
        <v>17</v>
      </c>
      <c r="L175" s="7">
        <f>Table3[[#This Row],[Revenue]]-Table3[[#This Row],[Ad Spend]]</f>
        <v>269.89999999999998</v>
      </c>
      <c r="M175" s="11">
        <v>138.31</v>
      </c>
    </row>
    <row r="176" spans="1:13" ht="15.75" customHeight="1" x14ac:dyDescent="0.3">
      <c r="A176" s="4" t="s">
        <v>84</v>
      </c>
      <c r="B176">
        <f t="shared" si="2"/>
        <v>10</v>
      </c>
      <c r="C176" s="2" t="s">
        <v>32</v>
      </c>
      <c r="D176" s="2" t="s">
        <v>420</v>
      </c>
      <c r="E176" s="7">
        <v>37.979999999999997</v>
      </c>
      <c r="F176" s="2">
        <v>1</v>
      </c>
      <c r="G176" s="7">
        <v>297.58999999999997</v>
      </c>
      <c r="H176" s="2" t="s">
        <v>119</v>
      </c>
      <c r="I176" s="2" t="s">
        <v>29</v>
      </c>
      <c r="J176" s="2" t="s">
        <v>30</v>
      </c>
      <c r="K176" s="2" t="s">
        <v>17</v>
      </c>
      <c r="L176" s="7">
        <f>Table3[[#This Row],[Revenue]]-Table3[[#This Row],[Ad Spend]]</f>
        <v>259.60999999999996</v>
      </c>
      <c r="M176" s="11">
        <v>111.28</v>
      </c>
    </row>
    <row r="177" spans="1:13" ht="15.75" customHeight="1" x14ac:dyDescent="0.3">
      <c r="A177" s="4" t="s">
        <v>392</v>
      </c>
      <c r="B177">
        <f t="shared" si="2"/>
        <v>1</v>
      </c>
      <c r="C177" s="2" t="s">
        <v>63</v>
      </c>
      <c r="D177" s="2" t="s">
        <v>188</v>
      </c>
      <c r="E177" s="7">
        <v>49.9</v>
      </c>
      <c r="F177" s="2">
        <v>6</v>
      </c>
      <c r="G177" s="7">
        <v>122.81</v>
      </c>
      <c r="H177" s="2" t="s">
        <v>301</v>
      </c>
      <c r="I177" s="2" t="s">
        <v>35</v>
      </c>
      <c r="J177" s="2" t="s">
        <v>25</v>
      </c>
      <c r="K177" s="2" t="s">
        <v>17</v>
      </c>
      <c r="L177" s="7">
        <f>Table3[[#This Row],[Revenue]]-Table3[[#This Row],[Ad Spend]]</f>
        <v>72.91</v>
      </c>
      <c r="M177" s="11">
        <v>144.13999999999999</v>
      </c>
    </row>
    <row r="178" spans="1:13" ht="15.75" customHeight="1" x14ac:dyDescent="0.3">
      <c r="A178" s="4" t="s">
        <v>421</v>
      </c>
      <c r="B178">
        <f t="shared" si="2"/>
        <v>11</v>
      </c>
      <c r="C178" s="2" t="s">
        <v>63</v>
      </c>
      <c r="D178" s="2" t="s">
        <v>393</v>
      </c>
      <c r="E178" s="7">
        <v>119.44</v>
      </c>
      <c r="F178" s="2">
        <v>1</v>
      </c>
      <c r="G178" s="7">
        <v>386.94</v>
      </c>
      <c r="H178" s="2" t="s">
        <v>58</v>
      </c>
      <c r="I178" s="2" t="s">
        <v>15</v>
      </c>
      <c r="J178" s="2" t="s">
        <v>25</v>
      </c>
      <c r="K178" s="2" t="s">
        <v>17</v>
      </c>
      <c r="L178" s="7">
        <f>Table3[[#This Row],[Revenue]]-Table3[[#This Row],[Ad Spend]]</f>
        <v>267.5</v>
      </c>
      <c r="M178" s="11">
        <v>131.87</v>
      </c>
    </row>
    <row r="179" spans="1:13" ht="15.75" customHeight="1" x14ac:dyDescent="0.3">
      <c r="A179" s="4" t="s">
        <v>79</v>
      </c>
      <c r="B179">
        <f t="shared" si="2"/>
        <v>11</v>
      </c>
      <c r="C179" s="2" t="s">
        <v>19</v>
      </c>
      <c r="D179" s="2" t="s">
        <v>69</v>
      </c>
      <c r="E179" s="7">
        <v>86.17</v>
      </c>
      <c r="F179" s="2">
        <v>3</v>
      </c>
      <c r="G179" s="7">
        <v>233.29</v>
      </c>
      <c r="H179" s="2" t="s">
        <v>422</v>
      </c>
      <c r="I179" s="2" t="s">
        <v>35</v>
      </c>
      <c r="J179" s="2" t="s">
        <v>87</v>
      </c>
      <c r="K179" s="2" t="s">
        <v>17</v>
      </c>
      <c r="L179" s="7">
        <f>Table3[[#This Row],[Revenue]]-Table3[[#This Row],[Ad Spend]]</f>
        <v>147.12</v>
      </c>
      <c r="M179" s="11">
        <v>140.08000000000001</v>
      </c>
    </row>
    <row r="180" spans="1:13" ht="15.75" customHeight="1" x14ac:dyDescent="0.3">
      <c r="A180" s="4" t="s">
        <v>320</v>
      </c>
      <c r="B180">
        <f t="shared" si="2"/>
        <v>4</v>
      </c>
      <c r="C180" s="2" t="s">
        <v>19</v>
      </c>
      <c r="D180" s="2" t="s">
        <v>423</v>
      </c>
      <c r="E180" s="7">
        <v>131.75</v>
      </c>
      <c r="F180" s="2">
        <v>8</v>
      </c>
      <c r="G180" s="7">
        <v>82.76</v>
      </c>
      <c r="H180" s="2" t="s">
        <v>424</v>
      </c>
      <c r="I180" s="2" t="s">
        <v>35</v>
      </c>
      <c r="J180" s="2" t="s">
        <v>36</v>
      </c>
      <c r="K180" s="2" t="s">
        <v>17</v>
      </c>
      <c r="L180" s="7">
        <f>Table3[[#This Row],[Revenue]]-Table3[[#This Row],[Ad Spend]]</f>
        <v>-48.989999999999995</v>
      </c>
      <c r="M180" s="11">
        <v>95.41</v>
      </c>
    </row>
    <row r="181" spans="1:13" ht="15.75" customHeight="1" x14ac:dyDescent="0.3">
      <c r="A181" s="4" t="s">
        <v>102</v>
      </c>
      <c r="B181">
        <f t="shared" si="2"/>
        <v>3</v>
      </c>
      <c r="C181" s="2" t="s">
        <v>32</v>
      </c>
      <c r="D181" s="2" t="s">
        <v>27</v>
      </c>
      <c r="E181" s="7">
        <v>115.66</v>
      </c>
      <c r="F181" s="2">
        <v>9</v>
      </c>
      <c r="G181" s="7">
        <v>212.01</v>
      </c>
      <c r="H181" s="2" t="s">
        <v>161</v>
      </c>
      <c r="I181" s="2" t="s">
        <v>29</v>
      </c>
      <c r="J181" s="2" t="s">
        <v>30</v>
      </c>
      <c r="K181" s="2" t="s">
        <v>17</v>
      </c>
      <c r="L181" s="7">
        <f>Table3[[#This Row],[Revenue]]-Table3[[#This Row],[Ad Spend]]</f>
        <v>96.35</v>
      </c>
      <c r="M181" s="11">
        <v>116.81</v>
      </c>
    </row>
    <row r="182" spans="1:13" ht="15.75" customHeight="1" x14ac:dyDescent="0.3">
      <c r="A182" s="4" t="s">
        <v>199</v>
      </c>
      <c r="B182">
        <f t="shared" si="2"/>
        <v>4</v>
      </c>
      <c r="C182" s="2" t="s">
        <v>12</v>
      </c>
      <c r="D182" s="2" t="s">
        <v>425</v>
      </c>
      <c r="E182" s="7">
        <v>35.42</v>
      </c>
      <c r="F182" s="2">
        <v>1</v>
      </c>
      <c r="G182" s="7">
        <v>279.99</v>
      </c>
      <c r="H182" s="2" t="s">
        <v>310</v>
      </c>
      <c r="I182" s="2" t="s">
        <v>29</v>
      </c>
      <c r="J182" s="2" t="s">
        <v>30</v>
      </c>
      <c r="K182" s="2" t="s">
        <v>17</v>
      </c>
      <c r="L182" s="7">
        <f>Table3[[#This Row],[Revenue]]-Table3[[#This Row],[Ad Spend]]</f>
        <v>244.57</v>
      </c>
      <c r="M182" s="11">
        <v>100</v>
      </c>
    </row>
    <row r="183" spans="1:13" ht="15.75" customHeight="1" x14ac:dyDescent="0.3">
      <c r="A183" s="4" t="s">
        <v>102</v>
      </c>
      <c r="B183">
        <f t="shared" si="2"/>
        <v>3</v>
      </c>
      <c r="C183" s="2" t="s">
        <v>19</v>
      </c>
      <c r="D183" s="2" t="s">
        <v>426</v>
      </c>
      <c r="E183" s="7">
        <v>126.28</v>
      </c>
      <c r="F183" s="2">
        <v>4</v>
      </c>
      <c r="G183" s="7">
        <v>431.3</v>
      </c>
      <c r="H183" s="2" t="s">
        <v>427</v>
      </c>
      <c r="I183" s="2" t="s">
        <v>29</v>
      </c>
      <c r="J183" s="2" t="s">
        <v>53</v>
      </c>
      <c r="K183" s="2" t="s">
        <v>17</v>
      </c>
      <c r="L183" s="7">
        <f>Table3[[#This Row],[Revenue]]-Table3[[#This Row],[Ad Spend]]</f>
        <v>305.02</v>
      </c>
      <c r="M183" s="11">
        <v>133.79</v>
      </c>
    </row>
    <row r="184" spans="1:13" ht="15.75" customHeight="1" x14ac:dyDescent="0.3">
      <c r="A184" s="4" t="s">
        <v>428</v>
      </c>
      <c r="B184">
        <f t="shared" si="2"/>
        <v>3</v>
      </c>
      <c r="C184" s="2" t="s">
        <v>63</v>
      </c>
      <c r="D184" s="2" t="s">
        <v>239</v>
      </c>
      <c r="E184" s="7">
        <v>69.8</v>
      </c>
      <c r="F184" s="2">
        <v>1</v>
      </c>
      <c r="G184" s="7">
        <v>184.64</v>
      </c>
      <c r="H184" s="2" t="s">
        <v>429</v>
      </c>
      <c r="I184" s="2" t="s">
        <v>29</v>
      </c>
      <c r="J184" s="2" t="s">
        <v>36</v>
      </c>
      <c r="K184" s="2" t="s">
        <v>17</v>
      </c>
      <c r="L184" s="7">
        <f>Table3[[#This Row],[Revenue]]-Table3[[#This Row],[Ad Spend]]</f>
        <v>114.83999999999999</v>
      </c>
      <c r="M184" s="11">
        <v>173.43</v>
      </c>
    </row>
    <row r="185" spans="1:13" ht="15.75" customHeight="1" x14ac:dyDescent="0.3">
      <c r="A185" s="4" t="s">
        <v>400</v>
      </c>
      <c r="B185">
        <f t="shared" si="2"/>
        <v>2</v>
      </c>
      <c r="C185" s="2" t="s">
        <v>63</v>
      </c>
      <c r="D185" s="2" t="s">
        <v>430</v>
      </c>
      <c r="E185" s="7">
        <v>37.74</v>
      </c>
      <c r="F185" s="2">
        <v>3</v>
      </c>
      <c r="G185" s="7">
        <v>284.52</v>
      </c>
      <c r="H185" s="2" t="s">
        <v>372</v>
      </c>
      <c r="I185" s="2" t="s">
        <v>35</v>
      </c>
      <c r="J185" s="2" t="s">
        <v>53</v>
      </c>
      <c r="K185" s="2" t="s">
        <v>17</v>
      </c>
      <c r="L185" s="7">
        <f>Table3[[#This Row],[Revenue]]-Table3[[#This Row],[Ad Spend]]</f>
        <v>246.77999999999997</v>
      </c>
      <c r="M185" s="11">
        <v>117.2</v>
      </c>
    </row>
    <row r="186" spans="1:13" ht="15.75" customHeight="1" x14ac:dyDescent="0.3">
      <c r="A186" s="4" t="s">
        <v>50</v>
      </c>
      <c r="B186">
        <f t="shared" si="2"/>
        <v>12</v>
      </c>
      <c r="C186" s="2" t="s">
        <v>12</v>
      </c>
      <c r="D186" s="2" t="s">
        <v>431</v>
      </c>
      <c r="E186" s="7">
        <v>11.6</v>
      </c>
      <c r="F186" s="2">
        <v>3</v>
      </c>
      <c r="G186" s="7">
        <v>153.41999999999999</v>
      </c>
      <c r="H186" s="2" t="s">
        <v>432</v>
      </c>
      <c r="I186" s="2" t="s">
        <v>15</v>
      </c>
      <c r="J186" s="2" t="s">
        <v>30</v>
      </c>
      <c r="K186" s="2" t="s">
        <v>17</v>
      </c>
      <c r="L186" s="7">
        <f>Table3[[#This Row],[Revenue]]-Table3[[#This Row],[Ad Spend]]</f>
        <v>141.82</v>
      </c>
      <c r="M186" s="11">
        <v>164.03</v>
      </c>
    </row>
    <row r="187" spans="1:13" ht="15.75" customHeight="1" x14ac:dyDescent="0.3">
      <c r="A187" s="4" t="s">
        <v>433</v>
      </c>
      <c r="B187">
        <f t="shared" si="2"/>
        <v>1</v>
      </c>
      <c r="C187" s="2" t="s">
        <v>19</v>
      </c>
      <c r="D187" s="2" t="s">
        <v>434</v>
      </c>
      <c r="E187" s="7">
        <v>87.63</v>
      </c>
      <c r="F187" s="2">
        <v>0</v>
      </c>
      <c r="G187" s="7">
        <v>394.35</v>
      </c>
      <c r="H187" s="2" t="s">
        <v>161</v>
      </c>
      <c r="I187" s="2" t="s">
        <v>29</v>
      </c>
      <c r="J187" s="2" t="s">
        <v>53</v>
      </c>
      <c r="K187" s="2" t="s">
        <v>46</v>
      </c>
      <c r="L187" s="7">
        <f>Table3[[#This Row],[Revenue]]-Table3[[#This Row],[Ad Spend]]</f>
        <v>306.72000000000003</v>
      </c>
      <c r="M187" s="11">
        <v>124.16</v>
      </c>
    </row>
    <row r="188" spans="1:13" ht="15.75" customHeight="1" x14ac:dyDescent="0.3">
      <c r="A188" s="4" t="s">
        <v>247</v>
      </c>
      <c r="B188">
        <f t="shared" si="2"/>
        <v>3</v>
      </c>
      <c r="C188" s="2" t="s">
        <v>32</v>
      </c>
      <c r="D188" s="2" t="s">
        <v>435</v>
      </c>
      <c r="E188" s="7">
        <v>75.010000000000005</v>
      </c>
      <c r="F188" s="2">
        <v>0</v>
      </c>
      <c r="G188" s="7">
        <v>99.05</v>
      </c>
      <c r="H188" s="2" t="s">
        <v>158</v>
      </c>
      <c r="I188" s="2" t="s">
        <v>15</v>
      </c>
      <c r="J188" s="2" t="s">
        <v>87</v>
      </c>
      <c r="K188" s="2" t="s">
        <v>46</v>
      </c>
      <c r="L188" s="7">
        <f>Table3[[#This Row],[Revenue]]-Table3[[#This Row],[Ad Spend]]</f>
        <v>24.039999999999992</v>
      </c>
      <c r="M188" s="11">
        <v>120.65</v>
      </c>
    </row>
    <row r="189" spans="1:13" ht="15.75" customHeight="1" x14ac:dyDescent="0.3">
      <c r="A189" s="4" t="s">
        <v>404</v>
      </c>
      <c r="B189">
        <f t="shared" si="2"/>
        <v>3</v>
      </c>
      <c r="C189" s="2" t="s">
        <v>12</v>
      </c>
      <c r="D189" s="2" t="s">
        <v>436</v>
      </c>
      <c r="E189" s="7">
        <v>79.849999999999994</v>
      </c>
      <c r="F189" s="2">
        <v>1</v>
      </c>
      <c r="G189" s="7">
        <v>368.3</v>
      </c>
      <c r="H189" s="2" t="s">
        <v>437</v>
      </c>
      <c r="I189" s="2" t="s">
        <v>15</v>
      </c>
      <c r="J189" s="2" t="s">
        <v>30</v>
      </c>
      <c r="K189" s="2" t="s">
        <v>17</v>
      </c>
      <c r="L189" s="7">
        <f>Table3[[#This Row],[Revenue]]-Table3[[#This Row],[Ad Spend]]</f>
        <v>288.45000000000005</v>
      </c>
      <c r="M189" s="11">
        <v>124.37</v>
      </c>
    </row>
    <row r="190" spans="1:13" ht="15.75" customHeight="1" x14ac:dyDescent="0.3">
      <c r="A190" s="4" t="s">
        <v>438</v>
      </c>
      <c r="B190">
        <f t="shared" si="2"/>
        <v>4</v>
      </c>
      <c r="C190" s="2" t="s">
        <v>63</v>
      </c>
      <c r="D190" s="2" t="s">
        <v>439</v>
      </c>
      <c r="E190" s="7">
        <v>116.48</v>
      </c>
      <c r="F190" s="2">
        <v>7</v>
      </c>
      <c r="G190" s="7">
        <v>87.81</v>
      </c>
      <c r="H190" s="2" t="s">
        <v>279</v>
      </c>
      <c r="I190" s="2" t="s">
        <v>29</v>
      </c>
      <c r="J190" s="2" t="s">
        <v>30</v>
      </c>
      <c r="K190" s="2" t="s">
        <v>17</v>
      </c>
      <c r="L190" s="7">
        <f>Table3[[#This Row],[Revenue]]-Table3[[#This Row],[Ad Spend]]</f>
        <v>-28.67</v>
      </c>
      <c r="M190" s="11">
        <v>128.66</v>
      </c>
    </row>
    <row r="191" spans="1:13" ht="15.75" customHeight="1" x14ac:dyDescent="0.3">
      <c r="A191" s="4" t="s">
        <v>415</v>
      </c>
      <c r="B191">
        <f t="shared" si="2"/>
        <v>4</v>
      </c>
      <c r="C191" s="2" t="s">
        <v>12</v>
      </c>
      <c r="D191" s="2" t="s">
        <v>440</v>
      </c>
      <c r="E191" s="7">
        <v>11.37</v>
      </c>
      <c r="F191" s="2">
        <v>2</v>
      </c>
      <c r="G191" s="7">
        <v>377.83</v>
      </c>
      <c r="H191" s="2" t="s">
        <v>441</v>
      </c>
      <c r="I191" s="2" t="s">
        <v>15</v>
      </c>
      <c r="J191" s="2" t="s">
        <v>36</v>
      </c>
      <c r="K191" s="2" t="s">
        <v>17</v>
      </c>
      <c r="L191" s="7">
        <f>Table3[[#This Row],[Revenue]]-Table3[[#This Row],[Ad Spend]]</f>
        <v>366.46</v>
      </c>
      <c r="M191" s="11">
        <v>106.34</v>
      </c>
    </row>
    <row r="192" spans="1:13" ht="15.75" customHeight="1" x14ac:dyDescent="0.3">
      <c r="A192" s="4" t="s">
        <v>415</v>
      </c>
      <c r="B192">
        <f t="shared" si="2"/>
        <v>4</v>
      </c>
      <c r="C192" s="2" t="s">
        <v>12</v>
      </c>
      <c r="D192" s="2" t="s">
        <v>442</v>
      </c>
      <c r="E192" s="7">
        <v>102.27</v>
      </c>
      <c r="F192" s="2">
        <v>3</v>
      </c>
      <c r="G192" s="7">
        <v>244.56</v>
      </c>
      <c r="H192" s="2" t="s">
        <v>147</v>
      </c>
      <c r="I192" s="2" t="s">
        <v>15</v>
      </c>
      <c r="J192" s="2" t="s">
        <v>25</v>
      </c>
      <c r="K192" s="2" t="s">
        <v>17</v>
      </c>
      <c r="L192" s="7">
        <f>Table3[[#This Row],[Revenue]]-Table3[[#This Row],[Ad Spend]]</f>
        <v>142.29000000000002</v>
      </c>
      <c r="M192" s="11">
        <v>135.81</v>
      </c>
    </row>
    <row r="193" spans="1:13" ht="15.75" customHeight="1" x14ac:dyDescent="0.3">
      <c r="A193" s="4" t="s">
        <v>162</v>
      </c>
      <c r="B193">
        <f t="shared" si="2"/>
        <v>4</v>
      </c>
      <c r="C193" s="2" t="s">
        <v>32</v>
      </c>
      <c r="D193" s="2" t="s">
        <v>443</v>
      </c>
      <c r="E193" s="7">
        <v>33.76</v>
      </c>
      <c r="F193" s="2">
        <v>3</v>
      </c>
      <c r="G193" s="7">
        <v>139.01</v>
      </c>
      <c r="H193" s="2" t="s">
        <v>196</v>
      </c>
      <c r="I193" s="2" t="s">
        <v>15</v>
      </c>
      <c r="J193" s="2" t="s">
        <v>53</v>
      </c>
      <c r="K193" s="2" t="s">
        <v>17</v>
      </c>
      <c r="L193" s="7">
        <f>Table3[[#This Row],[Revenue]]-Table3[[#This Row],[Ad Spend]]</f>
        <v>105.25</v>
      </c>
      <c r="M193" s="11">
        <v>147.77000000000001</v>
      </c>
    </row>
    <row r="194" spans="1:13" ht="15.75" customHeight="1" x14ac:dyDescent="0.3">
      <c r="A194" s="4" t="s">
        <v>295</v>
      </c>
      <c r="B194">
        <f t="shared" si="2"/>
        <v>12</v>
      </c>
      <c r="C194" s="2" t="s">
        <v>63</v>
      </c>
      <c r="D194" s="2" t="s">
        <v>444</v>
      </c>
      <c r="E194" s="7">
        <v>139.83000000000001</v>
      </c>
      <c r="F194" s="2">
        <v>1</v>
      </c>
      <c r="G194" s="7">
        <v>269.48</v>
      </c>
      <c r="H194" s="2" t="s">
        <v>204</v>
      </c>
      <c r="I194" s="2" t="s">
        <v>29</v>
      </c>
      <c r="J194" s="2" t="s">
        <v>30</v>
      </c>
      <c r="K194" s="2" t="s">
        <v>17</v>
      </c>
      <c r="L194" s="7">
        <f>Table3[[#This Row],[Revenue]]-Table3[[#This Row],[Ad Spend]]</f>
        <v>129.65</v>
      </c>
      <c r="M194" s="11">
        <v>132.88</v>
      </c>
    </row>
    <row r="195" spans="1:13" ht="15.75" customHeight="1" x14ac:dyDescent="0.3">
      <c r="A195" s="4" t="s">
        <v>254</v>
      </c>
      <c r="B195">
        <f t="shared" ref="B195:B258" si="3">MONTH(A195)</f>
        <v>11</v>
      </c>
      <c r="C195" s="2" t="s">
        <v>12</v>
      </c>
      <c r="D195" s="2" t="s">
        <v>445</v>
      </c>
      <c r="E195" s="7">
        <v>60.23</v>
      </c>
      <c r="F195" s="2">
        <v>9</v>
      </c>
      <c r="G195" s="7">
        <v>96.79</v>
      </c>
      <c r="H195" s="2" t="s">
        <v>364</v>
      </c>
      <c r="I195" s="2" t="s">
        <v>29</v>
      </c>
      <c r="J195" s="2" t="s">
        <v>36</v>
      </c>
      <c r="K195" s="2" t="s">
        <v>17</v>
      </c>
      <c r="L195" s="7">
        <f>Table3[[#This Row],[Revenue]]-Table3[[#This Row],[Ad Spend]]</f>
        <v>36.560000000000009</v>
      </c>
      <c r="M195" s="11">
        <v>124.66</v>
      </c>
    </row>
    <row r="196" spans="1:13" ht="15.75" customHeight="1" x14ac:dyDescent="0.3">
      <c r="A196" s="4" t="s">
        <v>438</v>
      </c>
      <c r="B196">
        <f t="shared" si="3"/>
        <v>4</v>
      </c>
      <c r="C196" s="2" t="s">
        <v>63</v>
      </c>
      <c r="D196" s="2" t="s">
        <v>446</v>
      </c>
      <c r="E196" s="7">
        <v>33.200000000000003</v>
      </c>
      <c r="F196" s="2">
        <v>5</v>
      </c>
      <c r="G196" s="7">
        <v>466.71</v>
      </c>
      <c r="H196" s="2" t="s">
        <v>447</v>
      </c>
      <c r="I196" s="2" t="s">
        <v>29</v>
      </c>
      <c r="J196" s="2" t="s">
        <v>16</v>
      </c>
      <c r="K196" s="2" t="s">
        <v>17</v>
      </c>
      <c r="L196" s="7">
        <f>Table3[[#This Row],[Revenue]]-Table3[[#This Row],[Ad Spend]]</f>
        <v>433.51</v>
      </c>
      <c r="M196" s="11">
        <v>164.62</v>
      </c>
    </row>
    <row r="197" spans="1:13" ht="15.75" customHeight="1" x14ac:dyDescent="0.3">
      <c r="A197" s="4" t="s">
        <v>448</v>
      </c>
      <c r="B197">
        <f t="shared" si="3"/>
        <v>12</v>
      </c>
      <c r="C197" s="2" t="s">
        <v>19</v>
      </c>
      <c r="D197" s="2" t="s">
        <v>327</v>
      </c>
      <c r="E197" s="7">
        <v>112.66</v>
      </c>
      <c r="F197" s="2">
        <v>10</v>
      </c>
      <c r="G197" s="7">
        <v>450.83</v>
      </c>
      <c r="H197" s="2" t="s">
        <v>449</v>
      </c>
      <c r="I197" s="2" t="s">
        <v>29</v>
      </c>
      <c r="J197" s="2" t="s">
        <v>30</v>
      </c>
      <c r="K197" s="2" t="s">
        <v>17</v>
      </c>
      <c r="L197" s="7">
        <f>Table3[[#This Row],[Revenue]]-Table3[[#This Row],[Ad Spend]]</f>
        <v>338.16999999999996</v>
      </c>
      <c r="M197" s="11">
        <v>191.5</v>
      </c>
    </row>
    <row r="198" spans="1:13" ht="15.75" customHeight="1" x14ac:dyDescent="0.3">
      <c r="A198" s="4" t="s">
        <v>368</v>
      </c>
      <c r="B198">
        <f t="shared" si="3"/>
        <v>3</v>
      </c>
      <c r="C198" s="2" t="s">
        <v>32</v>
      </c>
      <c r="D198" s="2" t="s">
        <v>450</v>
      </c>
      <c r="E198" s="7">
        <v>81.87</v>
      </c>
      <c r="F198" s="2">
        <v>9</v>
      </c>
      <c r="G198" s="7">
        <v>370.63</v>
      </c>
      <c r="H198" s="2" t="s">
        <v>451</v>
      </c>
      <c r="I198" s="2" t="s">
        <v>35</v>
      </c>
      <c r="J198" s="2" t="s">
        <v>30</v>
      </c>
      <c r="K198" s="2" t="s">
        <v>17</v>
      </c>
      <c r="L198" s="7">
        <f>Table3[[#This Row],[Revenue]]-Table3[[#This Row],[Ad Spend]]</f>
        <v>288.76</v>
      </c>
      <c r="M198" s="11">
        <v>141.38999999999999</v>
      </c>
    </row>
    <row r="199" spans="1:13" ht="15.75" customHeight="1" x14ac:dyDescent="0.3">
      <c r="A199" s="4" t="s">
        <v>322</v>
      </c>
      <c r="B199">
        <f t="shared" si="3"/>
        <v>11</v>
      </c>
      <c r="C199" s="2" t="s">
        <v>32</v>
      </c>
      <c r="D199" s="2" t="s">
        <v>452</v>
      </c>
      <c r="E199" s="7">
        <v>81.05</v>
      </c>
      <c r="F199" s="2">
        <v>6</v>
      </c>
      <c r="G199" s="7">
        <v>450.01</v>
      </c>
      <c r="H199" s="2" t="s">
        <v>395</v>
      </c>
      <c r="I199" s="2" t="s">
        <v>15</v>
      </c>
      <c r="J199" s="2" t="s">
        <v>87</v>
      </c>
      <c r="K199" s="2" t="s">
        <v>17</v>
      </c>
      <c r="L199" s="7">
        <f>Table3[[#This Row],[Revenue]]-Table3[[#This Row],[Ad Spend]]</f>
        <v>368.96</v>
      </c>
      <c r="M199" s="11">
        <v>147.13999999999999</v>
      </c>
    </row>
    <row r="200" spans="1:13" ht="15.75" customHeight="1" x14ac:dyDescent="0.3">
      <c r="A200" s="4" t="s">
        <v>216</v>
      </c>
      <c r="B200">
        <f t="shared" si="3"/>
        <v>2</v>
      </c>
      <c r="C200" s="2" t="s">
        <v>12</v>
      </c>
      <c r="D200" s="2" t="s">
        <v>453</v>
      </c>
      <c r="E200" s="7">
        <v>100.54</v>
      </c>
      <c r="F200" s="2">
        <v>0</v>
      </c>
      <c r="G200" s="7">
        <v>111.23</v>
      </c>
      <c r="H200" s="2" t="s">
        <v>427</v>
      </c>
      <c r="I200" s="2" t="s">
        <v>35</v>
      </c>
      <c r="J200" s="2" t="s">
        <v>30</v>
      </c>
      <c r="K200" s="2" t="s">
        <v>46</v>
      </c>
      <c r="L200" s="7">
        <f>Table3[[#This Row],[Revenue]]-Table3[[#This Row],[Ad Spend]]</f>
        <v>10.689999999999998</v>
      </c>
      <c r="M200" s="11">
        <v>137.91</v>
      </c>
    </row>
    <row r="201" spans="1:13" ht="15.75" customHeight="1" x14ac:dyDescent="0.3">
      <c r="A201" s="4" t="s">
        <v>91</v>
      </c>
      <c r="B201">
        <f t="shared" si="3"/>
        <v>3</v>
      </c>
      <c r="C201" s="2" t="s">
        <v>19</v>
      </c>
      <c r="D201" s="2" t="s">
        <v>454</v>
      </c>
      <c r="E201" s="7">
        <v>65.069999999999993</v>
      </c>
      <c r="F201" s="2">
        <v>8</v>
      </c>
      <c r="G201" s="7">
        <v>98.98</v>
      </c>
      <c r="H201" s="2" t="s">
        <v>279</v>
      </c>
      <c r="I201" s="2" t="s">
        <v>29</v>
      </c>
      <c r="J201" s="2" t="s">
        <v>36</v>
      </c>
      <c r="K201" s="2" t="s">
        <v>17</v>
      </c>
      <c r="L201" s="7">
        <f>Table3[[#This Row],[Revenue]]-Table3[[#This Row],[Ad Spend]]</f>
        <v>33.910000000000011</v>
      </c>
      <c r="M201" s="11">
        <v>135.21</v>
      </c>
    </row>
    <row r="202" spans="1:13" ht="15.75" customHeight="1" x14ac:dyDescent="0.3">
      <c r="A202" s="4" t="s">
        <v>11</v>
      </c>
      <c r="B202">
        <f t="shared" si="3"/>
        <v>1</v>
      </c>
      <c r="C202" s="2" t="s">
        <v>12</v>
      </c>
      <c r="D202" s="2" t="s">
        <v>455</v>
      </c>
      <c r="E202" s="7">
        <v>53.74</v>
      </c>
      <c r="F202" s="2">
        <v>2</v>
      </c>
      <c r="G202" s="7">
        <v>97.54</v>
      </c>
      <c r="H202" s="2" t="s">
        <v>58</v>
      </c>
      <c r="I202" s="2" t="s">
        <v>35</v>
      </c>
      <c r="J202" s="2" t="s">
        <v>36</v>
      </c>
      <c r="K202" s="2" t="s">
        <v>17</v>
      </c>
      <c r="L202" s="7">
        <f>Table3[[#This Row],[Revenue]]-Table3[[#This Row],[Ad Spend]]</f>
        <v>43.800000000000004</v>
      </c>
      <c r="M202" s="11">
        <v>134.44</v>
      </c>
    </row>
    <row r="203" spans="1:13" ht="15.75" customHeight="1" x14ac:dyDescent="0.3">
      <c r="A203" s="4" t="s">
        <v>123</v>
      </c>
      <c r="B203">
        <f t="shared" si="3"/>
        <v>4</v>
      </c>
      <c r="C203" s="2" t="s">
        <v>63</v>
      </c>
      <c r="D203" s="2" t="s">
        <v>456</v>
      </c>
      <c r="E203" s="7">
        <v>32.26</v>
      </c>
      <c r="F203" s="2">
        <v>2</v>
      </c>
      <c r="G203" s="7">
        <v>440.02</v>
      </c>
      <c r="H203" s="2" t="s">
        <v>457</v>
      </c>
      <c r="I203" s="2" t="s">
        <v>35</v>
      </c>
      <c r="J203" s="2" t="s">
        <v>16</v>
      </c>
      <c r="K203" s="2" t="s">
        <v>17</v>
      </c>
      <c r="L203" s="7">
        <f>Table3[[#This Row],[Revenue]]-Table3[[#This Row],[Ad Spend]]</f>
        <v>407.76</v>
      </c>
      <c r="M203" s="11">
        <v>143.47999999999999</v>
      </c>
    </row>
    <row r="204" spans="1:13" ht="15.75" customHeight="1" x14ac:dyDescent="0.3">
      <c r="A204" s="4" t="s">
        <v>115</v>
      </c>
      <c r="B204">
        <f t="shared" si="3"/>
        <v>2</v>
      </c>
      <c r="C204" s="2" t="s">
        <v>12</v>
      </c>
      <c r="D204" s="2" t="s">
        <v>458</v>
      </c>
      <c r="E204" s="7">
        <v>18.600000000000001</v>
      </c>
      <c r="F204" s="2">
        <v>7</v>
      </c>
      <c r="G204" s="7">
        <v>212.75</v>
      </c>
      <c r="H204" s="2" t="s">
        <v>347</v>
      </c>
      <c r="I204" s="2" t="s">
        <v>29</v>
      </c>
      <c r="J204" s="2" t="s">
        <v>30</v>
      </c>
      <c r="K204" s="2" t="s">
        <v>17</v>
      </c>
      <c r="L204" s="7">
        <f>Table3[[#This Row],[Revenue]]-Table3[[#This Row],[Ad Spend]]</f>
        <v>194.15</v>
      </c>
      <c r="M204" s="11">
        <v>128.21</v>
      </c>
    </row>
    <row r="205" spans="1:13" ht="15.75" customHeight="1" x14ac:dyDescent="0.3">
      <c r="A205" s="4" t="s">
        <v>123</v>
      </c>
      <c r="B205">
        <f t="shared" si="3"/>
        <v>4</v>
      </c>
      <c r="C205" s="2" t="s">
        <v>19</v>
      </c>
      <c r="D205" s="2" t="s">
        <v>100</v>
      </c>
      <c r="E205" s="7">
        <v>71.48</v>
      </c>
      <c r="F205" s="2">
        <v>5</v>
      </c>
      <c r="G205" s="7">
        <v>65.42</v>
      </c>
      <c r="H205" s="2" t="s">
        <v>225</v>
      </c>
      <c r="I205" s="2" t="s">
        <v>29</v>
      </c>
      <c r="J205" s="2" t="s">
        <v>25</v>
      </c>
      <c r="K205" s="2" t="s">
        <v>17</v>
      </c>
      <c r="L205" s="7">
        <f>Table3[[#This Row],[Revenue]]-Table3[[#This Row],[Ad Spend]]</f>
        <v>-6.0600000000000023</v>
      </c>
      <c r="M205" s="11">
        <v>123.69</v>
      </c>
    </row>
    <row r="206" spans="1:13" ht="15.75" customHeight="1" x14ac:dyDescent="0.3">
      <c r="A206" s="4" t="s">
        <v>459</v>
      </c>
      <c r="B206">
        <f t="shared" si="3"/>
        <v>4</v>
      </c>
      <c r="C206" s="2" t="s">
        <v>19</v>
      </c>
      <c r="D206" s="2" t="s">
        <v>460</v>
      </c>
      <c r="E206" s="7">
        <v>29.54</v>
      </c>
      <c r="F206" s="2">
        <v>10</v>
      </c>
      <c r="G206" s="7">
        <v>45.41</v>
      </c>
      <c r="H206" s="2" t="s">
        <v>461</v>
      </c>
      <c r="I206" s="2" t="s">
        <v>35</v>
      </c>
      <c r="J206" s="2" t="s">
        <v>30</v>
      </c>
      <c r="K206" s="2" t="s">
        <v>17</v>
      </c>
      <c r="L206" s="7">
        <f>Table3[[#This Row],[Revenue]]-Table3[[#This Row],[Ad Spend]]</f>
        <v>15.869999999999997</v>
      </c>
      <c r="M206" s="11">
        <v>143.75</v>
      </c>
    </row>
    <row r="207" spans="1:13" ht="15.75" customHeight="1" x14ac:dyDescent="0.3">
      <c r="A207" s="4" t="s">
        <v>175</v>
      </c>
      <c r="B207">
        <f t="shared" si="3"/>
        <v>3</v>
      </c>
      <c r="C207" s="2" t="s">
        <v>32</v>
      </c>
      <c r="D207" s="2" t="s">
        <v>462</v>
      </c>
      <c r="E207" s="7">
        <v>54.04</v>
      </c>
      <c r="F207" s="2">
        <v>10</v>
      </c>
      <c r="G207" s="7">
        <v>307.23</v>
      </c>
      <c r="H207" s="2" t="s">
        <v>219</v>
      </c>
      <c r="I207" s="2" t="s">
        <v>29</v>
      </c>
      <c r="J207" s="2" t="s">
        <v>16</v>
      </c>
      <c r="K207" s="2" t="s">
        <v>17</v>
      </c>
      <c r="L207" s="7">
        <f>Table3[[#This Row],[Revenue]]-Table3[[#This Row],[Ad Spend]]</f>
        <v>253.19000000000003</v>
      </c>
      <c r="M207" s="11">
        <v>151.75</v>
      </c>
    </row>
    <row r="208" spans="1:13" ht="15.75" customHeight="1" x14ac:dyDescent="0.3">
      <c r="A208" s="4" t="s">
        <v>463</v>
      </c>
      <c r="B208">
        <f t="shared" si="3"/>
        <v>3</v>
      </c>
      <c r="C208" s="2" t="s">
        <v>12</v>
      </c>
      <c r="D208" s="2" t="s">
        <v>464</v>
      </c>
      <c r="E208" s="7">
        <v>12.08</v>
      </c>
      <c r="F208" s="2">
        <v>3</v>
      </c>
      <c r="G208" s="7">
        <v>295.43</v>
      </c>
      <c r="H208" s="2" t="s">
        <v>465</v>
      </c>
      <c r="I208" s="2" t="s">
        <v>35</v>
      </c>
      <c r="J208" s="2" t="s">
        <v>30</v>
      </c>
      <c r="K208" s="2" t="s">
        <v>17</v>
      </c>
      <c r="L208" s="7">
        <f>Table3[[#This Row],[Revenue]]-Table3[[#This Row],[Ad Spend]]</f>
        <v>283.35000000000002</v>
      </c>
      <c r="M208" s="11">
        <v>159.06</v>
      </c>
    </row>
    <row r="209" spans="1:13" ht="15.75" customHeight="1" x14ac:dyDescent="0.3">
      <c r="A209" s="4" t="s">
        <v>277</v>
      </c>
      <c r="B209">
        <f t="shared" si="3"/>
        <v>2</v>
      </c>
      <c r="C209" s="2" t="s">
        <v>12</v>
      </c>
      <c r="D209" s="2" t="s">
        <v>466</v>
      </c>
      <c r="E209" s="7">
        <v>61.1</v>
      </c>
      <c r="F209" s="2">
        <v>1</v>
      </c>
      <c r="G209" s="7">
        <v>409.87</v>
      </c>
      <c r="H209" s="2" t="s">
        <v>467</v>
      </c>
      <c r="I209" s="2" t="s">
        <v>35</v>
      </c>
      <c r="J209" s="2" t="s">
        <v>36</v>
      </c>
      <c r="K209" s="2" t="s">
        <v>17</v>
      </c>
      <c r="L209" s="7">
        <f>Table3[[#This Row],[Revenue]]-Table3[[#This Row],[Ad Spend]]</f>
        <v>348.77</v>
      </c>
      <c r="M209" s="11">
        <v>145.09</v>
      </c>
    </row>
    <row r="210" spans="1:13" ht="15.75" customHeight="1" x14ac:dyDescent="0.3">
      <c r="A210" s="4" t="s">
        <v>463</v>
      </c>
      <c r="B210">
        <f t="shared" si="3"/>
        <v>3</v>
      </c>
      <c r="C210" s="2" t="s">
        <v>32</v>
      </c>
      <c r="D210" s="2" t="s">
        <v>468</v>
      </c>
      <c r="E210" s="7">
        <v>32.65</v>
      </c>
      <c r="F210" s="2">
        <v>7</v>
      </c>
      <c r="G210" s="7">
        <v>419</v>
      </c>
      <c r="H210" s="2" t="s">
        <v>119</v>
      </c>
      <c r="I210" s="2" t="s">
        <v>35</v>
      </c>
      <c r="J210" s="2" t="s">
        <v>30</v>
      </c>
      <c r="K210" s="2" t="s">
        <v>17</v>
      </c>
      <c r="L210" s="7">
        <f>Table3[[#This Row],[Revenue]]-Table3[[#This Row],[Ad Spend]]</f>
        <v>386.35</v>
      </c>
      <c r="M210" s="11">
        <v>112.48</v>
      </c>
    </row>
    <row r="211" spans="1:13" ht="15.75" customHeight="1" x14ac:dyDescent="0.3">
      <c r="A211" s="4" t="s">
        <v>22</v>
      </c>
      <c r="B211">
        <f t="shared" si="3"/>
        <v>4</v>
      </c>
      <c r="C211" s="2" t="s">
        <v>12</v>
      </c>
      <c r="D211" s="2" t="s">
        <v>195</v>
      </c>
      <c r="E211" s="7">
        <v>5.15</v>
      </c>
      <c r="F211" s="2">
        <v>6</v>
      </c>
      <c r="G211" s="7">
        <v>400.52</v>
      </c>
      <c r="H211" s="2" t="s">
        <v>469</v>
      </c>
      <c r="I211" s="2" t="s">
        <v>29</v>
      </c>
      <c r="J211" s="2" t="s">
        <v>30</v>
      </c>
      <c r="K211" s="2" t="s">
        <v>17</v>
      </c>
      <c r="L211" s="7">
        <f>Table3[[#This Row],[Revenue]]-Table3[[#This Row],[Ad Spend]]</f>
        <v>395.37</v>
      </c>
      <c r="M211" s="11">
        <v>112.67</v>
      </c>
    </row>
    <row r="212" spans="1:13" ht="15.75" customHeight="1" x14ac:dyDescent="0.3">
      <c r="A212" s="4" t="s">
        <v>269</v>
      </c>
      <c r="B212">
        <f t="shared" si="3"/>
        <v>12</v>
      </c>
      <c r="C212" s="2" t="s">
        <v>12</v>
      </c>
      <c r="D212" s="2" t="s">
        <v>470</v>
      </c>
      <c r="E212" s="7">
        <v>148.66999999999999</v>
      </c>
      <c r="F212" s="2">
        <v>10</v>
      </c>
      <c r="G212" s="7">
        <v>260.33999999999997</v>
      </c>
      <c r="H212" s="2" t="s">
        <v>471</v>
      </c>
      <c r="I212" s="2" t="s">
        <v>15</v>
      </c>
      <c r="J212" s="2" t="s">
        <v>25</v>
      </c>
      <c r="K212" s="2" t="s">
        <v>17</v>
      </c>
      <c r="L212" s="7">
        <f>Table3[[#This Row],[Revenue]]-Table3[[#This Row],[Ad Spend]]</f>
        <v>111.66999999999999</v>
      </c>
      <c r="M212" s="11">
        <v>124.15</v>
      </c>
    </row>
    <row r="213" spans="1:13" ht="15.75" customHeight="1" x14ac:dyDescent="0.3">
      <c r="A213" s="4" t="s">
        <v>472</v>
      </c>
      <c r="B213">
        <f t="shared" si="3"/>
        <v>4</v>
      </c>
      <c r="C213" s="2" t="s">
        <v>32</v>
      </c>
      <c r="D213" s="2" t="s">
        <v>473</v>
      </c>
      <c r="E213" s="7">
        <v>119.64</v>
      </c>
      <c r="F213" s="2">
        <v>7</v>
      </c>
      <c r="G213" s="7">
        <v>339.11</v>
      </c>
      <c r="H213" s="2" t="s">
        <v>474</v>
      </c>
      <c r="I213" s="2" t="s">
        <v>29</v>
      </c>
      <c r="J213" s="2" t="s">
        <v>30</v>
      </c>
      <c r="K213" s="2" t="s">
        <v>17</v>
      </c>
      <c r="L213" s="7">
        <f>Table3[[#This Row],[Revenue]]-Table3[[#This Row],[Ad Spend]]</f>
        <v>219.47000000000003</v>
      </c>
      <c r="M213" s="11">
        <v>117.76</v>
      </c>
    </row>
    <row r="214" spans="1:13" ht="15.75" customHeight="1" x14ac:dyDescent="0.3">
      <c r="A214" s="4" t="s">
        <v>475</v>
      </c>
      <c r="B214">
        <f t="shared" si="3"/>
        <v>3</v>
      </c>
      <c r="C214" s="2" t="s">
        <v>19</v>
      </c>
      <c r="D214" s="2" t="s">
        <v>476</v>
      </c>
      <c r="E214" s="7">
        <v>138.13</v>
      </c>
      <c r="F214" s="2">
        <v>1</v>
      </c>
      <c r="G214" s="7">
        <v>386.23</v>
      </c>
      <c r="H214" s="2" t="s">
        <v>477</v>
      </c>
      <c r="I214" s="2" t="s">
        <v>15</v>
      </c>
      <c r="J214" s="2" t="s">
        <v>25</v>
      </c>
      <c r="K214" s="2" t="s">
        <v>17</v>
      </c>
      <c r="L214" s="7">
        <f>Table3[[#This Row],[Revenue]]-Table3[[#This Row],[Ad Spend]]</f>
        <v>248.10000000000002</v>
      </c>
      <c r="M214" s="11">
        <v>140.46</v>
      </c>
    </row>
    <row r="215" spans="1:13" ht="15.75" customHeight="1" x14ac:dyDescent="0.3">
      <c r="A215" s="4" t="s">
        <v>421</v>
      </c>
      <c r="B215">
        <f t="shared" si="3"/>
        <v>11</v>
      </c>
      <c r="C215" s="2" t="s">
        <v>32</v>
      </c>
      <c r="D215" s="2" t="s">
        <v>160</v>
      </c>
      <c r="E215" s="7">
        <v>139.65</v>
      </c>
      <c r="F215" s="2">
        <v>9</v>
      </c>
      <c r="G215" s="7">
        <v>87.37</v>
      </c>
      <c r="H215" s="2" t="s">
        <v>86</v>
      </c>
      <c r="I215" s="2" t="s">
        <v>15</v>
      </c>
      <c r="J215" s="2" t="s">
        <v>87</v>
      </c>
      <c r="K215" s="2" t="s">
        <v>17</v>
      </c>
      <c r="L215" s="7">
        <f>Table3[[#This Row],[Revenue]]-Table3[[#This Row],[Ad Spend]]</f>
        <v>-52.28</v>
      </c>
      <c r="M215" s="11">
        <v>108.49</v>
      </c>
    </row>
    <row r="216" spans="1:13" ht="15.75" customHeight="1" x14ac:dyDescent="0.3">
      <c r="A216" s="4" t="s">
        <v>478</v>
      </c>
      <c r="B216">
        <f t="shared" si="3"/>
        <v>3</v>
      </c>
      <c r="C216" s="2" t="s">
        <v>12</v>
      </c>
      <c r="D216" s="2" t="s">
        <v>479</v>
      </c>
      <c r="E216" s="7">
        <v>49.01</v>
      </c>
      <c r="F216" s="2">
        <v>10</v>
      </c>
      <c r="G216" s="7">
        <v>21.52</v>
      </c>
      <c r="H216" s="2" t="s">
        <v>372</v>
      </c>
      <c r="I216" s="2" t="s">
        <v>15</v>
      </c>
      <c r="J216" s="2" t="s">
        <v>25</v>
      </c>
      <c r="K216" s="2" t="s">
        <v>17</v>
      </c>
      <c r="L216" s="7">
        <f>Table3[[#This Row],[Revenue]]-Table3[[#This Row],[Ad Spend]]</f>
        <v>-27.49</v>
      </c>
      <c r="M216" s="11">
        <v>114.5</v>
      </c>
    </row>
    <row r="217" spans="1:13" ht="15.75" customHeight="1" x14ac:dyDescent="0.3">
      <c r="A217" s="4" t="s">
        <v>338</v>
      </c>
      <c r="B217">
        <f t="shared" si="3"/>
        <v>4</v>
      </c>
      <c r="C217" s="2" t="s">
        <v>12</v>
      </c>
      <c r="D217" s="2" t="s">
        <v>480</v>
      </c>
      <c r="E217" s="7">
        <v>31.84</v>
      </c>
      <c r="F217" s="2">
        <v>2</v>
      </c>
      <c r="G217" s="7">
        <v>460.57</v>
      </c>
      <c r="H217" s="2" t="s">
        <v>481</v>
      </c>
      <c r="I217" s="2" t="s">
        <v>29</v>
      </c>
      <c r="J217" s="2" t="s">
        <v>36</v>
      </c>
      <c r="K217" s="2" t="s">
        <v>17</v>
      </c>
      <c r="L217" s="7">
        <f>Table3[[#This Row],[Revenue]]-Table3[[#This Row],[Ad Spend]]</f>
        <v>428.73</v>
      </c>
      <c r="M217" s="11">
        <v>122.43</v>
      </c>
    </row>
    <row r="218" spans="1:13" ht="15.75" customHeight="1" x14ac:dyDescent="0.3">
      <c r="A218" s="4" t="s">
        <v>159</v>
      </c>
      <c r="B218">
        <f t="shared" si="3"/>
        <v>2</v>
      </c>
      <c r="C218" s="2" t="s">
        <v>12</v>
      </c>
      <c r="D218" s="2" t="s">
        <v>482</v>
      </c>
      <c r="E218" s="7">
        <v>10.46</v>
      </c>
      <c r="F218" s="2">
        <v>7</v>
      </c>
      <c r="G218" s="7">
        <v>477.61</v>
      </c>
      <c r="H218" s="2" t="s">
        <v>289</v>
      </c>
      <c r="I218" s="2" t="s">
        <v>35</v>
      </c>
      <c r="J218" s="2" t="s">
        <v>30</v>
      </c>
      <c r="K218" s="2" t="s">
        <v>17</v>
      </c>
      <c r="L218" s="7">
        <f>Table3[[#This Row],[Revenue]]-Table3[[#This Row],[Ad Spend]]</f>
        <v>467.15000000000003</v>
      </c>
      <c r="M218" s="11">
        <v>170.02</v>
      </c>
    </row>
    <row r="219" spans="1:13" ht="15.75" customHeight="1" x14ac:dyDescent="0.3">
      <c r="A219" s="4" t="s">
        <v>483</v>
      </c>
      <c r="B219">
        <f t="shared" si="3"/>
        <v>4</v>
      </c>
      <c r="C219" s="2" t="s">
        <v>32</v>
      </c>
      <c r="D219" s="2" t="s">
        <v>484</v>
      </c>
      <c r="E219" s="7">
        <v>98.45</v>
      </c>
      <c r="F219" s="2">
        <v>7</v>
      </c>
      <c r="G219" s="7">
        <v>247.79</v>
      </c>
      <c r="H219" s="2" t="s">
        <v>78</v>
      </c>
      <c r="I219" s="2" t="s">
        <v>29</v>
      </c>
      <c r="J219" s="2" t="s">
        <v>53</v>
      </c>
      <c r="K219" s="2" t="s">
        <v>17</v>
      </c>
      <c r="L219" s="7">
        <f>Table3[[#This Row],[Revenue]]-Table3[[#This Row],[Ad Spend]]</f>
        <v>149.33999999999997</v>
      </c>
      <c r="M219" s="11">
        <v>150.77000000000001</v>
      </c>
    </row>
    <row r="220" spans="1:13" ht="15.75" customHeight="1" x14ac:dyDescent="0.3">
      <c r="A220" s="4" t="s">
        <v>485</v>
      </c>
      <c r="B220">
        <f t="shared" si="3"/>
        <v>12</v>
      </c>
      <c r="C220" s="2" t="s">
        <v>32</v>
      </c>
      <c r="D220" s="2" t="s">
        <v>486</v>
      </c>
      <c r="E220" s="7">
        <v>10.41</v>
      </c>
      <c r="F220" s="2">
        <v>8</v>
      </c>
      <c r="G220" s="7">
        <v>376.2</v>
      </c>
      <c r="H220" s="2" t="s">
        <v>28</v>
      </c>
      <c r="I220" s="2" t="s">
        <v>15</v>
      </c>
      <c r="J220" s="2" t="s">
        <v>25</v>
      </c>
      <c r="K220" s="2" t="s">
        <v>17</v>
      </c>
      <c r="L220" s="7">
        <f>Table3[[#This Row],[Revenue]]-Table3[[#This Row],[Ad Spend]]</f>
        <v>365.78999999999996</v>
      </c>
      <c r="M220" s="11">
        <v>135.61000000000001</v>
      </c>
    </row>
    <row r="221" spans="1:13" ht="15.75" customHeight="1" x14ac:dyDescent="0.3">
      <c r="A221" s="4" t="s">
        <v>335</v>
      </c>
      <c r="B221">
        <f t="shared" si="3"/>
        <v>11</v>
      </c>
      <c r="C221" s="2" t="s">
        <v>19</v>
      </c>
      <c r="D221" s="2" t="s">
        <v>487</v>
      </c>
      <c r="E221" s="7">
        <v>42.8</v>
      </c>
      <c r="F221" s="2">
        <v>8</v>
      </c>
      <c r="G221" s="7">
        <v>64.97</v>
      </c>
      <c r="H221" s="2" t="s">
        <v>488</v>
      </c>
      <c r="I221" s="2" t="s">
        <v>35</v>
      </c>
      <c r="J221" s="2" t="s">
        <v>30</v>
      </c>
      <c r="K221" s="2" t="s">
        <v>17</v>
      </c>
      <c r="L221" s="7">
        <f>Table3[[#This Row],[Revenue]]-Table3[[#This Row],[Ad Spend]]</f>
        <v>22.17</v>
      </c>
      <c r="M221" s="11">
        <v>98.96</v>
      </c>
    </row>
    <row r="222" spans="1:13" ht="15.75" customHeight="1" x14ac:dyDescent="0.3">
      <c r="A222" s="4" t="s">
        <v>139</v>
      </c>
      <c r="B222">
        <f t="shared" si="3"/>
        <v>12</v>
      </c>
      <c r="C222" s="2" t="s">
        <v>32</v>
      </c>
      <c r="D222" s="2" t="s">
        <v>116</v>
      </c>
      <c r="E222" s="7">
        <v>20.170000000000002</v>
      </c>
      <c r="F222" s="2">
        <v>7</v>
      </c>
      <c r="G222" s="7">
        <v>22.84</v>
      </c>
      <c r="H222" s="2" t="s">
        <v>14</v>
      </c>
      <c r="I222" s="2" t="s">
        <v>29</v>
      </c>
      <c r="J222" s="2" t="s">
        <v>36</v>
      </c>
      <c r="K222" s="2" t="s">
        <v>17</v>
      </c>
      <c r="L222" s="7">
        <f>Table3[[#This Row],[Revenue]]-Table3[[#This Row],[Ad Spend]]</f>
        <v>2.6699999999999982</v>
      </c>
      <c r="M222" s="11">
        <v>122.17</v>
      </c>
    </row>
    <row r="223" spans="1:13" ht="15.75" customHeight="1" x14ac:dyDescent="0.3">
      <c r="A223" s="4" t="s">
        <v>31</v>
      </c>
      <c r="B223">
        <f t="shared" si="3"/>
        <v>1</v>
      </c>
      <c r="C223" s="2" t="s">
        <v>63</v>
      </c>
      <c r="D223" s="2" t="s">
        <v>275</v>
      </c>
      <c r="E223" s="7">
        <v>9.94</v>
      </c>
      <c r="F223" s="2">
        <v>3</v>
      </c>
      <c r="G223" s="7">
        <v>41.37</v>
      </c>
      <c r="H223" s="2" t="s">
        <v>489</v>
      </c>
      <c r="I223" s="2" t="s">
        <v>15</v>
      </c>
      <c r="J223" s="2" t="s">
        <v>36</v>
      </c>
      <c r="K223" s="2" t="s">
        <v>17</v>
      </c>
      <c r="L223" s="7">
        <f>Table3[[#This Row],[Revenue]]-Table3[[#This Row],[Ad Spend]]</f>
        <v>31.43</v>
      </c>
      <c r="M223" s="11">
        <v>148.15</v>
      </c>
    </row>
    <row r="224" spans="1:13" ht="15.75" customHeight="1" x14ac:dyDescent="0.3">
      <c r="A224" s="4" t="s">
        <v>159</v>
      </c>
      <c r="B224">
        <f t="shared" si="3"/>
        <v>2</v>
      </c>
      <c r="C224" s="2" t="s">
        <v>32</v>
      </c>
      <c r="D224" s="2" t="s">
        <v>490</v>
      </c>
      <c r="E224" s="7">
        <v>78.73</v>
      </c>
      <c r="F224" s="2">
        <v>2</v>
      </c>
      <c r="G224" s="7">
        <v>381.25</v>
      </c>
      <c r="H224" s="2" t="s">
        <v>491</v>
      </c>
      <c r="I224" s="2" t="s">
        <v>15</v>
      </c>
      <c r="J224" s="2" t="s">
        <v>30</v>
      </c>
      <c r="K224" s="2" t="s">
        <v>17</v>
      </c>
      <c r="L224" s="7">
        <f>Table3[[#This Row],[Revenue]]-Table3[[#This Row],[Ad Spend]]</f>
        <v>302.52</v>
      </c>
      <c r="M224" s="11">
        <v>130.6</v>
      </c>
    </row>
    <row r="225" spans="1:13" ht="15.75" customHeight="1" x14ac:dyDescent="0.3">
      <c r="A225" s="4" t="s">
        <v>22</v>
      </c>
      <c r="B225">
        <f t="shared" si="3"/>
        <v>4</v>
      </c>
      <c r="C225" s="2" t="s">
        <v>32</v>
      </c>
      <c r="D225" s="2" t="s">
        <v>492</v>
      </c>
      <c r="E225" s="7">
        <v>50.77</v>
      </c>
      <c r="F225" s="2">
        <v>2</v>
      </c>
      <c r="G225" s="7">
        <v>216.82</v>
      </c>
      <c r="H225" s="2" t="s">
        <v>493</v>
      </c>
      <c r="I225" s="2" t="s">
        <v>15</v>
      </c>
      <c r="J225" s="2" t="s">
        <v>53</v>
      </c>
      <c r="K225" s="2" t="s">
        <v>17</v>
      </c>
      <c r="L225" s="7">
        <f>Table3[[#This Row],[Revenue]]-Table3[[#This Row],[Ad Spend]]</f>
        <v>166.04999999999998</v>
      </c>
      <c r="M225" s="11">
        <v>92.84</v>
      </c>
    </row>
    <row r="226" spans="1:13" ht="15.75" customHeight="1" x14ac:dyDescent="0.3">
      <c r="A226" s="4" t="s">
        <v>280</v>
      </c>
      <c r="B226">
        <f t="shared" si="3"/>
        <v>2</v>
      </c>
      <c r="C226" s="2" t="s">
        <v>32</v>
      </c>
      <c r="D226" s="2" t="s">
        <v>494</v>
      </c>
      <c r="E226" s="7">
        <v>51.48</v>
      </c>
      <c r="F226" s="2">
        <v>10</v>
      </c>
      <c r="G226" s="7">
        <v>307.92</v>
      </c>
      <c r="H226" s="2" t="s">
        <v>249</v>
      </c>
      <c r="I226" s="2" t="s">
        <v>29</v>
      </c>
      <c r="J226" s="2" t="s">
        <v>16</v>
      </c>
      <c r="K226" s="2" t="s">
        <v>17</v>
      </c>
      <c r="L226" s="7">
        <f>Table3[[#This Row],[Revenue]]-Table3[[#This Row],[Ad Spend]]</f>
        <v>256.44</v>
      </c>
      <c r="M226" s="11">
        <v>114.15</v>
      </c>
    </row>
    <row r="227" spans="1:13" ht="15.75" customHeight="1" x14ac:dyDescent="0.3">
      <c r="A227" s="4" t="s">
        <v>131</v>
      </c>
      <c r="B227">
        <f t="shared" si="3"/>
        <v>11</v>
      </c>
      <c r="C227" s="2" t="s">
        <v>12</v>
      </c>
      <c r="D227" s="2" t="s">
        <v>495</v>
      </c>
      <c r="E227" s="7">
        <v>61.77</v>
      </c>
      <c r="F227" s="2">
        <v>7</v>
      </c>
      <c r="G227" s="7">
        <v>316.54000000000002</v>
      </c>
      <c r="H227" s="2" t="s">
        <v>461</v>
      </c>
      <c r="I227" s="2" t="s">
        <v>35</v>
      </c>
      <c r="J227" s="2" t="s">
        <v>25</v>
      </c>
      <c r="K227" s="2" t="s">
        <v>17</v>
      </c>
      <c r="L227" s="7">
        <f>Table3[[#This Row],[Revenue]]-Table3[[#This Row],[Ad Spend]]</f>
        <v>254.77</v>
      </c>
      <c r="M227" s="11">
        <v>139.38999999999999</v>
      </c>
    </row>
    <row r="228" spans="1:13" ht="15.75" customHeight="1" x14ac:dyDescent="0.3">
      <c r="A228" s="4" t="s">
        <v>496</v>
      </c>
      <c r="B228">
        <f t="shared" si="3"/>
        <v>1</v>
      </c>
      <c r="C228" s="2" t="s">
        <v>12</v>
      </c>
      <c r="D228" s="2" t="s">
        <v>497</v>
      </c>
      <c r="E228" s="7">
        <v>95.16</v>
      </c>
      <c r="F228" s="2">
        <v>5</v>
      </c>
      <c r="G228" s="7">
        <v>74.28</v>
      </c>
      <c r="H228" s="2" t="s">
        <v>498</v>
      </c>
      <c r="I228" s="2" t="s">
        <v>35</v>
      </c>
      <c r="J228" s="2" t="s">
        <v>53</v>
      </c>
      <c r="K228" s="2" t="s">
        <v>17</v>
      </c>
      <c r="L228" s="7">
        <f>Table3[[#This Row],[Revenue]]-Table3[[#This Row],[Ad Spend]]</f>
        <v>-20.879999999999995</v>
      </c>
      <c r="M228" s="11">
        <v>98.93</v>
      </c>
    </row>
    <row r="229" spans="1:13" ht="15.75" customHeight="1" x14ac:dyDescent="0.3">
      <c r="A229" s="4" t="s">
        <v>499</v>
      </c>
      <c r="B229">
        <f t="shared" si="3"/>
        <v>4</v>
      </c>
      <c r="C229" s="2" t="s">
        <v>12</v>
      </c>
      <c r="D229" s="2" t="s">
        <v>500</v>
      </c>
      <c r="E229" s="7">
        <v>110.29</v>
      </c>
      <c r="F229" s="2">
        <v>9</v>
      </c>
      <c r="G229" s="7">
        <v>449.99</v>
      </c>
      <c r="H229" s="2" t="s">
        <v>501</v>
      </c>
      <c r="I229" s="2" t="s">
        <v>29</v>
      </c>
      <c r="J229" s="2" t="s">
        <v>30</v>
      </c>
      <c r="K229" s="2" t="s">
        <v>17</v>
      </c>
      <c r="L229" s="7">
        <f>Table3[[#This Row],[Revenue]]-Table3[[#This Row],[Ad Spend]]</f>
        <v>339.7</v>
      </c>
      <c r="M229" s="11">
        <v>150.13</v>
      </c>
    </row>
    <row r="230" spans="1:13" ht="15.75" customHeight="1" x14ac:dyDescent="0.3">
      <c r="A230" s="4" t="s">
        <v>26</v>
      </c>
      <c r="B230">
        <f t="shared" si="3"/>
        <v>12</v>
      </c>
      <c r="C230" s="2" t="s">
        <v>32</v>
      </c>
      <c r="D230" s="2" t="s">
        <v>23</v>
      </c>
      <c r="E230" s="7">
        <v>8.18</v>
      </c>
      <c r="F230" s="2">
        <v>10</v>
      </c>
      <c r="G230" s="7">
        <v>63.91</v>
      </c>
      <c r="H230" s="2" t="s">
        <v>461</v>
      </c>
      <c r="I230" s="2" t="s">
        <v>15</v>
      </c>
      <c r="J230" s="2" t="s">
        <v>25</v>
      </c>
      <c r="K230" s="2" t="s">
        <v>17</v>
      </c>
      <c r="L230" s="7">
        <f>Table3[[#This Row],[Revenue]]-Table3[[#This Row],[Ad Spend]]</f>
        <v>55.73</v>
      </c>
      <c r="M230" s="11">
        <v>143.13</v>
      </c>
    </row>
    <row r="231" spans="1:13" ht="15.75" customHeight="1" x14ac:dyDescent="0.3">
      <c r="A231" s="4" t="s">
        <v>502</v>
      </c>
      <c r="B231">
        <f t="shared" si="3"/>
        <v>12</v>
      </c>
      <c r="C231" s="2" t="s">
        <v>32</v>
      </c>
      <c r="D231" s="2" t="s">
        <v>503</v>
      </c>
      <c r="E231" s="7">
        <v>114.98</v>
      </c>
      <c r="F231" s="2">
        <v>5</v>
      </c>
      <c r="G231" s="7">
        <v>90.59</v>
      </c>
      <c r="H231" s="2" t="s">
        <v>28</v>
      </c>
      <c r="I231" s="2" t="s">
        <v>29</v>
      </c>
      <c r="J231" s="2" t="s">
        <v>30</v>
      </c>
      <c r="K231" s="2" t="s">
        <v>17</v>
      </c>
      <c r="L231" s="7">
        <f>Table3[[#This Row],[Revenue]]-Table3[[#This Row],[Ad Spend]]</f>
        <v>-24.39</v>
      </c>
      <c r="M231" s="11">
        <v>136.30000000000001</v>
      </c>
    </row>
    <row r="232" spans="1:13" ht="15.75" customHeight="1" x14ac:dyDescent="0.3">
      <c r="A232" s="4" t="s">
        <v>504</v>
      </c>
      <c r="B232">
        <f t="shared" si="3"/>
        <v>12</v>
      </c>
      <c r="C232" s="2" t="s">
        <v>19</v>
      </c>
      <c r="D232" s="2" t="s">
        <v>505</v>
      </c>
      <c r="E232" s="7">
        <v>55.58</v>
      </c>
      <c r="F232" s="2">
        <v>5</v>
      </c>
      <c r="G232" s="7">
        <v>404.85</v>
      </c>
      <c r="H232" s="2" t="s">
        <v>506</v>
      </c>
      <c r="I232" s="2" t="s">
        <v>15</v>
      </c>
      <c r="J232" s="2" t="s">
        <v>25</v>
      </c>
      <c r="K232" s="2" t="s">
        <v>17</v>
      </c>
      <c r="L232" s="7">
        <f>Table3[[#This Row],[Revenue]]-Table3[[#This Row],[Ad Spend]]</f>
        <v>349.27000000000004</v>
      </c>
      <c r="M232" s="11">
        <v>152.30000000000001</v>
      </c>
    </row>
    <row r="233" spans="1:13" ht="15.75" customHeight="1" x14ac:dyDescent="0.3">
      <c r="A233" s="4" t="s">
        <v>338</v>
      </c>
      <c r="B233">
        <f t="shared" si="3"/>
        <v>4</v>
      </c>
      <c r="C233" s="2" t="s">
        <v>19</v>
      </c>
      <c r="D233" s="2" t="s">
        <v>507</v>
      </c>
      <c r="E233" s="7">
        <v>127.73</v>
      </c>
      <c r="F233" s="2">
        <v>9</v>
      </c>
      <c r="G233" s="7">
        <v>473.31</v>
      </c>
      <c r="H233" s="2" t="s">
        <v>508</v>
      </c>
      <c r="I233" s="2" t="s">
        <v>15</v>
      </c>
      <c r="J233" s="2" t="s">
        <v>87</v>
      </c>
      <c r="K233" s="2" t="s">
        <v>17</v>
      </c>
      <c r="L233" s="7">
        <f>Table3[[#This Row],[Revenue]]-Table3[[#This Row],[Ad Spend]]</f>
        <v>345.58</v>
      </c>
      <c r="M233" s="11">
        <v>212.05</v>
      </c>
    </row>
    <row r="234" spans="1:13" ht="15.75" customHeight="1" x14ac:dyDescent="0.3">
      <c r="A234" s="4" t="s">
        <v>415</v>
      </c>
      <c r="B234">
        <f t="shared" si="3"/>
        <v>4</v>
      </c>
      <c r="C234" s="2" t="s">
        <v>63</v>
      </c>
      <c r="D234" s="2" t="s">
        <v>509</v>
      </c>
      <c r="E234" s="7">
        <v>24.62</v>
      </c>
      <c r="F234" s="2">
        <v>3</v>
      </c>
      <c r="G234" s="7">
        <v>361.91</v>
      </c>
      <c r="H234" s="2" t="s">
        <v>510</v>
      </c>
      <c r="I234" s="2" t="s">
        <v>15</v>
      </c>
      <c r="J234" s="2" t="s">
        <v>25</v>
      </c>
      <c r="K234" s="2" t="s">
        <v>17</v>
      </c>
      <c r="L234" s="7">
        <f>Table3[[#This Row],[Revenue]]-Table3[[#This Row],[Ad Spend]]</f>
        <v>337.29</v>
      </c>
      <c r="M234" s="11">
        <v>150.11000000000001</v>
      </c>
    </row>
    <row r="235" spans="1:13" ht="15.75" customHeight="1" x14ac:dyDescent="0.3">
      <c r="A235" s="4" t="s">
        <v>511</v>
      </c>
      <c r="B235">
        <f t="shared" si="3"/>
        <v>12</v>
      </c>
      <c r="C235" s="2" t="s">
        <v>19</v>
      </c>
      <c r="D235" s="2" t="s">
        <v>512</v>
      </c>
      <c r="E235" s="7">
        <v>119.07</v>
      </c>
      <c r="F235" s="2">
        <v>10</v>
      </c>
      <c r="G235" s="7">
        <v>82.85</v>
      </c>
      <c r="H235" s="2" t="s">
        <v>471</v>
      </c>
      <c r="I235" s="2" t="s">
        <v>35</v>
      </c>
      <c r="J235" s="2" t="s">
        <v>16</v>
      </c>
      <c r="K235" s="2" t="s">
        <v>17</v>
      </c>
      <c r="L235" s="7">
        <f>Table3[[#This Row],[Revenue]]-Table3[[#This Row],[Ad Spend]]</f>
        <v>-36.22</v>
      </c>
      <c r="M235" s="11">
        <v>121.17</v>
      </c>
    </row>
    <row r="236" spans="1:13" ht="15.75" customHeight="1" x14ac:dyDescent="0.3">
      <c r="A236" s="4" t="s">
        <v>459</v>
      </c>
      <c r="B236">
        <f t="shared" si="3"/>
        <v>4</v>
      </c>
      <c r="C236" s="2" t="s">
        <v>12</v>
      </c>
      <c r="D236" s="2" t="s">
        <v>513</v>
      </c>
      <c r="E236" s="7">
        <v>141.38</v>
      </c>
      <c r="F236" s="2">
        <v>1</v>
      </c>
      <c r="G236" s="7">
        <v>285.87</v>
      </c>
      <c r="H236" s="2" t="s">
        <v>180</v>
      </c>
      <c r="I236" s="2" t="s">
        <v>35</v>
      </c>
      <c r="J236" s="2" t="s">
        <v>25</v>
      </c>
      <c r="K236" s="2" t="s">
        <v>17</v>
      </c>
      <c r="L236" s="7">
        <f>Table3[[#This Row],[Revenue]]-Table3[[#This Row],[Ad Spend]]</f>
        <v>144.49</v>
      </c>
      <c r="M236" s="11">
        <v>141.86000000000001</v>
      </c>
    </row>
    <row r="237" spans="1:13" ht="15.75" customHeight="1" x14ac:dyDescent="0.3">
      <c r="A237" s="4" t="s">
        <v>230</v>
      </c>
      <c r="B237">
        <f t="shared" si="3"/>
        <v>1</v>
      </c>
      <c r="C237" s="2" t="s">
        <v>12</v>
      </c>
      <c r="D237" s="2" t="s">
        <v>1</v>
      </c>
      <c r="E237" s="7">
        <v>9.2899999999999991</v>
      </c>
      <c r="F237" s="2">
        <v>1</v>
      </c>
      <c r="G237" s="7">
        <v>316.56</v>
      </c>
      <c r="H237" s="2" t="s">
        <v>514</v>
      </c>
      <c r="I237" s="2" t="s">
        <v>35</v>
      </c>
      <c r="J237" s="2" t="s">
        <v>87</v>
      </c>
      <c r="K237" s="2" t="s">
        <v>17</v>
      </c>
      <c r="L237" s="7">
        <f>Table3[[#This Row],[Revenue]]-Table3[[#This Row],[Ad Spend]]</f>
        <v>307.27</v>
      </c>
      <c r="M237" s="11">
        <v>188.12</v>
      </c>
    </row>
    <row r="238" spans="1:13" ht="15.75" customHeight="1" x14ac:dyDescent="0.3">
      <c r="A238" s="4" t="s">
        <v>515</v>
      </c>
      <c r="B238">
        <f t="shared" si="3"/>
        <v>3</v>
      </c>
      <c r="C238" s="2" t="s">
        <v>32</v>
      </c>
      <c r="D238" s="2" t="s">
        <v>516</v>
      </c>
      <c r="E238" s="7">
        <v>73.459999999999994</v>
      </c>
      <c r="F238" s="2">
        <v>8</v>
      </c>
      <c r="G238" s="7">
        <v>147.27000000000001</v>
      </c>
      <c r="H238" s="2" t="s">
        <v>372</v>
      </c>
      <c r="I238" s="2" t="s">
        <v>15</v>
      </c>
      <c r="J238" s="2" t="s">
        <v>25</v>
      </c>
      <c r="K238" s="2" t="s">
        <v>17</v>
      </c>
      <c r="L238" s="7">
        <f>Table3[[#This Row],[Revenue]]-Table3[[#This Row],[Ad Spend]]</f>
        <v>73.810000000000016</v>
      </c>
      <c r="M238" s="11">
        <v>117.48</v>
      </c>
    </row>
    <row r="239" spans="1:13" ht="15.75" customHeight="1" x14ac:dyDescent="0.3">
      <c r="A239" s="4" t="s">
        <v>211</v>
      </c>
      <c r="B239">
        <f t="shared" si="3"/>
        <v>2</v>
      </c>
      <c r="C239" s="2" t="s">
        <v>63</v>
      </c>
      <c r="D239" s="2" t="s">
        <v>517</v>
      </c>
      <c r="E239" s="7">
        <v>56.08</v>
      </c>
      <c r="F239" s="2">
        <v>3</v>
      </c>
      <c r="G239" s="7">
        <v>304.73</v>
      </c>
      <c r="H239" s="2" t="s">
        <v>372</v>
      </c>
      <c r="I239" s="2" t="s">
        <v>35</v>
      </c>
      <c r="J239" s="2" t="s">
        <v>36</v>
      </c>
      <c r="K239" s="2" t="s">
        <v>17</v>
      </c>
      <c r="L239" s="7">
        <f>Table3[[#This Row],[Revenue]]-Table3[[#This Row],[Ad Spend]]</f>
        <v>248.65000000000003</v>
      </c>
      <c r="M239" s="11">
        <v>113.52</v>
      </c>
    </row>
    <row r="240" spans="1:13" ht="15.75" customHeight="1" x14ac:dyDescent="0.3">
      <c r="A240" s="4" t="s">
        <v>478</v>
      </c>
      <c r="B240">
        <f t="shared" si="3"/>
        <v>3</v>
      </c>
      <c r="C240" s="2" t="s">
        <v>63</v>
      </c>
      <c r="D240" s="2" t="s">
        <v>518</v>
      </c>
      <c r="E240" s="7">
        <v>7.07</v>
      </c>
      <c r="F240" s="2">
        <v>10</v>
      </c>
      <c r="G240" s="7">
        <v>292.92</v>
      </c>
      <c r="H240" s="2" t="s">
        <v>14</v>
      </c>
      <c r="I240" s="2" t="s">
        <v>35</v>
      </c>
      <c r="J240" s="2" t="s">
        <v>36</v>
      </c>
      <c r="K240" s="2" t="s">
        <v>17</v>
      </c>
      <c r="L240" s="7">
        <f>Table3[[#This Row],[Revenue]]-Table3[[#This Row],[Ad Spend]]</f>
        <v>285.85000000000002</v>
      </c>
      <c r="M240" s="11">
        <v>112.04</v>
      </c>
    </row>
    <row r="241" spans="1:13" ht="15.75" customHeight="1" x14ac:dyDescent="0.3">
      <c r="A241" s="4" t="s">
        <v>519</v>
      </c>
      <c r="B241">
        <f t="shared" si="3"/>
        <v>4</v>
      </c>
      <c r="C241" s="2" t="s">
        <v>12</v>
      </c>
      <c r="D241" s="2" t="s">
        <v>140</v>
      </c>
      <c r="E241" s="7">
        <v>146.62</v>
      </c>
      <c r="F241" s="2">
        <v>4</v>
      </c>
      <c r="G241" s="7">
        <v>280.66000000000003</v>
      </c>
      <c r="H241" s="2" t="s">
        <v>520</v>
      </c>
      <c r="I241" s="2" t="s">
        <v>15</v>
      </c>
      <c r="J241" s="2" t="s">
        <v>30</v>
      </c>
      <c r="K241" s="2" t="s">
        <v>17</v>
      </c>
      <c r="L241" s="7">
        <f>Table3[[#This Row],[Revenue]]-Table3[[#This Row],[Ad Spend]]</f>
        <v>134.04000000000002</v>
      </c>
      <c r="M241" s="11">
        <v>135.28</v>
      </c>
    </row>
    <row r="242" spans="1:13" ht="15.75" customHeight="1" x14ac:dyDescent="0.3">
      <c r="A242" s="4" t="s">
        <v>478</v>
      </c>
      <c r="B242">
        <f t="shared" si="3"/>
        <v>3</v>
      </c>
      <c r="C242" s="2" t="s">
        <v>63</v>
      </c>
      <c r="D242" s="2" t="s">
        <v>521</v>
      </c>
      <c r="E242" s="7">
        <v>44.98</v>
      </c>
      <c r="F242" s="2">
        <v>2</v>
      </c>
      <c r="G242" s="7">
        <v>424.1</v>
      </c>
      <c r="H242" s="2" t="s">
        <v>49</v>
      </c>
      <c r="I242" s="2" t="s">
        <v>15</v>
      </c>
      <c r="J242" s="2" t="s">
        <v>30</v>
      </c>
      <c r="K242" s="2" t="s">
        <v>17</v>
      </c>
      <c r="L242" s="7">
        <f>Table3[[#This Row],[Revenue]]-Table3[[#This Row],[Ad Spend]]</f>
        <v>379.12</v>
      </c>
      <c r="M242" s="11">
        <v>128.97</v>
      </c>
    </row>
    <row r="243" spans="1:13" ht="15.75" customHeight="1" x14ac:dyDescent="0.3">
      <c r="A243" s="4" t="s">
        <v>522</v>
      </c>
      <c r="B243">
        <f t="shared" si="3"/>
        <v>1</v>
      </c>
      <c r="C243" s="2" t="s">
        <v>63</v>
      </c>
      <c r="D243" s="2" t="s">
        <v>523</v>
      </c>
      <c r="E243" s="7">
        <v>107.4</v>
      </c>
      <c r="F243" s="2">
        <v>6</v>
      </c>
      <c r="G243" s="7">
        <v>393.44</v>
      </c>
      <c r="H243" s="2" t="s">
        <v>524</v>
      </c>
      <c r="I243" s="2" t="s">
        <v>15</v>
      </c>
      <c r="J243" s="2" t="s">
        <v>30</v>
      </c>
      <c r="K243" s="2" t="s">
        <v>17</v>
      </c>
      <c r="L243" s="7">
        <f>Table3[[#This Row],[Revenue]]-Table3[[#This Row],[Ad Spend]]</f>
        <v>286.03999999999996</v>
      </c>
      <c r="M243" s="11">
        <v>178.19</v>
      </c>
    </row>
    <row r="244" spans="1:13" ht="15.75" customHeight="1" x14ac:dyDescent="0.3">
      <c r="A244" s="4" t="s">
        <v>392</v>
      </c>
      <c r="B244">
        <f t="shared" si="3"/>
        <v>1</v>
      </c>
      <c r="C244" s="2" t="s">
        <v>12</v>
      </c>
      <c r="D244" s="2" t="s">
        <v>525</v>
      </c>
      <c r="E244" s="7">
        <v>90</v>
      </c>
      <c r="F244" s="2">
        <v>3</v>
      </c>
      <c r="G244" s="7">
        <v>195.18</v>
      </c>
      <c r="H244" s="2" t="s">
        <v>180</v>
      </c>
      <c r="I244" s="2" t="s">
        <v>15</v>
      </c>
      <c r="J244" s="2" t="s">
        <v>16</v>
      </c>
      <c r="K244" s="2" t="s">
        <v>17</v>
      </c>
      <c r="L244" s="7">
        <f>Table3[[#This Row],[Revenue]]-Table3[[#This Row],[Ad Spend]]</f>
        <v>105.18</v>
      </c>
      <c r="M244" s="11">
        <v>134.61000000000001</v>
      </c>
    </row>
    <row r="245" spans="1:13" ht="15.75" customHeight="1" x14ac:dyDescent="0.3">
      <c r="A245" s="4" t="s">
        <v>47</v>
      </c>
      <c r="B245">
        <f t="shared" si="3"/>
        <v>12</v>
      </c>
      <c r="C245" s="2" t="s">
        <v>19</v>
      </c>
      <c r="D245" s="2" t="s">
        <v>526</v>
      </c>
      <c r="E245" s="7">
        <v>92.06</v>
      </c>
      <c r="F245" s="2">
        <v>1</v>
      </c>
      <c r="G245" s="7">
        <v>226.1</v>
      </c>
      <c r="H245" s="2" t="s">
        <v>501</v>
      </c>
      <c r="I245" s="2" t="s">
        <v>15</v>
      </c>
      <c r="J245" s="2" t="s">
        <v>53</v>
      </c>
      <c r="K245" s="2" t="s">
        <v>17</v>
      </c>
      <c r="L245" s="7">
        <f>Table3[[#This Row],[Revenue]]-Table3[[#This Row],[Ad Spend]]</f>
        <v>134.04</v>
      </c>
      <c r="M245" s="11">
        <v>146.44</v>
      </c>
    </row>
    <row r="246" spans="1:13" ht="15.75" customHeight="1" x14ac:dyDescent="0.3">
      <c r="A246" s="4" t="s">
        <v>527</v>
      </c>
      <c r="B246">
        <f t="shared" si="3"/>
        <v>1</v>
      </c>
      <c r="C246" s="2" t="s">
        <v>63</v>
      </c>
      <c r="D246" s="2" t="s">
        <v>528</v>
      </c>
      <c r="E246" s="7">
        <v>56.45</v>
      </c>
      <c r="F246" s="2">
        <v>8</v>
      </c>
      <c r="G246" s="7">
        <v>485.02</v>
      </c>
      <c r="H246" s="2" t="s">
        <v>489</v>
      </c>
      <c r="I246" s="2" t="s">
        <v>15</v>
      </c>
      <c r="J246" s="2" t="s">
        <v>30</v>
      </c>
      <c r="K246" s="2" t="s">
        <v>17</v>
      </c>
      <c r="L246" s="7">
        <f>Table3[[#This Row],[Revenue]]-Table3[[#This Row],[Ad Spend]]</f>
        <v>428.57</v>
      </c>
      <c r="M246" s="11">
        <v>138.49</v>
      </c>
    </row>
    <row r="247" spans="1:13" ht="15.75" customHeight="1" x14ac:dyDescent="0.3">
      <c r="A247" s="4" t="s">
        <v>79</v>
      </c>
      <c r="B247">
        <f t="shared" si="3"/>
        <v>11</v>
      </c>
      <c r="C247" s="2" t="s">
        <v>63</v>
      </c>
      <c r="D247" s="2" t="s">
        <v>348</v>
      </c>
      <c r="E247" s="7">
        <v>55.34</v>
      </c>
      <c r="F247" s="2">
        <v>8</v>
      </c>
      <c r="G247" s="7">
        <v>270.92</v>
      </c>
      <c r="H247" s="2" t="s">
        <v>529</v>
      </c>
      <c r="I247" s="2" t="s">
        <v>29</v>
      </c>
      <c r="J247" s="2" t="s">
        <v>25</v>
      </c>
      <c r="K247" s="2" t="s">
        <v>17</v>
      </c>
      <c r="L247" s="7">
        <f>Table3[[#This Row],[Revenue]]-Table3[[#This Row],[Ad Spend]]</f>
        <v>215.58</v>
      </c>
      <c r="M247" s="11">
        <v>140.35</v>
      </c>
    </row>
    <row r="248" spans="1:13" ht="15.75" customHeight="1" x14ac:dyDescent="0.3">
      <c r="A248" s="4" t="s">
        <v>172</v>
      </c>
      <c r="B248">
        <f t="shared" si="3"/>
        <v>2</v>
      </c>
      <c r="C248" s="2" t="s">
        <v>19</v>
      </c>
      <c r="D248" s="2" t="s">
        <v>530</v>
      </c>
      <c r="E248" s="7">
        <v>136.55000000000001</v>
      </c>
      <c r="F248" s="2">
        <v>4</v>
      </c>
      <c r="G248" s="7">
        <v>215.75</v>
      </c>
      <c r="H248" s="2" t="s">
        <v>401</v>
      </c>
      <c r="I248" s="2" t="s">
        <v>35</v>
      </c>
      <c r="J248" s="2" t="s">
        <v>30</v>
      </c>
      <c r="K248" s="2" t="s">
        <v>17</v>
      </c>
      <c r="L248" s="7">
        <f>Table3[[#This Row],[Revenue]]-Table3[[#This Row],[Ad Spend]]</f>
        <v>79.199999999999989</v>
      </c>
      <c r="M248" s="11">
        <v>135.47</v>
      </c>
    </row>
    <row r="249" spans="1:13" ht="15.75" customHeight="1" x14ac:dyDescent="0.3">
      <c r="A249" s="4" t="s">
        <v>353</v>
      </c>
      <c r="B249">
        <f t="shared" si="3"/>
        <v>1</v>
      </c>
      <c r="C249" s="2" t="s">
        <v>32</v>
      </c>
      <c r="D249" s="2" t="s">
        <v>531</v>
      </c>
      <c r="E249" s="7">
        <v>37.67</v>
      </c>
      <c r="F249" s="2">
        <v>3</v>
      </c>
      <c r="G249" s="7">
        <v>47.7</v>
      </c>
      <c r="H249" s="2" t="s">
        <v>279</v>
      </c>
      <c r="I249" s="2" t="s">
        <v>29</v>
      </c>
      <c r="J249" s="2" t="s">
        <v>30</v>
      </c>
      <c r="K249" s="2" t="s">
        <v>17</v>
      </c>
      <c r="L249" s="7">
        <f>Table3[[#This Row],[Revenue]]-Table3[[#This Row],[Ad Spend]]</f>
        <v>10.030000000000001</v>
      </c>
      <c r="M249" s="11">
        <v>132.12</v>
      </c>
    </row>
    <row r="250" spans="1:13" ht="15.75" customHeight="1" x14ac:dyDescent="0.3">
      <c r="A250" s="4" t="s">
        <v>532</v>
      </c>
      <c r="B250">
        <f t="shared" si="3"/>
        <v>2</v>
      </c>
      <c r="C250" s="2" t="s">
        <v>19</v>
      </c>
      <c r="D250" s="2" t="s">
        <v>456</v>
      </c>
      <c r="E250" s="7">
        <v>37.369999999999997</v>
      </c>
      <c r="F250" s="2">
        <v>5</v>
      </c>
      <c r="G250" s="7">
        <v>214.75</v>
      </c>
      <c r="H250" s="2" t="s">
        <v>498</v>
      </c>
      <c r="I250" s="2" t="s">
        <v>29</v>
      </c>
      <c r="J250" s="2" t="s">
        <v>36</v>
      </c>
      <c r="K250" s="2" t="s">
        <v>17</v>
      </c>
      <c r="L250" s="7">
        <f>Table3[[#This Row],[Revenue]]-Table3[[#This Row],[Ad Spend]]</f>
        <v>177.38</v>
      </c>
      <c r="M250" s="11">
        <v>99.72</v>
      </c>
    </row>
    <row r="251" spans="1:13" ht="15.75" customHeight="1" x14ac:dyDescent="0.3">
      <c r="A251" s="4" t="s">
        <v>126</v>
      </c>
      <c r="B251">
        <f t="shared" si="3"/>
        <v>11</v>
      </c>
      <c r="C251" s="2" t="s">
        <v>63</v>
      </c>
      <c r="D251" s="2" t="s">
        <v>533</v>
      </c>
      <c r="E251" s="7">
        <v>95.41</v>
      </c>
      <c r="F251" s="2">
        <v>4</v>
      </c>
      <c r="G251" s="7">
        <v>116.07</v>
      </c>
      <c r="H251" s="2" t="s">
        <v>345</v>
      </c>
      <c r="I251" s="2" t="s">
        <v>35</v>
      </c>
      <c r="J251" s="2" t="s">
        <v>87</v>
      </c>
      <c r="K251" s="2" t="s">
        <v>17</v>
      </c>
      <c r="L251" s="7">
        <f>Table3[[#This Row],[Revenue]]-Table3[[#This Row],[Ad Spend]]</f>
        <v>20.659999999999997</v>
      </c>
      <c r="M251" s="11">
        <v>79.09</v>
      </c>
    </row>
    <row r="252" spans="1:13" ht="15.75" customHeight="1" x14ac:dyDescent="0.3">
      <c r="A252" s="4" t="s">
        <v>472</v>
      </c>
      <c r="B252">
        <f t="shared" si="3"/>
        <v>4</v>
      </c>
      <c r="C252" s="2" t="s">
        <v>32</v>
      </c>
      <c r="D252" s="2" t="s">
        <v>534</v>
      </c>
      <c r="E252" s="7">
        <v>78.849999999999994</v>
      </c>
      <c r="F252" s="2">
        <v>4</v>
      </c>
      <c r="G252" s="7">
        <v>218.47</v>
      </c>
      <c r="H252" s="2" t="s">
        <v>535</v>
      </c>
      <c r="I252" s="2" t="s">
        <v>15</v>
      </c>
      <c r="J252" s="2" t="s">
        <v>25</v>
      </c>
      <c r="K252" s="2" t="s">
        <v>17</v>
      </c>
      <c r="L252" s="7">
        <f>Table3[[#This Row],[Revenue]]-Table3[[#This Row],[Ad Spend]]</f>
        <v>139.62</v>
      </c>
      <c r="M252" s="11">
        <v>119.79</v>
      </c>
    </row>
    <row r="253" spans="1:13" ht="15.75" customHeight="1" x14ac:dyDescent="0.3">
      <c r="A253" s="4" t="s">
        <v>211</v>
      </c>
      <c r="B253">
        <f t="shared" si="3"/>
        <v>2</v>
      </c>
      <c r="C253" s="2" t="s">
        <v>63</v>
      </c>
      <c r="D253" s="2" t="s">
        <v>536</v>
      </c>
      <c r="E253" s="7">
        <v>88.36</v>
      </c>
      <c r="F253" s="2">
        <v>4</v>
      </c>
      <c r="G253" s="7">
        <v>195.58</v>
      </c>
      <c r="H253" s="2" t="s">
        <v>42</v>
      </c>
      <c r="I253" s="2" t="s">
        <v>15</v>
      </c>
      <c r="J253" s="2" t="s">
        <v>30</v>
      </c>
      <c r="K253" s="2" t="s">
        <v>17</v>
      </c>
      <c r="L253" s="7">
        <f>Table3[[#This Row],[Revenue]]-Table3[[#This Row],[Ad Spend]]</f>
        <v>107.22000000000001</v>
      </c>
      <c r="M253" s="11">
        <v>120.73</v>
      </c>
    </row>
    <row r="254" spans="1:13" ht="15.75" customHeight="1" x14ac:dyDescent="0.3">
      <c r="A254" s="4" t="s">
        <v>178</v>
      </c>
      <c r="B254">
        <f t="shared" si="3"/>
        <v>12</v>
      </c>
      <c r="C254" s="2" t="s">
        <v>19</v>
      </c>
      <c r="D254" s="2" t="s">
        <v>537</v>
      </c>
      <c r="E254" s="7">
        <v>143.46</v>
      </c>
      <c r="F254" s="2">
        <v>6</v>
      </c>
      <c r="G254" s="7">
        <v>360.26</v>
      </c>
      <c r="H254" s="2" t="s">
        <v>471</v>
      </c>
      <c r="I254" s="2" t="s">
        <v>35</v>
      </c>
      <c r="J254" s="2" t="s">
        <v>30</v>
      </c>
      <c r="K254" s="2" t="s">
        <v>17</v>
      </c>
      <c r="L254" s="7">
        <f>Table3[[#This Row],[Revenue]]-Table3[[#This Row],[Ad Spend]]</f>
        <v>216.79999999999998</v>
      </c>
      <c r="M254" s="11">
        <v>125.19</v>
      </c>
    </row>
    <row r="255" spans="1:13" ht="15.75" customHeight="1" x14ac:dyDescent="0.3">
      <c r="A255" s="4" t="s">
        <v>84</v>
      </c>
      <c r="B255">
        <f t="shared" si="3"/>
        <v>10</v>
      </c>
      <c r="C255" s="2" t="s">
        <v>12</v>
      </c>
      <c r="D255" s="2" t="s">
        <v>538</v>
      </c>
      <c r="E255" s="7">
        <v>38.24</v>
      </c>
      <c r="F255" s="2">
        <v>0</v>
      </c>
      <c r="G255" s="7">
        <v>54.84</v>
      </c>
      <c r="H255" s="2" t="s">
        <v>529</v>
      </c>
      <c r="I255" s="2" t="s">
        <v>35</v>
      </c>
      <c r="J255" s="2" t="s">
        <v>30</v>
      </c>
      <c r="K255" s="2" t="s">
        <v>46</v>
      </c>
      <c r="L255" s="7">
        <f>Table3[[#This Row],[Revenue]]-Table3[[#This Row],[Ad Spend]]</f>
        <v>16.600000000000001</v>
      </c>
      <c r="M255" s="11">
        <v>148.13</v>
      </c>
    </row>
    <row r="256" spans="1:13" ht="15.75" customHeight="1" x14ac:dyDescent="0.3">
      <c r="A256" s="4" t="s">
        <v>304</v>
      </c>
      <c r="B256">
        <f t="shared" si="3"/>
        <v>12</v>
      </c>
      <c r="C256" s="2" t="s">
        <v>32</v>
      </c>
      <c r="D256" s="2" t="s">
        <v>539</v>
      </c>
      <c r="E256" s="7">
        <v>66.290000000000006</v>
      </c>
      <c r="F256" s="2">
        <v>6</v>
      </c>
      <c r="G256" s="7">
        <v>280.18</v>
      </c>
      <c r="H256" s="2" t="s">
        <v>540</v>
      </c>
      <c r="I256" s="2" t="s">
        <v>29</v>
      </c>
      <c r="J256" s="2" t="s">
        <v>25</v>
      </c>
      <c r="K256" s="2" t="s">
        <v>17</v>
      </c>
      <c r="L256" s="7">
        <f>Table3[[#This Row],[Revenue]]-Table3[[#This Row],[Ad Spend]]</f>
        <v>213.89</v>
      </c>
      <c r="M256" s="11">
        <v>102.84</v>
      </c>
    </row>
    <row r="257" spans="1:13" ht="15.75" customHeight="1" x14ac:dyDescent="0.3">
      <c r="A257" s="4" t="s">
        <v>511</v>
      </c>
      <c r="B257">
        <f t="shared" si="3"/>
        <v>12</v>
      </c>
      <c r="C257" s="2" t="s">
        <v>32</v>
      </c>
      <c r="D257" s="2" t="s">
        <v>541</v>
      </c>
      <c r="E257" s="7">
        <v>77.23</v>
      </c>
      <c r="F257" s="2">
        <v>9</v>
      </c>
      <c r="G257" s="7">
        <v>274.36</v>
      </c>
      <c r="H257" s="2" t="s">
        <v>317</v>
      </c>
      <c r="I257" s="2" t="s">
        <v>35</v>
      </c>
      <c r="J257" s="2" t="s">
        <v>53</v>
      </c>
      <c r="K257" s="2" t="s">
        <v>17</v>
      </c>
      <c r="L257" s="7">
        <f>Table3[[#This Row],[Revenue]]-Table3[[#This Row],[Ad Spend]]</f>
        <v>197.13</v>
      </c>
      <c r="M257" s="11">
        <v>150.69999999999999</v>
      </c>
    </row>
    <row r="258" spans="1:13" ht="15.75" customHeight="1" x14ac:dyDescent="0.3">
      <c r="A258" s="4" t="s">
        <v>496</v>
      </c>
      <c r="B258">
        <f t="shared" si="3"/>
        <v>1</v>
      </c>
      <c r="C258" s="2" t="s">
        <v>63</v>
      </c>
      <c r="D258" s="2" t="s">
        <v>542</v>
      </c>
      <c r="E258" s="7">
        <v>32.909999999999997</v>
      </c>
      <c r="F258" s="2">
        <v>10</v>
      </c>
      <c r="G258" s="7">
        <v>498.06</v>
      </c>
      <c r="H258" s="2" t="s">
        <v>96</v>
      </c>
      <c r="I258" s="2" t="s">
        <v>15</v>
      </c>
      <c r="J258" s="2" t="s">
        <v>87</v>
      </c>
      <c r="K258" s="2" t="s">
        <v>17</v>
      </c>
      <c r="L258" s="7">
        <f>Table3[[#This Row],[Revenue]]-Table3[[#This Row],[Ad Spend]]</f>
        <v>465.15</v>
      </c>
      <c r="M258" s="11">
        <v>133.83000000000001</v>
      </c>
    </row>
    <row r="259" spans="1:13" ht="15.75" customHeight="1" x14ac:dyDescent="0.3">
      <c r="A259" s="4" t="s">
        <v>543</v>
      </c>
      <c r="B259">
        <f t="shared" ref="B259:B322" si="4">MONTH(A259)</f>
        <v>4</v>
      </c>
      <c r="C259" s="2" t="s">
        <v>12</v>
      </c>
      <c r="D259" s="2" t="s">
        <v>544</v>
      </c>
      <c r="E259" s="7">
        <v>109.37</v>
      </c>
      <c r="F259" s="2">
        <v>2</v>
      </c>
      <c r="G259" s="7">
        <v>179.96</v>
      </c>
      <c r="H259" s="2" t="s">
        <v>243</v>
      </c>
      <c r="I259" s="2" t="s">
        <v>35</v>
      </c>
      <c r="J259" s="2" t="s">
        <v>25</v>
      </c>
      <c r="K259" s="2" t="s">
        <v>17</v>
      </c>
      <c r="L259" s="7">
        <f>Table3[[#This Row],[Revenue]]-Table3[[#This Row],[Ad Spend]]</f>
        <v>70.59</v>
      </c>
      <c r="M259" s="11">
        <v>122.04</v>
      </c>
    </row>
    <row r="260" spans="1:13" ht="15.75" customHeight="1" x14ac:dyDescent="0.3">
      <c r="A260" s="4" t="s">
        <v>84</v>
      </c>
      <c r="B260">
        <f t="shared" si="4"/>
        <v>10</v>
      </c>
      <c r="C260" s="2" t="s">
        <v>32</v>
      </c>
      <c r="D260" s="2" t="s">
        <v>545</v>
      </c>
      <c r="E260" s="7">
        <v>112.6</v>
      </c>
      <c r="F260" s="2">
        <v>3</v>
      </c>
      <c r="G260" s="7">
        <v>105.26</v>
      </c>
      <c r="H260" s="2" t="s">
        <v>232</v>
      </c>
      <c r="I260" s="2" t="s">
        <v>29</v>
      </c>
      <c r="J260" s="2" t="s">
        <v>30</v>
      </c>
      <c r="K260" s="2" t="s">
        <v>17</v>
      </c>
      <c r="L260" s="7">
        <f>Table3[[#This Row],[Revenue]]-Table3[[#This Row],[Ad Spend]]</f>
        <v>-7.3399999999999892</v>
      </c>
      <c r="M260" s="11">
        <v>131</v>
      </c>
    </row>
    <row r="261" spans="1:13" ht="15.75" customHeight="1" x14ac:dyDescent="0.3">
      <c r="A261" s="4" t="s">
        <v>448</v>
      </c>
      <c r="B261">
        <f t="shared" si="4"/>
        <v>12</v>
      </c>
      <c r="C261" s="2" t="s">
        <v>19</v>
      </c>
      <c r="D261" s="2" t="s">
        <v>546</v>
      </c>
      <c r="E261" s="7">
        <v>120.06</v>
      </c>
      <c r="F261" s="2">
        <v>5</v>
      </c>
      <c r="G261" s="7">
        <v>226.29</v>
      </c>
      <c r="H261" s="2" t="s">
        <v>81</v>
      </c>
      <c r="I261" s="2" t="s">
        <v>29</v>
      </c>
      <c r="J261" s="2" t="s">
        <v>25</v>
      </c>
      <c r="K261" s="2" t="s">
        <v>17</v>
      </c>
      <c r="L261" s="7">
        <f>Table3[[#This Row],[Revenue]]-Table3[[#This Row],[Ad Spend]]</f>
        <v>106.22999999999999</v>
      </c>
      <c r="M261" s="11">
        <v>133.09</v>
      </c>
    </row>
    <row r="262" spans="1:13" ht="15.75" customHeight="1" x14ac:dyDescent="0.3">
      <c r="A262" s="4" t="s">
        <v>156</v>
      </c>
      <c r="B262">
        <f t="shared" si="4"/>
        <v>12</v>
      </c>
      <c r="C262" s="2" t="s">
        <v>19</v>
      </c>
      <c r="D262" s="2" t="s">
        <v>163</v>
      </c>
      <c r="E262" s="7">
        <v>133.32</v>
      </c>
      <c r="F262" s="2">
        <v>0</v>
      </c>
      <c r="G262" s="7">
        <v>337.91</v>
      </c>
      <c r="H262" s="2" t="s">
        <v>52</v>
      </c>
      <c r="I262" s="2" t="s">
        <v>35</v>
      </c>
      <c r="J262" s="2" t="s">
        <v>25</v>
      </c>
      <c r="K262" s="2" t="s">
        <v>46</v>
      </c>
      <c r="L262" s="7">
        <f>Table3[[#This Row],[Revenue]]-Table3[[#This Row],[Ad Spend]]</f>
        <v>204.59000000000003</v>
      </c>
      <c r="M262" s="11">
        <v>118.4</v>
      </c>
    </row>
    <row r="263" spans="1:13" ht="15.75" customHeight="1" x14ac:dyDescent="0.3">
      <c r="A263" s="4" t="s">
        <v>136</v>
      </c>
      <c r="B263">
        <f t="shared" si="4"/>
        <v>2</v>
      </c>
      <c r="C263" s="2" t="s">
        <v>63</v>
      </c>
      <c r="D263" s="2" t="s">
        <v>547</v>
      </c>
      <c r="E263" s="7">
        <v>25.87</v>
      </c>
      <c r="F263" s="2">
        <v>5</v>
      </c>
      <c r="G263" s="7">
        <v>403.4</v>
      </c>
      <c r="H263" s="2" t="s">
        <v>24</v>
      </c>
      <c r="I263" s="2" t="s">
        <v>35</v>
      </c>
      <c r="J263" s="2" t="s">
        <v>30</v>
      </c>
      <c r="K263" s="2" t="s">
        <v>17</v>
      </c>
      <c r="L263" s="7">
        <f>Table3[[#This Row],[Revenue]]-Table3[[#This Row],[Ad Spend]]</f>
        <v>377.53</v>
      </c>
      <c r="M263" s="11">
        <v>147.63</v>
      </c>
    </row>
    <row r="264" spans="1:13" ht="15.75" customHeight="1" x14ac:dyDescent="0.3">
      <c r="A264" s="4" t="s">
        <v>261</v>
      </c>
      <c r="B264">
        <f t="shared" si="4"/>
        <v>10</v>
      </c>
      <c r="C264" s="2" t="s">
        <v>32</v>
      </c>
      <c r="D264" s="2" t="s">
        <v>548</v>
      </c>
      <c r="E264" s="7">
        <v>132.07</v>
      </c>
      <c r="F264" s="2">
        <v>5</v>
      </c>
      <c r="G264" s="7">
        <v>208.59</v>
      </c>
      <c r="H264" s="2" t="s">
        <v>549</v>
      </c>
      <c r="I264" s="2" t="s">
        <v>15</v>
      </c>
      <c r="J264" s="2" t="s">
        <v>53</v>
      </c>
      <c r="K264" s="2" t="s">
        <v>17</v>
      </c>
      <c r="L264" s="7">
        <f>Table3[[#This Row],[Revenue]]-Table3[[#This Row],[Ad Spend]]</f>
        <v>76.52000000000001</v>
      </c>
      <c r="M264" s="11">
        <v>104.85</v>
      </c>
    </row>
    <row r="265" spans="1:13" ht="15.75" customHeight="1" x14ac:dyDescent="0.3">
      <c r="A265" s="4" t="s">
        <v>37</v>
      </c>
      <c r="B265">
        <f t="shared" si="4"/>
        <v>12</v>
      </c>
      <c r="C265" s="2" t="s">
        <v>63</v>
      </c>
      <c r="D265" s="2" t="s">
        <v>550</v>
      </c>
      <c r="E265" s="7">
        <v>97.3</v>
      </c>
      <c r="F265" s="2">
        <v>7</v>
      </c>
      <c r="G265" s="7">
        <v>192.54</v>
      </c>
      <c r="H265" s="2" t="s">
        <v>551</v>
      </c>
      <c r="I265" s="2" t="s">
        <v>35</v>
      </c>
      <c r="J265" s="2" t="s">
        <v>36</v>
      </c>
      <c r="K265" s="2" t="s">
        <v>17</v>
      </c>
      <c r="L265" s="7">
        <f>Table3[[#This Row],[Revenue]]-Table3[[#This Row],[Ad Spend]]</f>
        <v>95.24</v>
      </c>
      <c r="M265" s="11">
        <v>140.83000000000001</v>
      </c>
    </row>
    <row r="266" spans="1:13" ht="15.75" customHeight="1" x14ac:dyDescent="0.3">
      <c r="A266" s="4" t="s">
        <v>129</v>
      </c>
      <c r="B266">
        <f t="shared" si="4"/>
        <v>1</v>
      </c>
      <c r="C266" s="2" t="s">
        <v>32</v>
      </c>
      <c r="D266" s="2" t="s">
        <v>545</v>
      </c>
      <c r="E266" s="7">
        <v>61.34</v>
      </c>
      <c r="F266" s="2">
        <v>2</v>
      </c>
      <c r="G266" s="7">
        <v>208.02</v>
      </c>
      <c r="H266" s="2" t="s">
        <v>395</v>
      </c>
      <c r="I266" s="2" t="s">
        <v>29</v>
      </c>
      <c r="J266" s="2" t="s">
        <v>53</v>
      </c>
      <c r="K266" s="2" t="s">
        <v>17</v>
      </c>
      <c r="L266" s="7">
        <f>Table3[[#This Row],[Revenue]]-Table3[[#This Row],[Ad Spend]]</f>
        <v>146.68</v>
      </c>
      <c r="M266" s="11">
        <v>144.59</v>
      </c>
    </row>
    <row r="267" spans="1:13" ht="15.75" customHeight="1" x14ac:dyDescent="0.3">
      <c r="A267" s="4" t="s">
        <v>552</v>
      </c>
      <c r="B267">
        <f t="shared" si="4"/>
        <v>11</v>
      </c>
      <c r="C267" s="2" t="s">
        <v>19</v>
      </c>
      <c r="D267" s="2" t="s">
        <v>553</v>
      </c>
      <c r="E267" s="7">
        <v>53.17</v>
      </c>
      <c r="F267" s="2">
        <v>4</v>
      </c>
      <c r="G267" s="7">
        <v>480.81</v>
      </c>
      <c r="H267" s="2" t="s">
        <v>168</v>
      </c>
      <c r="I267" s="2" t="s">
        <v>35</v>
      </c>
      <c r="J267" s="2" t="s">
        <v>30</v>
      </c>
      <c r="K267" s="2" t="s">
        <v>17</v>
      </c>
      <c r="L267" s="7">
        <f>Table3[[#This Row],[Revenue]]-Table3[[#This Row],[Ad Spend]]</f>
        <v>427.64</v>
      </c>
      <c r="M267" s="11">
        <v>130.29</v>
      </c>
    </row>
    <row r="268" spans="1:13" ht="15.75" customHeight="1" x14ac:dyDescent="0.3">
      <c r="A268" s="4" t="s">
        <v>22</v>
      </c>
      <c r="B268">
        <f t="shared" si="4"/>
        <v>4</v>
      </c>
      <c r="C268" s="2" t="s">
        <v>19</v>
      </c>
      <c r="D268" s="2" t="s">
        <v>554</v>
      </c>
      <c r="E268" s="7">
        <v>75.489999999999995</v>
      </c>
      <c r="F268" s="2">
        <v>5</v>
      </c>
      <c r="G268" s="7">
        <v>486.17</v>
      </c>
      <c r="H268" s="2" t="s">
        <v>374</v>
      </c>
      <c r="I268" s="2" t="s">
        <v>35</v>
      </c>
      <c r="J268" s="2" t="s">
        <v>30</v>
      </c>
      <c r="K268" s="2" t="s">
        <v>17</v>
      </c>
      <c r="L268" s="7">
        <f>Table3[[#This Row],[Revenue]]-Table3[[#This Row],[Ad Spend]]</f>
        <v>410.68</v>
      </c>
      <c r="M268" s="11">
        <v>119.17</v>
      </c>
    </row>
    <row r="269" spans="1:13" ht="15.75" customHeight="1" x14ac:dyDescent="0.3">
      <c r="A269" s="4" t="s">
        <v>274</v>
      </c>
      <c r="B269">
        <f t="shared" si="4"/>
        <v>12</v>
      </c>
      <c r="C269" s="2" t="s">
        <v>63</v>
      </c>
      <c r="D269" s="2" t="s">
        <v>555</v>
      </c>
      <c r="E269" s="7">
        <v>9.1999999999999993</v>
      </c>
      <c r="F269" s="2">
        <v>4</v>
      </c>
      <c r="G269" s="7">
        <v>482.11</v>
      </c>
      <c r="H269" s="2" t="s">
        <v>556</v>
      </c>
      <c r="I269" s="2" t="s">
        <v>29</v>
      </c>
      <c r="J269" s="2" t="s">
        <v>30</v>
      </c>
      <c r="K269" s="2" t="s">
        <v>17</v>
      </c>
      <c r="L269" s="7">
        <f>Table3[[#This Row],[Revenue]]-Table3[[#This Row],[Ad Spend]]</f>
        <v>472.91</v>
      </c>
      <c r="M269" s="11">
        <v>149.43</v>
      </c>
    </row>
    <row r="270" spans="1:13" ht="15.75" customHeight="1" x14ac:dyDescent="0.3">
      <c r="A270" s="4" t="s">
        <v>552</v>
      </c>
      <c r="B270">
        <f t="shared" si="4"/>
        <v>11</v>
      </c>
      <c r="C270" s="2" t="s">
        <v>19</v>
      </c>
      <c r="D270" s="2" t="s">
        <v>557</v>
      </c>
      <c r="E270" s="7">
        <v>38.72</v>
      </c>
      <c r="F270" s="2">
        <v>4</v>
      </c>
      <c r="G270" s="7">
        <v>117.98</v>
      </c>
      <c r="H270" s="2" t="s">
        <v>558</v>
      </c>
      <c r="I270" s="2" t="s">
        <v>29</v>
      </c>
      <c r="J270" s="2" t="s">
        <v>30</v>
      </c>
      <c r="K270" s="2" t="s">
        <v>17</v>
      </c>
      <c r="L270" s="7">
        <f>Table3[[#This Row],[Revenue]]-Table3[[#This Row],[Ad Spend]]</f>
        <v>79.260000000000005</v>
      </c>
      <c r="M270" s="11">
        <v>126.71</v>
      </c>
    </row>
    <row r="271" spans="1:13" ht="15.75" customHeight="1" x14ac:dyDescent="0.3">
      <c r="A271" s="4" t="s">
        <v>189</v>
      </c>
      <c r="B271">
        <f t="shared" si="4"/>
        <v>2</v>
      </c>
      <c r="C271" s="2" t="s">
        <v>63</v>
      </c>
      <c r="D271" s="2" t="s">
        <v>559</v>
      </c>
      <c r="E271" s="7">
        <v>130.16999999999999</v>
      </c>
      <c r="F271" s="2">
        <v>3</v>
      </c>
      <c r="G271" s="7">
        <v>463.5</v>
      </c>
      <c r="H271" s="2" t="s">
        <v>65</v>
      </c>
      <c r="I271" s="2" t="s">
        <v>35</v>
      </c>
      <c r="J271" s="2" t="s">
        <v>30</v>
      </c>
      <c r="K271" s="2" t="s">
        <v>17</v>
      </c>
      <c r="L271" s="7">
        <f>Table3[[#This Row],[Revenue]]-Table3[[#This Row],[Ad Spend]]</f>
        <v>333.33000000000004</v>
      </c>
      <c r="M271" s="11">
        <v>124.06</v>
      </c>
    </row>
    <row r="272" spans="1:13" ht="15.75" customHeight="1" x14ac:dyDescent="0.3">
      <c r="A272" s="4" t="s">
        <v>433</v>
      </c>
      <c r="B272">
        <f t="shared" si="4"/>
        <v>1</v>
      </c>
      <c r="C272" s="2" t="s">
        <v>32</v>
      </c>
      <c r="D272" s="2" t="s">
        <v>560</v>
      </c>
      <c r="E272" s="7">
        <v>44.66</v>
      </c>
      <c r="F272" s="2">
        <v>5</v>
      </c>
      <c r="G272" s="7">
        <v>113.88</v>
      </c>
      <c r="H272" s="2" t="s">
        <v>561</v>
      </c>
      <c r="I272" s="2" t="s">
        <v>35</v>
      </c>
      <c r="J272" s="2" t="s">
        <v>16</v>
      </c>
      <c r="K272" s="2" t="s">
        <v>17</v>
      </c>
      <c r="L272" s="7">
        <f>Table3[[#This Row],[Revenue]]-Table3[[#This Row],[Ad Spend]]</f>
        <v>69.22</v>
      </c>
      <c r="M272" s="11">
        <v>64.650000000000006</v>
      </c>
    </row>
    <row r="273" spans="1:13" ht="15.75" customHeight="1" x14ac:dyDescent="0.3">
      <c r="A273" s="4" t="s">
        <v>562</v>
      </c>
      <c r="B273">
        <f t="shared" si="4"/>
        <v>2</v>
      </c>
      <c r="C273" s="2" t="s">
        <v>12</v>
      </c>
      <c r="D273" s="2" t="s">
        <v>563</v>
      </c>
      <c r="E273" s="7">
        <v>52.93</v>
      </c>
      <c r="F273" s="2">
        <v>6</v>
      </c>
      <c r="G273" s="7">
        <v>133.49</v>
      </c>
      <c r="H273" s="2" t="s">
        <v>28</v>
      </c>
      <c r="I273" s="2" t="s">
        <v>15</v>
      </c>
      <c r="J273" s="2" t="s">
        <v>36</v>
      </c>
      <c r="K273" s="2" t="s">
        <v>17</v>
      </c>
      <c r="L273" s="7">
        <f>Table3[[#This Row],[Revenue]]-Table3[[#This Row],[Ad Spend]]</f>
        <v>80.56</v>
      </c>
      <c r="M273" s="11">
        <v>132.97</v>
      </c>
    </row>
    <row r="274" spans="1:13" ht="15.75" customHeight="1" x14ac:dyDescent="0.3">
      <c r="A274" s="4" t="s">
        <v>71</v>
      </c>
      <c r="B274">
        <f t="shared" si="4"/>
        <v>12</v>
      </c>
      <c r="C274" s="2" t="s">
        <v>63</v>
      </c>
      <c r="D274" s="2" t="s">
        <v>564</v>
      </c>
      <c r="E274" s="7">
        <v>81.209999999999994</v>
      </c>
      <c r="F274" s="2">
        <v>1</v>
      </c>
      <c r="G274" s="7">
        <v>466</v>
      </c>
      <c r="H274" s="2" t="s">
        <v>225</v>
      </c>
      <c r="I274" s="2" t="s">
        <v>15</v>
      </c>
      <c r="J274" s="2" t="s">
        <v>87</v>
      </c>
      <c r="K274" s="2" t="s">
        <v>17</v>
      </c>
      <c r="L274" s="7">
        <f>Table3[[#This Row],[Revenue]]-Table3[[#This Row],[Ad Spend]]</f>
        <v>384.79</v>
      </c>
      <c r="M274" s="11">
        <v>121.77</v>
      </c>
    </row>
    <row r="275" spans="1:13" ht="15.75" customHeight="1" x14ac:dyDescent="0.3">
      <c r="A275" s="4" t="s">
        <v>94</v>
      </c>
      <c r="B275">
        <f t="shared" si="4"/>
        <v>1</v>
      </c>
      <c r="C275" s="2" t="s">
        <v>19</v>
      </c>
      <c r="D275" s="2" t="s">
        <v>565</v>
      </c>
      <c r="E275" s="7">
        <v>105.67</v>
      </c>
      <c r="F275" s="2">
        <v>4</v>
      </c>
      <c r="G275" s="7">
        <v>325.39</v>
      </c>
      <c r="H275" s="2" t="s">
        <v>61</v>
      </c>
      <c r="I275" s="2" t="s">
        <v>29</v>
      </c>
      <c r="J275" s="2" t="s">
        <v>25</v>
      </c>
      <c r="K275" s="2" t="s">
        <v>17</v>
      </c>
      <c r="L275" s="7">
        <f>Table3[[#This Row],[Revenue]]-Table3[[#This Row],[Ad Spend]]</f>
        <v>219.71999999999997</v>
      </c>
      <c r="M275" s="11">
        <v>135.88</v>
      </c>
    </row>
    <row r="276" spans="1:13" ht="15.75" customHeight="1" x14ac:dyDescent="0.3">
      <c r="A276" s="4" t="s">
        <v>483</v>
      </c>
      <c r="B276">
        <f t="shared" si="4"/>
        <v>4</v>
      </c>
      <c r="C276" s="2" t="s">
        <v>19</v>
      </c>
      <c r="D276" s="2" t="s">
        <v>566</v>
      </c>
      <c r="E276" s="7">
        <v>98.96</v>
      </c>
      <c r="F276" s="2">
        <v>5</v>
      </c>
      <c r="G276" s="7">
        <v>299.55</v>
      </c>
      <c r="H276" s="2" t="s">
        <v>49</v>
      </c>
      <c r="I276" s="2" t="s">
        <v>35</v>
      </c>
      <c r="J276" s="2" t="s">
        <v>30</v>
      </c>
      <c r="K276" s="2" t="s">
        <v>17</v>
      </c>
      <c r="L276" s="7">
        <f>Table3[[#This Row],[Revenue]]-Table3[[#This Row],[Ad Spend]]</f>
        <v>200.59000000000003</v>
      </c>
      <c r="M276" s="11">
        <v>120.78</v>
      </c>
    </row>
    <row r="277" spans="1:13" ht="15.75" customHeight="1" x14ac:dyDescent="0.3">
      <c r="A277" s="4" t="s">
        <v>56</v>
      </c>
      <c r="B277">
        <f t="shared" si="4"/>
        <v>12</v>
      </c>
      <c r="C277" s="2" t="s">
        <v>63</v>
      </c>
      <c r="D277" s="2" t="s">
        <v>542</v>
      </c>
      <c r="E277" s="7">
        <v>110.24</v>
      </c>
      <c r="F277" s="2">
        <v>1</v>
      </c>
      <c r="G277" s="7">
        <v>256.35000000000002</v>
      </c>
      <c r="H277" s="2" t="s">
        <v>567</v>
      </c>
      <c r="I277" s="2" t="s">
        <v>35</v>
      </c>
      <c r="J277" s="2" t="s">
        <v>53</v>
      </c>
      <c r="K277" s="2" t="s">
        <v>17</v>
      </c>
      <c r="L277" s="7">
        <f>Table3[[#This Row],[Revenue]]-Table3[[#This Row],[Ad Spend]]</f>
        <v>146.11000000000001</v>
      </c>
      <c r="M277" s="11">
        <v>118.43</v>
      </c>
    </row>
    <row r="278" spans="1:13" ht="15.75" customHeight="1" x14ac:dyDescent="0.3">
      <c r="A278" s="4" t="s">
        <v>404</v>
      </c>
      <c r="B278">
        <f t="shared" si="4"/>
        <v>3</v>
      </c>
      <c r="C278" s="2" t="s">
        <v>12</v>
      </c>
      <c r="D278" s="2" t="s">
        <v>245</v>
      </c>
      <c r="E278" s="7">
        <v>37.46</v>
      </c>
      <c r="F278" s="2">
        <v>0</v>
      </c>
      <c r="G278" s="7">
        <v>303.42</v>
      </c>
      <c r="H278" s="2" t="s">
        <v>568</v>
      </c>
      <c r="I278" s="2" t="s">
        <v>15</v>
      </c>
      <c r="J278" s="2" t="s">
        <v>53</v>
      </c>
      <c r="K278" s="2" t="s">
        <v>46</v>
      </c>
      <c r="L278" s="7">
        <f>Table3[[#This Row],[Revenue]]-Table3[[#This Row],[Ad Spend]]</f>
        <v>265.96000000000004</v>
      </c>
      <c r="M278" s="11">
        <v>117.72</v>
      </c>
    </row>
    <row r="279" spans="1:13" ht="15.75" customHeight="1" x14ac:dyDescent="0.3">
      <c r="A279" s="4" t="s">
        <v>202</v>
      </c>
      <c r="B279">
        <f t="shared" si="4"/>
        <v>3</v>
      </c>
      <c r="C279" s="2" t="s">
        <v>32</v>
      </c>
      <c r="D279" s="2" t="s">
        <v>569</v>
      </c>
      <c r="E279" s="7">
        <v>18.489999999999998</v>
      </c>
      <c r="F279" s="2">
        <v>3</v>
      </c>
      <c r="G279" s="7">
        <v>436.91</v>
      </c>
      <c r="H279" s="2" t="s">
        <v>570</v>
      </c>
      <c r="I279" s="2" t="s">
        <v>15</v>
      </c>
      <c r="J279" s="2" t="s">
        <v>30</v>
      </c>
      <c r="K279" s="2" t="s">
        <v>17</v>
      </c>
      <c r="L279" s="7">
        <f>Table3[[#This Row],[Revenue]]-Table3[[#This Row],[Ad Spend]]</f>
        <v>418.42</v>
      </c>
      <c r="M279" s="11">
        <v>120.37</v>
      </c>
    </row>
    <row r="280" spans="1:13" ht="15.75" customHeight="1" x14ac:dyDescent="0.3">
      <c r="A280" s="4" t="s">
        <v>527</v>
      </c>
      <c r="B280">
        <f t="shared" si="4"/>
        <v>1</v>
      </c>
      <c r="C280" s="2" t="s">
        <v>12</v>
      </c>
      <c r="D280" s="2" t="s">
        <v>160</v>
      </c>
      <c r="E280" s="7">
        <v>40.98</v>
      </c>
      <c r="F280" s="2">
        <v>2</v>
      </c>
      <c r="G280" s="7">
        <v>487.19</v>
      </c>
      <c r="H280" s="2" t="s">
        <v>571</v>
      </c>
      <c r="I280" s="2" t="s">
        <v>35</v>
      </c>
      <c r="J280" s="2" t="s">
        <v>25</v>
      </c>
      <c r="K280" s="2" t="s">
        <v>17</v>
      </c>
      <c r="L280" s="7">
        <f>Table3[[#This Row],[Revenue]]-Table3[[#This Row],[Ad Spend]]</f>
        <v>446.21</v>
      </c>
      <c r="M280" s="11">
        <v>213.51</v>
      </c>
    </row>
    <row r="281" spans="1:13" ht="15.75" customHeight="1" x14ac:dyDescent="0.3">
      <c r="A281" s="4" t="s">
        <v>298</v>
      </c>
      <c r="B281">
        <f t="shared" si="4"/>
        <v>1</v>
      </c>
      <c r="C281" s="2" t="s">
        <v>12</v>
      </c>
      <c r="D281" s="2" t="s">
        <v>388</v>
      </c>
      <c r="E281" s="7">
        <v>49.65</v>
      </c>
      <c r="F281" s="2">
        <v>1</v>
      </c>
      <c r="G281" s="7">
        <v>265.49</v>
      </c>
      <c r="H281" s="2" t="s">
        <v>104</v>
      </c>
      <c r="I281" s="2" t="s">
        <v>35</v>
      </c>
      <c r="J281" s="2" t="s">
        <v>16</v>
      </c>
      <c r="K281" s="2" t="s">
        <v>17</v>
      </c>
      <c r="L281" s="7">
        <f>Table3[[#This Row],[Revenue]]-Table3[[#This Row],[Ad Spend]]</f>
        <v>215.84</v>
      </c>
      <c r="M281" s="11">
        <v>115.23</v>
      </c>
    </row>
    <row r="282" spans="1:13" ht="15.75" customHeight="1" x14ac:dyDescent="0.3">
      <c r="A282" s="4" t="s">
        <v>324</v>
      </c>
      <c r="B282">
        <f t="shared" si="4"/>
        <v>3</v>
      </c>
      <c r="C282" s="2" t="s">
        <v>12</v>
      </c>
      <c r="D282" s="2" t="s">
        <v>572</v>
      </c>
      <c r="E282" s="7">
        <v>8.08</v>
      </c>
      <c r="F282" s="2">
        <v>3</v>
      </c>
      <c r="G282" s="7">
        <v>304.08</v>
      </c>
      <c r="H282" s="2" t="s">
        <v>45</v>
      </c>
      <c r="I282" s="2" t="s">
        <v>29</v>
      </c>
      <c r="J282" s="2" t="s">
        <v>25</v>
      </c>
      <c r="K282" s="2" t="s">
        <v>17</v>
      </c>
      <c r="L282" s="7">
        <f>Table3[[#This Row],[Revenue]]-Table3[[#This Row],[Ad Spend]]</f>
        <v>296</v>
      </c>
      <c r="M282" s="11">
        <v>127.54</v>
      </c>
    </row>
    <row r="283" spans="1:13" ht="15.75" customHeight="1" x14ac:dyDescent="0.3">
      <c r="A283" s="4" t="s">
        <v>126</v>
      </c>
      <c r="B283">
        <f t="shared" si="4"/>
        <v>11</v>
      </c>
      <c r="C283" s="2" t="s">
        <v>12</v>
      </c>
      <c r="D283" s="2" t="s">
        <v>573</v>
      </c>
      <c r="E283" s="7">
        <v>80.77</v>
      </c>
      <c r="F283" s="2">
        <v>3</v>
      </c>
      <c r="G283" s="7">
        <v>311.45999999999998</v>
      </c>
      <c r="H283" s="2" t="s">
        <v>58</v>
      </c>
      <c r="I283" s="2" t="s">
        <v>29</v>
      </c>
      <c r="J283" s="2" t="s">
        <v>87</v>
      </c>
      <c r="K283" s="2" t="s">
        <v>17</v>
      </c>
      <c r="L283" s="7">
        <f>Table3[[#This Row],[Revenue]]-Table3[[#This Row],[Ad Spend]]</f>
        <v>230.69</v>
      </c>
      <c r="M283" s="11">
        <v>137.22999999999999</v>
      </c>
    </row>
    <row r="284" spans="1:13" ht="15.75" customHeight="1" x14ac:dyDescent="0.3">
      <c r="A284" s="4" t="s">
        <v>574</v>
      </c>
      <c r="B284">
        <f t="shared" si="4"/>
        <v>1</v>
      </c>
      <c r="C284" s="2" t="s">
        <v>19</v>
      </c>
      <c r="D284" s="2" t="s">
        <v>575</v>
      </c>
      <c r="E284" s="7">
        <v>72.7</v>
      </c>
      <c r="F284" s="2">
        <v>0</v>
      </c>
      <c r="G284" s="7">
        <v>396.35</v>
      </c>
      <c r="H284" s="2" t="s">
        <v>395</v>
      </c>
      <c r="I284" s="2" t="s">
        <v>29</v>
      </c>
      <c r="J284" s="2" t="s">
        <v>87</v>
      </c>
      <c r="K284" s="2" t="s">
        <v>46</v>
      </c>
      <c r="L284" s="7">
        <f>Table3[[#This Row],[Revenue]]-Table3[[#This Row],[Ad Spend]]</f>
        <v>323.65000000000003</v>
      </c>
      <c r="M284" s="11">
        <v>152.21</v>
      </c>
    </row>
    <row r="285" spans="1:13" ht="15.75" customHeight="1" x14ac:dyDescent="0.3">
      <c r="A285" s="4" t="s">
        <v>133</v>
      </c>
      <c r="B285">
        <f t="shared" si="4"/>
        <v>3</v>
      </c>
      <c r="C285" s="2" t="s">
        <v>32</v>
      </c>
      <c r="D285" s="2" t="s">
        <v>576</v>
      </c>
      <c r="E285" s="7">
        <v>132.1</v>
      </c>
      <c r="F285" s="2">
        <v>6</v>
      </c>
      <c r="G285" s="7">
        <v>109.69</v>
      </c>
      <c r="H285" s="2" t="s">
        <v>577</v>
      </c>
      <c r="I285" s="2" t="s">
        <v>15</v>
      </c>
      <c r="J285" s="2" t="s">
        <v>87</v>
      </c>
      <c r="K285" s="2" t="s">
        <v>17</v>
      </c>
      <c r="L285" s="7">
        <f>Table3[[#This Row],[Revenue]]-Table3[[#This Row],[Ad Spend]]</f>
        <v>-22.409999999999997</v>
      </c>
      <c r="M285" s="11">
        <v>115.95</v>
      </c>
    </row>
    <row r="286" spans="1:13" ht="15.75" customHeight="1" x14ac:dyDescent="0.3">
      <c r="A286" s="4" t="s">
        <v>438</v>
      </c>
      <c r="B286">
        <f t="shared" si="4"/>
        <v>4</v>
      </c>
      <c r="C286" s="2" t="s">
        <v>19</v>
      </c>
      <c r="D286" s="2" t="s">
        <v>578</v>
      </c>
      <c r="E286" s="7">
        <v>108.44</v>
      </c>
      <c r="F286" s="2">
        <v>8</v>
      </c>
      <c r="G286" s="7">
        <v>304.72000000000003</v>
      </c>
      <c r="H286" s="2" t="s">
        <v>34</v>
      </c>
      <c r="I286" s="2" t="s">
        <v>35</v>
      </c>
      <c r="J286" s="2" t="s">
        <v>25</v>
      </c>
      <c r="K286" s="2" t="s">
        <v>17</v>
      </c>
      <c r="L286" s="7">
        <f>Table3[[#This Row],[Revenue]]-Table3[[#This Row],[Ad Spend]]</f>
        <v>196.28000000000003</v>
      </c>
      <c r="M286" s="11">
        <v>125.42</v>
      </c>
    </row>
    <row r="287" spans="1:13" ht="15.75" customHeight="1" x14ac:dyDescent="0.3">
      <c r="A287" s="4" t="s">
        <v>579</v>
      </c>
      <c r="B287">
        <f t="shared" si="4"/>
        <v>1</v>
      </c>
      <c r="C287" s="2" t="s">
        <v>63</v>
      </c>
      <c r="D287" s="2" t="s">
        <v>544</v>
      </c>
      <c r="E287" s="7">
        <v>54.78</v>
      </c>
      <c r="F287" s="2">
        <v>4</v>
      </c>
      <c r="G287" s="7">
        <v>212.64</v>
      </c>
      <c r="H287" s="2" t="s">
        <v>580</v>
      </c>
      <c r="I287" s="2" t="s">
        <v>35</v>
      </c>
      <c r="J287" s="2" t="s">
        <v>53</v>
      </c>
      <c r="K287" s="2" t="s">
        <v>17</v>
      </c>
      <c r="L287" s="7">
        <f>Table3[[#This Row],[Revenue]]-Table3[[#This Row],[Ad Spend]]</f>
        <v>157.85999999999999</v>
      </c>
      <c r="M287" s="11">
        <v>126.85</v>
      </c>
    </row>
    <row r="288" spans="1:13" ht="15.75" customHeight="1" x14ac:dyDescent="0.3">
      <c r="A288" s="4" t="s">
        <v>172</v>
      </c>
      <c r="B288">
        <f t="shared" si="4"/>
        <v>2</v>
      </c>
      <c r="C288" s="2" t="s">
        <v>19</v>
      </c>
      <c r="D288" s="2" t="s">
        <v>581</v>
      </c>
      <c r="E288" s="7">
        <v>129.72</v>
      </c>
      <c r="F288" s="2">
        <v>3</v>
      </c>
      <c r="G288" s="7">
        <v>278.64</v>
      </c>
      <c r="H288" s="2" t="s">
        <v>28</v>
      </c>
      <c r="I288" s="2" t="s">
        <v>29</v>
      </c>
      <c r="J288" s="2" t="s">
        <v>36</v>
      </c>
      <c r="K288" s="2" t="s">
        <v>17</v>
      </c>
      <c r="L288" s="7">
        <f>Table3[[#This Row],[Revenue]]-Table3[[#This Row],[Ad Spend]]</f>
        <v>148.91999999999999</v>
      </c>
      <c r="M288" s="11">
        <v>136.87</v>
      </c>
    </row>
    <row r="289" spans="1:13" ht="15.75" customHeight="1" x14ac:dyDescent="0.3">
      <c r="A289" s="4" t="s">
        <v>123</v>
      </c>
      <c r="B289">
        <f t="shared" si="4"/>
        <v>4</v>
      </c>
      <c r="C289" s="2" t="s">
        <v>32</v>
      </c>
      <c r="D289" s="2" t="s">
        <v>582</v>
      </c>
      <c r="E289" s="7">
        <v>98.55</v>
      </c>
      <c r="F289" s="2">
        <v>10</v>
      </c>
      <c r="G289" s="7">
        <v>479.99</v>
      </c>
      <c r="H289" s="2" t="s">
        <v>198</v>
      </c>
      <c r="I289" s="2" t="s">
        <v>29</v>
      </c>
      <c r="J289" s="2" t="s">
        <v>30</v>
      </c>
      <c r="K289" s="2" t="s">
        <v>17</v>
      </c>
      <c r="L289" s="7">
        <f>Table3[[#This Row],[Revenue]]-Table3[[#This Row],[Ad Spend]]</f>
        <v>381.44</v>
      </c>
      <c r="M289" s="11">
        <v>111.56</v>
      </c>
    </row>
    <row r="290" spans="1:13" ht="15.75" customHeight="1" x14ac:dyDescent="0.3">
      <c r="A290" s="4" t="s">
        <v>574</v>
      </c>
      <c r="B290">
        <f t="shared" si="4"/>
        <v>1</v>
      </c>
      <c r="C290" s="2" t="s">
        <v>63</v>
      </c>
      <c r="D290" s="2" t="s">
        <v>583</v>
      </c>
      <c r="E290" s="7">
        <v>116.76</v>
      </c>
      <c r="F290" s="2">
        <v>1</v>
      </c>
      <c r="G290" s="7">
        <v>272.08999999999997</v>
      </c>
      <c r="H290" s="2" t="s">
        <v>86</v>
      </c>
      <c r="I290" s="2" t="s">
        <v>15</v>
      </c>
      <c r="J290" s="2" t="s">
        <v>30</v>
      </c>
      <c r="K290" s="2" t="s">
        <v>17</v>
      </c>
      <c r="L290" s="7">
        <f>Table3[[#This Row],[Revenue]]-Table3[[#This Row],[Ad Spend]]</f>
        <v>155.32999999999998</v>
      </c>
      <c r="M290" s="11">
        <v>117.65</v>
      </c>
    </row>
    <row r="291" spans="1:13" ht="15.75" customHeight="1" x14ac:dyDescent="0.3">
      <c r="A291" s="4" t="s">
        <v>94</v>
      </c>
      <c r="B291">
        <f t="shared" si="4"/>
        <v>1</v>
      </c>
      <c r="C291" s="2" t="s">
        <v>19</v>
      </c>
      <c r="D291" s="2" t="s">
        <v>584</v>
      </c>
      <c r="E291" s="7">
        <v>64.55</v>
      </c>
      <c r="F291" s="2">
        <v>8</v>
      </c>
      <c r="G291" s="7">
        <v>291.19</v>
      </c>
      <c r="H291" s="2" t="s">
        <v>471</v>
      </c>
      <c r="I291" s="2" t="s">
        <v>29</v>
      </c>
      <c r="J291" s="2" t="s">
        <v>87</v>
      </c>
      <c r="K291" s="2" t="s">
        <v>17</v>
      </c>
      <c r="L291" s="7">
        <f>Table3[[#This Row],[Revenue]]-Table3[[#This Row],[Ad Spend]]</f>
        <v>226.64</v>
      </c>
      <c r="M291" s="11">
        <v>118.59</v>
      </c>
    </row>
    <row r="292" spans="1:13" ht="15.75" customHeight="1" x14ac:dyDescent="0.3">
      <c r="A292" s="4" t="s">
        <v>360</v>
      </c>
      <c r="B292">
        <f t="shared" si="4"/>
        <v>1</v>
      </c>
      <c r="C292" s="2" t="s">
        <v>19</v>
      </c>
      <c r="D292" s="2" t="s">
        <v>585</v>
      </c>
      <c r="E292" s="7">
        <v>145.38999999999999</v>
      </c>
      <c r="F292" s="2">
        <v>0</v>
      </c>
      <c r="G292" s="7">
        <v>250.33</v>
      </c>
      <c r="H292" s="2" t="s">
        <v>586</v>
      </c>
      <c r="I292" s="2" t="s">
        <v>35</v>
      </c>
      <c r="J292" s="2" t="s">
        <v>30</v>
      </c>
      <c r="K292" s="2" t="s">
        <v>46</v>
      </c>
      <c r="L292" s="7">
        <f>Table3[[#This Row],[Revenue]]-Table3[[#This Row],[Ad Spend]]</f>
        <v>104.94000000000003</v>
      </c>
      <c r="M292" s="11">
        <v>113.37</v>
      </c>
    </row>
    <row r="293" spans="1:13" ht="15.75" customHeight="1" x14ac:dyDescent="0.3">
      <c r="A293" s="4" t="s">
        <v>376</v>
      </c>
      <c r="B293">
        <f t="shared" si="4"/>
        <v>4</v>
      </c>
      <c r="C293" s="2" t="s">
        <v>32</v>
      </c>
      <c r="D293" s="2" t="s">
        <v>587</v>
      </c>
      <c r="E293" s="7">
        <v>20.37</v>
      </c>
      <c r="F293" s="2">
        <v>10</v>
      </c>
      <c r="G293" s="7">
        <v>87.34</v>
      </c>
      <c r="H293" s="2" t="s">
        <v>186</v>
      </c>
      <c r="I293" s="2" t="s">
        <v>15</v>
      </c>
      <c r="J293" s="2" t="s">
        <v>25</v>
      </c>
      <c r="K293" s="2" t="s">
        <v>17</v>
      </c>
      <c r="L293" s="7">
        <f>Table3[[#This Row],[Revenue]]-Table3[[#This Row],[Ad Spend]]</f>
        <v>66.97</v>
      </c>
      <c r="M293" s="11">
        <v>123.2</v>
      </c>
    </row>
    <row r="294" spans="1:13" ht="15.75" customHeight="1" x14ac:dyDescent="0.3">
      <c r="A294" s="4" t="s">
        <v>84</v>
      </c>
      <c r="B294">
        <f t="shared" si="4"/>
        <v>10</v>
      </c>
      <c r="C294" s="2" t="s">
        <v>12</v>
      </c>
      <c r="D294" s="2" t="s">
        <v>588</v>
      </c>
      <c r="E294" s="7">
        <v>106.67</v>
      </c>
      <c r="F294" s="2">
        <v>1</v>
      </c>
      <c r="G294" s="7">
        <v>475.21</v>
      </c>
      <c r="H294" s="2" t="s">
        <v>158</v>
      </c>
      <c r="I294" s="2" t="s">
        <v>15</v>
      </c>
      <c r="J294" s="2" t="s">
        <v>25</v>
      </c>
      <c r="K294" s="2" t="s">
        <v>17</v>
      </c>
      <c r="L294" s="7">
        <f>Table3[[#This Row],[Revenue]]-Table3[[#This Row],[Ad Spend]]</f>
        <v>368.53999999999996</v>
      </c>
      <c r="M294" s="11">
        <v>124.34</v>
      </c>
    </row>
    <row r="295" spans="1:13" ht="15.75" customHeight="1" x14ac:dyDescent="0.3">
      <c r="A295" s="4" t="s">
        <v>589</v>
      </c>
      <c r="B295">
        <f t="shared" si="4"/>
        <v>12</v>
      </c>
      <c r="C295" s="2" t="s">
        <v>63</v>
      </c>
      <c r="D295" s="2" t="s">
        <v>83</v>
      </c>
      <c r="E295" s="7">
        <v>28.81</v>
      </c>
      <c r="F295" s="2">
        <v>2</v>
      </c>
      <c r="G295" s="7">
        <v>128.22</v>
      </c>
      <c r="H295" s="2" t="s">
        <v>213</v>
      </c>
      <c r="I295" s="2" t="s">
        <v>15</v>
      </c>
      <c r="J295" s="2" t="s">
        <v>30</v>
      </c>
      <c r="K295" s="2" t="s">
        <v>17</v>
      </c>
      <c r="L295" s="7">
        <f>Table3[[#This Row],[Revenue]]-Table3[[#This Row],[Ad Spend]]</f>
        <v>99.41</v>
      </c>
      <c r="M295" s="11">
        <v>121.28</v>
      </c>
    </row>
    <row r="296" spans="1:13" ht="15.75" customHeight="1" x14ac:dyDescent="0.3">
      <c r="A296" s="4" t="s">
        <v>113</v>
      </c>
      <c r="B296">
        <f t="shared" si="4"/>
        <v>3</v>
      </c>
      <c r="C296" s="2" t="s">
        <v>32</v>
      </c>
      <c r="D296" s="2" t="s">
        <v>590</v>
      </c>
      <c r="E296" s="7">
        <v>75.91</v>
      </c>
      <c r="F296" s="2">
        <v>3</v>
      </c>
      <c r="G296" s="7">
        <v>358.03</v>
      </c>
      <c r="H296" s="2" t="s">
        <v>591</v>
      </c>
      <c r="I296" s="2" t="s">
        <v>29</v>
      </c>
      <c r="J296" s="2" t="s">
        <v>25</v>
      </c>
      <c r="K296" s="2" t="s">
        <v>17</v>
      </c>
      <c r="L296" s="7">
        <f>Table3[[#This Row],[Revenue]]-Table3[[#This Row],[Ad Spend]]</f>
        <v>282.12</v>
      </c>
      <c r="M296" s="11">
        <v>161.13</v>
      </c>
    </row>
    <row r="297" spans="1:13" ht="15.75" customHeight="1" x14ac:dyDescent="0.3">
      <c r="A297" s="4" t="s">
        <v>592</v>
      </c>
      <c r="B297">
        <f t="shared" si="4"/>
        <v>1</v>
      </c>
      <c r="C297" s="2" t="s">
        <v>63</v>
      </c>
      <c r="D297" s="2" t="s">
        <v>593</v>
      </c>
      <c r="E297" s="7">
        <v>36.94</v>
      </c>
      <c r="F297" s="2">
        <v>3</v>
      </c>
      <c r="G297" s="7">
        <v>175.4</v>
      </c>
      <c r="H297" s="2" t="s">
        <v>330</v>
      </c>
      <c r="I297" s="2" t="s">
        <v>29</v>
      </c>
      <c r="J297" s="2" t="s">
        <v>30</v>
      </c>
      <c r="K297" s="2" t="s">
        <v>17</v>
      </c>
      <c r="L297" s="7">
        <f>Table3[[#This Row],[Revenue]]-Table3[[#This Row],[Ad Spend]]</f>
        <v>138.46</v>
      </c>
      <c r="M297" s="11">
        <v>130.69999999999999</v>
      </c>
    </row>
    <row r="298" spans="1:13" ht="15.75" customHeight="1" x14ac:dyDescent="0.3">
      <c r="A298" s="4" t="s">
        <v>376</v>
      </c>
      <c r="B298">
        <f t="shared" si="4"/>
        <v>4</v>
      </c>
      <c r="C298" s="2" t="s">
        <v>63</v>
      </c>
      <c r="D298" s="2" t="s">
        <v>594</v>
      </c>
      <c r="E298" s="7">
        <v>123.48</v>
      </c>
      <c r="F298" s="2">
        <v>3</v>
      </c>
      <c r="G298" s="7">
        <v>461.59</v>
      </c>
      <c r="H298" s="2" t="s">
        <v>28</v>
      </c>
      <c r="I298" s="2" t="s">
        <v>29</v>
      </c>
      <c r="J298" s="2" t="s">
        <v>25</v>
      </c>
      <c r="K298" s="2" t="s">
        <v>17</v>
      </c>
      <c r="L298" s="7">
        <f>Table3[[#This Row],[Revenue]]-Table3[[#This Row],[Ad Spend]]</f>
        <v>338.10999999999996</v>
      </c>
      <c r="M298" s="11">
        <v>133.91999999999999</v>
      </c>
    </row>
    <row r="299" spans="1:13" ht="15.75" customHeight="1" x14ac:dyDescent="0.3">
      <c r="A299" s="4" t="s">
        <v>595</v>
      </c>
      <c r="B299">
        <f t="shared" si="4"/>
        <v>3</v>
      </c>
      <c r="C299" s="2" t="s">
        <v>32</v>
      </c>
      <c r="D299" s="2" t="s">
        <v>596</v>
      </c>
      <c r="E299" s="7">
        <v>78.63</v>
      </c>
      <c r="F299" s="2">
        <v>8</v>
      </c>
      <c r="G299" s="7">
        <v>123.71</v>
      </c>
      <c r="H299" s="2" t="s">
        <v>597</v>
      </c>
      <c r="I299" s="2" t="s">
        <v>15</v>
      </c>
      <c r="J299" s="2" t="s">
        <v>25</v>
      </c>
      <c r="K299" s="2" t="s">
        <v>17</v>
      </c>
      <c r="L299" s="7">
        <f>Table3[[#This Row],[Revenue]]-Table3[[#This Row],[Ad Spend]]</f>
        <v>45.08</v>
      </c>
      <c r="M299" s="11">
        <v>120.93</v>
      </c>
    </row>
    <row r="300" spans="1:13" ht="15.75" customHeight="1" x14ac:dyDescent="0.3">
      <c r="A300" s="4" t="s">
        <v>280</v>
      </c>
      <c r="B300">
        <f t="shared" si="4"/>
        <v>2</v>
      </c>
      <c r="C300" s="2" t="s">
        <v>19</v>
      </c>
      <c r="D300" s="2" t="s">
        <v>598</v>
      </c>
      <c r="E300" s="7">
        <v>131.03</v>
      </c>
      <c r="F300" s="2">
        <v>2</v>
      </c>
      <c r="G300" s="7">
        <v>442.75</v>
      </c>
      <c r="H300" s="2" t="s">
        <v>599</v>
      </c>
      <c r="I300" s="2" t="s">
        <v>15</v>
      </c>
      <c r="J300" s="2" t="s">
        <v>87</v>
      </c>
      <c r="K300" s="2" t="s">
        <v>17</v>
      </c>
      <c r="L300" s="7">
        <f>Table3[[#This Row],[Revenue]]-Table3[[#This Row],[Ad Spend]]</f>
        <v>311.72000000000003</v>
      </c>
      <c r="M300" s="11">
        <v>125.89</v>
      </c>
    </row>
    <row r="301" spans="1:13" ht="15.75" customHeight="1" x14ac:dyDescent="0.3">
      <c r="A301" s="4" t="s">
        <v>172</v>
      </c>
      <c r="B301">
        <f t="shared" si="4"/>
        <v>2</v>
      </c>
      <c r="C301" s="2" t="s">
        <v>63</v>
      </c>
      <c r="D301" s="2" t="s">
        <v>507</v>
      </c>
      <c r="E301" s="7">
        <v>89.63</v>
      </c>
      <c r="F301" s="2">
        <v>3</v>
      </c>
      <c r="G301" s="7">
        <v>169.55</v>
      </c>
      <c r="H301" s="2" t="s">
        <v>600</v>
      </c>
      <c r="I301" s="2" t="s">
        <v>15</v>
      </c>
      <c r="J301" s="2" t="s">
        <v>53</v>
      </c>
      <c r="K301" s="2" t="s">
        <v>17</v>
      </c>
      <c r="L301" s="7">
        <f>Table3[[#This Row],[Revenue]]-Table3[[#This Row],[Ad Spend]]</f>
        <v>79.920000000000016</v>
      </c>
      <c r="M301" s="11">
        <v>96.5</v>
      </c>
    </row>
    <row r="302" spans="1:13" ht="15.75" customHeight="1" x14ac:dyDescent="0.3">
      <c r="A302" s="4" t="s">
        <v>400</v>
      </c>
      <c r="B302">
        <f t="shared" si="4"/>
        <v>2</v>
      </c>
      <c r="C302" s="2" t="s">
        <v>19</v>
      </c>
      <c r="D302" s="2" t="s">
        <v>601</v>
      </c>
      <c r="E302" s="7">
        <v>65.599999999999994</v>
      </c>
      <c r="F302" s="2">
        <v>4</v>
      </c>
      <c r="G302" s="7">
        <v>47.47</v>
      </c>
      <c r="H302" s="2" t="s">
        <v>326</v>
      </c>
      <c r="I302" s="2" t="s">
        <v>35</v>
      </c>
      <c r="J302" s="2" t="s">
        <v>16</v>
      </c>
      <c r="K302" s="2" t="s">
        <v>17</v>
      </c>
      <c r="L302" s="7">
        <f>Table3[[#This Row],[Revenue]]-Table3[[#This Row],[Ad Spend]]</f>
        <v>-18.129999999999995</v>
      </c>
      <c r="M302" s="11">
        <v>145.80000000000001</v>
      </c>
    </row>
    <row r="303" spans="1:13" ht="15.75" customHeight="1" x14ac:dyDescent="0.3">
      <c r="A303" s="4" t="s">
        <v>187</v>
      </c>
      <c r="B303">
        <f t="shared" si="4"/>
        <v>1</v>
      </c>
      <c r="C303" s="2" t="s">
        <v>19</v>
      </c>
      <c r="D303" s="2" t="s">
        <v>602</v>
      </c>
      <c r="E303" s="7">
        <v>51.36</v>
      </c>
      <c r="F303" s="2">
        <v>1</v>
      </c>
      <c r="G303" s="7">
        <v>148.69999999999999</v>
      </c>
      <c r="H303" s="2" t="s">
        <v>603</v>
      </c>
      <c r="I303" s="2" t="s">
        <v>29</v>
      </c>
      <c r="J303" s="2" t="s">
        <v>25</v>
      </c>
      <c r="K303" s="2" t="s">
        <v>17</v>
      </c>
      <c r="L303" s="7">
        <f>Table3[[#This Row],[Revenue]]-Table3[[#This Row],[Ad Spend]]</f>
        <v>97.339999999999989</v>
      </c>
      <c r="M303" s="11">
        <v>78.61</v>
      </c>
    </row>
    <row r="304" spans="1:13" ht="15.75" customHeight="1" x14ac:dyDescent="0.3">
      <c r="A304" s="4" t="s">
        <v>353</v>
      </c>
      <c r="B304">
        <f t="shared" si="4"/>
        <v>1</v>
      </c>
      <c r="C304" s="2" t="s">
        <v>19</v>
      </c>
      <c r="D304" s="2" t="s">
        <v>329</v>
      </c>
      <c r="E304" s="7">
        <v>8.3800000000000008</v>
      </c>
      <c r="F304" s="2">
        <v>3</v>
      </c>
      <c r="G304" s="7">
        <v>459.24</v>
      </c>
      <c r="H304" s="2" t="s">
        <v>328</v>
      </c>
      <c r="I304" s="2" t="s">
        <v>35</v>
      </c>
      <c r="J304" s="2" t="s">
        <v>87</v>
      </c>
      <c r="K304" s="2" t="s">
        <v>17</v>
      </c>
      <c r="L304" s="7">
        <f>Table3[[#This Row],[Revenue]]-Table3[[#This Row],[Ad Spend]]</f>
        <v>450.86</v>
      </c>
      <c r="M304" s="11">
        <v>137</v>
      </c>
    </row>
    <row r="305" spans="1:13" ht="15.75" customHeight="1" x14ac:dyDescent="0.3">
      <c r="A305" s="4" t="s">
        <v>527</v>
      </c>
      <c r="B305">
        <f t="shared" si="4"/>
        <v>1</v>
      </c>
      <c r="C305" s="2" t="s">
        <v>32</v>
      </c>
      <c r="D305" s="2" t="s">
        <v>604</v>
      </c>
      <c r="E305" s="7">
        <v>5.62</v>
      </c>
      <c r="F305" s="2">
        <v>2</v>
      </c>
      <c r="G305" s="7">
        <v>305.64</v>
      </c>
      <c r="H305" s="2" t="s">
        <v>605</v>
      </c>
      <c r="I305" s="2" t="s">
        <v>29</v>
      </c>
      <c r="J305" s="2" t="s">
        <v>25</v>
      </c>
      <c r="K305" s="2" t="s">
        <v>17</v>
      </c>
      <c r="L305" s="7">
        <f>Table3[[#This Row],[Revenue]]-Table3[[#This Row],[Ad Spend]]</f>
        <v>300.02</v>
      </c>
      <c r="M305" s="11">
        <v>131.82</v>
      </c>
    </row>
    <row r="306" spans="1:13" ht="15.75" customHeight="1" x14ac:dyDescent="0.3">
      <c r="A306" s="4" t="s">
        <v>82</v>
      </c>
      <c r="B306">
        <f t="shared" si="4"/>
        <v>4</v>
      </c>
      <c r="C306" s="2" t="s">
        <v>32</v>
      </c>
      <c r="D306" s="2" t="s">
        <v>223</v>
      </c>
      <c r="E306" s="7">
        <v>44.72</v>
      </c>
      <c r="F306" s="2">
        <v>10</v>
      </c>
      <c r="G306" s="7">
        <v>151.30000000000001</v>
      </c>
      <c r="H306" s="2" t="s">
        <v>65</v>
      </c>
      <c r="I306" s="2" t="s">
        <v>15</v>
      </c>
      <c r="J306" s="2" t="s">
        <v>36</v>
      </c>
      <c r="K306" s="2" t="s">
        <v>17</v>
      </c>
      <c r="L306" s="7">
        <f>Table3[[#This Row],[Revenue]]-Table3[[#This Row],[Ad Spend]]</f>
        <v>106.58000000000001</v>
      </c>
      <c r="M306" s="11">
        <v>122.13</v>
      </c>
    </row>
    <row r="307" spans="1:13" ht="15.75" customHeight="1" x14ac:dyDescent="0.3">
      <c r="A307" s="4" t="s">
        <v>463</v>
      </c>
      <c r="B307">
        <f t="shared" si="4"/>
        <v>3</v>
      </c>
      <c r="C307" s="2" t="s">
        <v>12</v>
      </c>
      <c r="D307" s="2" t="s">
        <v>606</v>
      </c>
      <c r="E307" s="7">
        <v>149.79</v>
      </c>
      <c r="F307" s="2">
        <v>8</v>
      </c>
      <c r="G307" s="7">
        <v>199.32</v>
      </c>
      <c r="H307" s="2" t="s">
        <v>607</v>
      </c>
      <c r="I307" s="2" t="s">
        <v>15</v>
      </c>
      <c r="J307" s="2" t="s">
        <v>30</v>
      </c>
      <c r="K307" s="2" t="s">
        <v>17</v>
      </c>
      <c r="L307" s="7">
        <f>Table3[[#This Row],[Revenue]]-Table3[[#This Row],[Ad Spend]]</f>
        <v>49.53</v>
      </c>
      <c r="M307" s="11">
        <v>124.74</v>
      </c>
    </row>
    <row r="308" spans="1:13" ht="15.75" customHeight="1" x14ac:dyDescent="0.3">
      <c r="A308" s="4" t="s">
        <v>448</v>
      </c>
      <c r="B308">
        <f t="shared" si="4"/>
        <v>12</v>
      </c>
      <c r="C308" s="2" t="s">
        <v>63</v>
      </c>
      <c r="D308" s="2" t="s">
        <v>539</v>
      </c>
      <c r="E308" s="7">
        <v>42.72</v>
      </c>
      <c r="F308" s="2">
        <v>0</v>
      </c>
      <c r="G308" s="7">
        <v>123.54</v>
      </c>
      <c r="H308" s="2" t="s">
        <v>310</v>
      </c>
      <c r="I308" s="2" t="s">
        <v>29</v>
      </c>
      <c r="J308" s="2" t="s">
        <v>25</v>
      </c>
      <c r="K308" s="2" t="s">
        <v>46</v>
      </c>
      <c r="L308" s="7">
        <f>Table3[[#This Row],[Revenue]]-Table3[[#This Row],[Ad Spend]]</f>
        <v>80.820000000000007</v>
      </c>
      <c r="M308" s="11">
        <v>103.62</v>
      </c>
    </row>
    <row r="309" spans="1:13" ht="15.75" customHeight="1" x14ac:dyDescent="0.3">
      <c r="A309" s="4" t="s">
        <v>175</v>
      </c>
      <c r="B309">
        <f t="shared" si="4"/>
        <v>3</v>
      </c>
      <c r="C309" s="2" t="s">
        <v>19</v>
      </c>
      <c r="D309" s="2" t="s">
        <v>455</v>
      </c>
      <c r="E309" s="7">
        <v>66.77</v>
      </c>
      <c r="F309" s="2">
        <v>7</v>
      </c>
      <c r="G309" s="7">
        <v>266.87</v>
      </c>
      <c r="H309" s="2" t="s">
        <v>608</v>
      </c>
      <c r="I309" s="2" t="s">
        <v>15</v>
      </c>
      <c r="J309" s="2" t="s">
        <v>30</v>
      </c>
      <c r="K309" s="2" t="s">
        <v>17</v>
      </c>
      <c r="L309" s="7">
        <f>Table3[[#This Row],[Revenue]]-Table3[[#This Row],[Ad Spend]]</f>
        <v>200.10000000000002</v>
      </c>
      <c r="M309" s="11">
        <v>171.94</v>
      </c>
    </row>
    <row r="310" spans="1:13" ht="15.75" customHeight="1" x14ac:dyDescent="0.3">
      <c r="A310" s="4" t="s">
        <v>189</v>
      </c>
      <c r="B310">
        <f t="shared" si="4"/>
        <v>2</v>
      </c>
      <c r="C310" s="2" t="s">
        <v>19</v>
      </c>
      <c r="D310" s="2" t="s">
        <v>609</v>
      </c>
      <c r="E310" s="7">
        <v>124.7</v>
      </c>
      <c r="F310" s="2">
        <v>10</v>
      </c>
      <c r="G310" s="7">
        <v>25.17</v>
      </c>
      <c r="H310" s="2" t="s">
        <v>99</v>
      </c>
      <c r="I310" s="2" t="s">
        <v>35</v>
      </c>
      <c r="J310" s="2" t="s">
        <v>30</v>
      </c>
      <c r="K310" s="2" t="s">
        <v>17</v>
      </c>
      <c r="L310" s="7">
        <f>Table3[[#This Row],[Revenue]]-Table3[[#This Row],[Ad Spend]]</f>
        <v>-99.53</v>
      </c>
      <c r="M310" s="11">
        <v>93.34</v>
      </c>
    </row>
    <row r="311" spans="1:13" ht="15.75" customHeight="1" x14ac:dyDescent="0.3">
      <c r="A311" s="4" t="s">
        <v>290</v>
      </c>
      <c r="B311">
        <f t="shared" si="4"/>
        <v>1</v>
      </c>
      <c r="C311" s="2" t="s">
        <v>19</v>
      </c>
      <c r="D311" s="2" t="s">
        <v>375</v>
      </c>
      <c r="E311" s="7">
        <v>29.79</v>
      </c>
      <c r="F311" s="2">
        <v>4</v>
      </c>
      <c r="G311" s="7">
        <v>395.44</v>
      </c>
      <c r="H311" s="2" t="s">
        <v>161</v>
      </c>
      <c r="I311" s="2" t="s">
        <v>35</v>
      </c>
      <c r="J311" s="2" t="s">
        <v>25</v>
      </c>
      <c r="K311" s="2" t="s">
        <v>17</v>
      </c>
      <c r="L311" s="7">
        <f>Table3[[#This Row],[Revenue]]-Table3[[#This Row],[Ad Spend]]</f>
        <v>365.65</v>
      </c>
      <c r="M311" s="11">
        <v>125.88</v>
      </c>
    </row>
    <row r="312" spans="1:13" ht="15.75" customHeight="1" x14ac:dyDescent="0.3">
      <c r="A312" s="4" t="s">
        <v>610</v>
      </c>
      <c r="B312">
        <f t="shared" si="4"/>
        <v>11</v>
      </c>
      <c r="C312" s="2" t="s">
        <v>12</v>
      </c>
      <c r="D312" s="2" t="s">
        <v>611</v>
      </c>
      <c r="E312" s="7">
        <v>112.98</v>
      </c>
      <c r="F312" s="2">
        <v>6</v>
      </c>
      <c r="G312" s="7">
        <v>415.17</v>
      </c>
      <c r="H312" s="2" t="s">
        <v>612</v>
      </c>
      <c r="I312" s="2" t="s">
        <v>15</v>
      </c>
      <c r="J312" s="2" t="s">
        <v>87</v>
      </c>
      <c r="K312" s="2" t="s">
        <v>17</v>
      </c>
      <c r="L312" s="7">
        <f>Table3[[#This Row],[Revenue]]-Table3[[#This Row],[Ad Spend]]</f>
        <v>302.19</v>
      </c>
      <c r="M312" s="11">
        <v>169.41</v>
      </c>
    </row>
    <row r="313" spans="1:13" ht="15.75" customHeight="1" x14ac:dyDescent="0.3">
      <c r="A313" s="4" t="s">
        <v>483</v>
      </c>
      <c r="B313">
        <f t="shared" si="4"/>
        <v>4</v>
      </c>
      <c r="C313" s="2" t="s">
        <v>32</v>
      </c>
      <c r="D313" s="2" t="s">
        <v>390</v>
      </c>
      <c r="E313" s="7">
        <v>27.63</v>
      </c>
      <c r="F313" s="2">
        <v>1</v>
      </c>
      <c r="G313" s="7">
        <v>261.98</v>
      </c>
      <c r="H313" s="2" t="s">
        <v>198</v>
      </c>
      <c r="I313" s="2" t="s">
        <v>29</v>
      </c>
      <c r="J313" s="2" t="s">
        <v>25</v>
      </c>
      <c r="K313" s="2" t="s">
        <v>17</v>
      </c>
      <c r="L313" s="7">
        <f>Table3[[#This Row],[Revenue]]-Table3[[#This Row],[Ad Spend]]</f>
        <v>234.35000000000002</v>
      </c>
      <c r="M313" s="11">
        <v>106.46</v>
      </c>
    </row>
    <row r="314" spans="1:13" ht="15.75" customHeight="1" x14ac:dyDescent="0.3">
      <c r="A314" s="4" t="s">
        <v>18</v>
      </c>
      <c r="B314">
        <f t="shared" si="4"/>
        <v>3</v>
      </c>
      <c r="C314" s="2" t="s">
        <v>12</v>
      </c>
      <c r="D314" s="2" t="s">
        <v>613</v>
      </c>
      <c r="E314" s="7">
        <v>55.09</v>
      </c>
      <c r="F314" s="2">
        <v>6</v>
      </c>
      <c r="G314" s="7">
        <v>29.57</v>
      </c>
      <c r="H314" s="2" t="s">
        <v>614</v>
      </c>
      <c r="I314" s="2" t="s">
        <v>29</v>
      </c>
      <c r="J314" s="2" t="s">
        <v>30</v>
      </c>
      <c r="K314" s="2" t="s">
        <v>17</v>
      </c>
      <c r="L314" s="7">
        <f>Table3[[#This Row],[Revenue]]-Table3[[#This Row],[Ad Spend]]</f>
        <v>-25.520000000000003</v>
      </c>
      <c r="M314" s="11">
        <v>60.28</v>
      </c>
    </row>
    <row r="315" spans="1:13" ht="15.75" customHeight="1" x14ac:dyDescent="0.3">
      <c r="A315" s="4" t="s">
        <v>172</v>
      </c>
      <c r="B315">
        <f t="shared" si="4"/>
        <v>2</v>
      </c>
      <c r="C315" s="2" t="s">
        <v>63</v>
      </c>
      <c r="D315" s="2" t="s">
        <v>384</v>
      </c>
      <c r="E315" s="7">
        <v>58.27</v>
      </c>
      <c r="F315" s="2">
        <v>2</v>
      </c>
      <c r="G315" s="7">
        <v>220.57</v>
      </c>
      <c r="H315" s="2" t="s">
        <v>615</v>
      </c>
      <c r="I315" s="2" t="s">
        <v>35</v>
      </c>
      <c r="J315" s="2" t="s">
        <v>53</v>
      </c>
      <c r="K315" s="2" t="s">
        <v>17</v>
      </c>
      <c r="L315" s="7">
        <f>Table3[[#This Row],[Revenue]]-Table3[[#This Row],[Ad Spend]]</f>
        <v>162.29999999999998</v>
      </c>
      <c r="M315" s="11">
        <v>106.13</v>
      </c>
    </row>
    <row r="316" spans="1:13" ht="15.75" customHeight="1" x14ac:dyDescent="0.3">
      <c r="A316" s="4" t="s">
        <v>273</v>
      </c>
      <c r="B316">
        <f t="shared" si="4"/>
        <v>11</v>
      </c>
      <c r="C316" s="2" t="s">
        <v>32</v>
      </c>
      <c r="D316" s="2" t="s">
        <v>616</v>
      </c>
      <c r="E316" s="7">
        <v>126.92</v>
      </c>
      <c r="F316" s="2">
        <v>0</v>
      </c>
      <c r="G316" s="7">
        <v>22.92</v>
      </c>
      <c r="H316" s="2" t="s">
        <v>249</v>
      </c>
      <c r="I316" s="2" t="s">
        <v>29</v>
      </c>
      <c r="J316" s="2" t="s">
        <v>30</v>
      </c>
      <c r="K316" s="2" t="s">
        <v>46</v>
      </c>
      <c r="L316" s="7">
        <f>Table3[[#This Row],[Revenue]]-Table3[[#This Row],[Ad Spend]]</f>
        <v>-104</v>
      </c>
      <c r="M316" s="11">
        <v>116.33</v>
      </c>
    </row>
    <row r="317" spans="1:13" ht="15.75" customHeight="1" x14ac:dyDescent="0.3">
      <c r="A317" s="4" t="s">
        <v>97</v>
      </c>
      <c r="B317">
        <f t="shared" si="4"/>
        <v>12</v>
      </c>
      <c r="C317" s="2" t="s">
        <v>63</v>
      </c>
      <c r="D317" s="2" t="s">
        <v>617</v>
      </c>
      <c r="E317" s="7">
        <v>141.25</v>
      </c>
      <c r="F317" s="2">
        <v>0</v>
      </c>
      <c r="G317" s="7">
        <v>459.77</v>
      </c>
      <c r="H317" s="2" t="s">
        <v>618</v>
      </c>
      <c r="I317" s="2" t="s">
        <v>29</v>
      </c>
      <c r="J317" s="2" t="s">
        <v>30</v>
      </c>
      <c r="K317" s="2" t="s">
        <v>46</v>
      </c>
      <c r="L317" s="7">
        <f>Table3[[#This Row],[Revenue]]-Table3[[#This Row],[Ad Spend]]</f>
        <v>318.52</v>
      </c>
      <c r="M317" s="11">
        <v>132.93</v>
      </c>
    </row>
    <row r="318" spans="1:13" ht="15.75" customHeight="1" x14ac:dyDescent="0.3">
      <c r="A318" s="4" t="s">
        <v>619</v>
      </c>
      <c r="B318">
        <f t="shared" si="4"/>
        <v>1</v>
      </c>
      <c r="C318" s="2" t="s">
        <v>19</v>
      </c>
      <c r="D318" s="2" t="s">
        <v>620</v>
      </c>
      <c r="E318" s="7">
        <v>113.03</v>
      </c>
      <c r="F318" s="2">
        <v>6</v>
      </c>
      <c r="G318" s="7">
        <v>417.7</v>
      </c>
      <c r="H318" s="2" t="s">
        <v>621</v>
      </c>
      <c r="I318" s="2" t="s">
        <v>29</v>
      </c>
      <c r="J318" s="2" t="s">
        <v>16</v>
      </c>
      <c r="K318" s="2" t="s">
        <v>17</v>
      </c>
      <c r="L318" s="7">
        <f>Table3[[#This Row],[Revenue]]-Table3[[#This Row],[Ad Spend]]</f>
        <v>304.66999999999996</v>
      </c>
      <c r="M318" s="11">
        <v>192.04</v>
      </c>
    </row>
    <row r="319" spans="1:13" ht="15.75" customHeight="1" x14ac:dyDescent="0.3">
      <c r="A319" s="4" t="s">
        <v>472</v>
      </c>
      <c r="B319">
        <f t="shared" si="4"/>
        <v>4</v>
      </c>
      <c r="C319" s="2" t="s">
        <v>63</v>
      </c>
      <c r="D319" s="2" t="s">
        <v>622</v>
      </c>
      <c r="E319" s="7">
        <v>78.92</v>
      </c>
      <c r="F319" s="2">
        <v>9</v>
      </c>
      <c r="G319" s="7">
        <v>486.46</v>
      </c>
      <c r="H319" s="2" t="s">
        <v>138</v>
      </c>
      <c r="I319" s="2" t="s">
        <v>29</v>
      </c>
      <c r="J319" s="2" t="s">
        <v>16</v>
      </c>
      <c r="K319" s="2" t="s">
        <v>17</v>
      </c>
      <c r="L319" s="7">
        <f>Table3[[#This Row],[Revenue]]-Table3[[#This Row],[Ad Spend]]</f>
        <v>407.53999999999996</v>
      </c>
      <c r="M319" s="11">
        <v>134.6</v>
      </c>
    </row>
    <row r="320" spans="1:13" ht="15.75" customHeight="1" x14ac:dyDescent="0.3">
      <c r="A320" s="4" t="s">
        <v>277</v>
      </c>
      <c r="B320">
        <f t="shared" si="4"/>
        <v>2</v>
      </c>
      <c r="C320" s="2" t="s">
        <v>12</v>
      </c>
      <c r="D320" s="2" t="s">
        <v>530</v>
      </c>
      <c r="E320" s="7">
        <v>142.34</v>
      </c>
      <c r="F320" s="2">
        <v>10</v>
      </c>
      <c r="G320" s="7">
        <v>219.44</v>
      </c>
      <c r="H320" s="2" t="s">
        <v>52</v>
      </c>
      <c r="I320" s="2" t="s">
        <v>15</v>
      </c>
      <c r="J320" s="2" t="s">
        <v>30</v>
      </c>
      <c r="K320" s="2" t="s">
        <v>17</v>
      </c>
      <c r="L320" s="7">
        <f>Table3[[#This Row],[Revenue]]-Table3[[#This Row],[Ad Spend]]</f>
        <v>77.099999999999994</v>
      </c>
      <c r="M320" s="11">
        <v>124.43</v>
      </c>
    </row>
    <row r="321" spans="1:13" ht="15.75" customHeight="1" x14ac:dyDescent="0.3">
      <c r="A321" s="4" t="s">
        <v>623</v>
      </c>
      <c r="B321">
        <f t="shared" si="4"/>
        <v>1</v>
      </c>
      <c r="C321" s="2" t="s">
        <v>19</v>
      </c>
      <c r="D321" s="2" t="s">
        <v>624</v>
      </c>
      <c r="E321" s="7">
        <v>105.52</v>
      </c>
      <c r="F321" s="2">
        <v>3</v>
      </c>
      <c r="G321" s="7">
        <v>62.94</v>
      </c>
      <c r="H321" s="2" t="s">
        <v>625</v>
      </c>
      <c r="I321" s="2" t="s">
        <v>29</v>
      </c>
      <c r="J321" s="2" t="s">
        <v>87</v>
      </c>
      <c r="K321" s="2" t="s">
        <v>17</v>
      </c>
      <c r="L321" s="7">
        <f>Table3[[#This Row],[Revenue]]-Table3[[#This Row],[Ad Spend]]</f>
        <v>-42.58</v>
      </c>
      <c r="M321" s="11">
        <v>113.81</v>
      </c>
    </row>
    <row r="322" spans="1:13" ht="15.75" customHeight="1" x14ac:dyDescent="0.3">
      <c r="A322" s="4" t="s">
        <v>153</v>
      </c>
      <c r="B322">
        <f t="shared" si="4"/>
        <v>1</v>
      </c>
      <c r="C322" s="2" t="s">
        <v>19</v>
      </c>
      <c r="D322" s="2" t="s">
        <v>626</v>
      </c>
      <c r="E322" s="7">
        <v>74.94</v>
      </c>
      <c r="F322" s="2">
        <v>3</v>
      </c>
      <c r="G322" s="7">
        <v>42.16</v>
      </c>
      <c r="H322" s="2" t="s">
        <v>99</v>
      </c>
      <c r="I322" s="2" t="s">
        <v>15</v>
      </c>
      <c r="J322" s="2" t="s">
        <v>30</v>
      </c>
      <c r="K322" s="2" t="s">
        <v>17</v>
      </c>
      <c r="L322" s="7">
        <f>Table3[[#This Row],[Revenue]]-Table3[[#This Row],[Ad Spend]]</f>
        <v>-32.78</v>
      </c>
      <c r="M322" s="11">
        <v>89.05</v>
      </c>
    </row>
    <row r="323" spans="1:13" ht="15.75" customHeight="1" x14ac:dyDescent="0.3">
      <c r="A323" s="4" t="s">
        <v>353</v>
      </c>
      <c r="B323">
        <f t="shared" ref="B323:B386" si="5">MONTH(A323)</f>
        <v>1</v>
      </c>
      <c r="C323" s="2" t="s">
        <v>19</v>
      </c>
      <c r="D323" s="2" t="s">
        <v>627</v>
      </c>
      <c r="E323" s="7">
        <v>45.24</v>
      </c>
      <c r="F323" s="2">
        <v>9</v>
      </c>
      <c r="G323" s="7">
        <v>348.93</v>
      </c>
      <c r="H323" s="2" t="s">
        <v>374</v>
      </c>
      <c r="I323" s="2" t="s">
        <v>29</v>
      </c>
      <c r="J323" s="2" t="s">
        <v>53</v>
      </c>
      <c r="K323" s="2" t="s">
        <v>17</v>
      </c>
      <c r="L323" s="7">
        <f>Table3[[#This Row],[Revenue]]-Table3[[#This Row],[Ad Spend]]</f>
        <v>303.69</v>
      </c>
      <c r="M323" s="11">
        <v>128.55000000000001</v>
      </c>
    </row>
    <row r="324" spans="1:13" ht="15.75" customHeight="1" x14ac:dyDescent="0.3">
      <c r="A324" s="4" t="s">
        <v>59</v>
      </c>
      <c r="B324">
        <f t="shared" si="5"/>
        <v>3</v>
      </c>
      <c r="C324" s="2" t="s">
        <v>19</v>
      </c>
      <c r="D324" s="2" t="s">
        <v>149</v>
      </c>
      <c r="E324" s="7">
        <v>15.15</v>
      </c>
      <c r="F324" s="2">
        <v>2</v>
      </c>
      <c r="G324" s="7">
        <v>483.96</v>
      </c>
      <c r="H324" s="2" t="s">
        <v>225</v>
      </c>
      <c r="I324" s="2" t="s">
        <v>29</v>
      </c>
      <c r="J324" s="2" t="s">
        <v>25</v>
      </c>
      <c r="K324" s="2" t="s">
        <v>17</v>
      </c>
      <c r="L324" s="7">
        <f>Table3[[#This Row],[Revenue]]-Table3[[#This Row],[Ad Spend]]</f>
        <v>468.81</v>
      </c>
      <c r="M324" s="11">
        <v>118.41</v>
      </c>
    </row>
    <row r="325" spans="1:13" ht="15.75" customHeight="1" x14ac:dyDescent="0.3">
      <c r="A325" s="4" t="s">
        <v>191</v>
      </c>
      <c r="B325">
        <f t="shared" si="5"/>
        <v>11</v>
      </c>
      <c r="C325" s="2" t="s">
        <v>12</v>
      </c>
      <c r="D325" s="2" t="s">
        <v>628</v>
      </c>
      <c r="E325" s="7">
        <v>145.6</v>
      </c>
      <c r="F325" s="2">
        <v>9</v>
      </c>
      <c r="G325" s="7">
        <v>262.14999999999998</v>
      </c>
      <c r="H325" s="2" t="s">
        <v>101</v>
      </c>
      <c r="I325" s="2" t="s">
        <v>29</v>
      </c>
      <c r="J325" s="2" t="s">
        <v>36</v>
      </c>
      <c r="K325" s="2" t="s">
        <v>17</v>
      </c>
      <c r="L325" s="7">
        <f>Table3[[#This Row],[Revenue]]-Table3[[#This Row],[Ad Spend]]</f>
        <v>116.54999999999998</v>
      </c>
      <c r="M325" s="11">
        <v>128.46</v>
      </c>
    </row>
    <row r="326" spans="1:13" ht="15.75" customHeight="1" x14ac:dyDescent="0.3">
      <c r="A326" s="4" t="s">
        <v>502</v>
      </c>
      <c r="B326">
        <f t="shared" si="5"/>
        <v>12</v>
      </c>
      <c r="C326" s="2" t="s">
        <v>63</v>
      </c>
      <c r="D326" s="2" t="s">
        <v>629</v>
      </c>
      <c r="E326" s="7">
        <v>147.91</v>
      </c>
      <c r="F326" s="2">
        <v>8</v>
      </c>
      <c r="G326" s="7">
        <v>293.83999999999997</v>
      </c>
      <c r="H326" s="2" t="s">
        <v>225</v>
      </c>
      <c r="I326" s="2" t="s">
        <v>29</v>
      </c>
      <c r="J326" s="2" t="s">
        <v>53</v>
      </c>
      <c r="K326" s="2" t="s">
        <v>17</v>
      </c>
      <c r="L326" s="7">
        <f>Table3[[#This Row],[Revenue]]-Table3[[#This Row],[Ad Spend]]</f>
        <v>145.92999999999998</v>
      </c>
      <c r="M326" s="11">
        <v>116.55</v>
      </c>
    </row>
    <row r="327" spans="1:13" ht="15.75" customHeight="1" x14ac:dyDescent="0.3">
      <c r="A327" s="4" t="s">
        <v>402</v>
      </c>
      <c r="B327">
        <f t="shared" si="5"/>
        <v>3</v>
      </c>
      <c r="C327" s="2" t="s">
        <v>19</v>
      </c>
      <c r="D327" s="2" t="s">
        <v>630</v>
      </c>
      <c r="E327" s="7">
        <v>25.89</v>
      </c>
      <c r="F327" s="2">
        <v>1</v>
      </c>
      <c r="G327" s="7">
        <v>314.07</v>
      </c>
      <c r="H327" s="2" t="s">
        <v>422</v>
      </c>
      <c r="I327" s="2" t="s">
        <v>15</v>
      </c>
      <c r="J327" s="2" t="s">
        <v>30</v>
      </c>
      <c r="K327" s="2" t="s">
        <v>17</v>
      </c>
      <c r="L327" s="7">
        <f>Table3[[#This Row],[Revenue]]-Table3[[#This Row],[Ad Spend]]</f>
        <v>288.18</v>
      </c>
      <c r="M327" s="11">
        <v>131.06</v>
      </c>
    </row>
    <row r="328" spans="1:13" ht="15.75" customHeight="1" x14ac:dyDescent="0.3">
      <c r="A328" s="4" t="s">
        <v>619</v>
      </c>
      <c r="B328">
        <f t="shared" si="5"/>
        <v>1</v>
      </c>
      <c r="C328" s="2" t="s">
        <v>32</v>
      </c>
      <c r="D328" s="2" t="s">
        <v>631</v>
      </c>
      <c r="E328" s="7">
        <v>143.47</v>
      </c>
      <c r="F328" s="2">
        <v>1</v>
      </c>
      <c r="G328" s="7">
        <v>57.66</v>
      </c>
      <c r="H328" s="2" t="s">
        <v>422</v>
      </c>
      <c r="I328" s="2" t="s">
        <v>29</v>
      </c>
      <c r="J328" s="2" t="s">
        <v>53</v>
      </c>
      <c r="K328" s="2" t="s">
        <v>17</v>
      </c>
      <c r="L328" s="7">
        <f>Table3[[#This Row],[Revenue]]-Table3[[#This Row],[Ad Spend]]</f>
        <v>-85.81</v>
      </c>
      <c r="M328" s="11">
        <v>132.36000000000001</v>
      </c>
    </row>
    <row r="329" spans="1:13" ht="15.75" customHeight="1" x14ac:dyDescent="0.3">
      <c r="A329" s="4" t="s">
        <v>320</v>
      </c>
      <c r="B329">
        <f t="shared" si="5"/>
        <v>4</v>
      </c>
      <c r="C329" s="2" t="s">
        <v>63</v>
      </c>
      <c r="D329" s="2" t="s">
        <v>632</v>
      </c>
      <c r="E329" s="7">
        <v>16.11</v>
      </c>
      <c r="F329" s="2">
        <v>2</v>
      </c>
      <c r="G329" s="7">
        <v>413.29</v>
      </c>
      <c r="H329" s="2" t="s">
        <v>313</v>
      </c>
      <c r="I329" s="2" t="s">
        <v>15</v>
      </c>
      <c r="J329" s="2" t="s">
        <v>87</v>
      </c>
      <c r="K329" s="2" t="s">
        <v>17</v>
      </c>
      <c r="L329" s="7">
        <f>Table3[[#This Row],[Revenue]]-Table3[[#This Row],[Ad Spend]]</f>
        <v>397.18</v>
      </c>
      <c r="M329" s="11">
        <v>122.34</v>
      </c>
    </row>
    <row r="330" spans="1:13" ht="15.75" customHeight="1" x14ac:dyDescent="0.3">
      <c r="A330" s="4" t="s">
        <v>220</v>
      </c>
      <c r="B330">
        <f t="shared" si="5"/>
        <v>12</v>
      </c>
      <c r="C330" s="2" t="s">
        <v>63</v>
      </c>
      <c r="D330" s="2" t="s">
        <v>633</v>
      </c>
      <c r="E330" s="7">
        <v>16.82</v>
      </c>
      <c r="F330" s="2">
        <v>10</v>
      </c>
      <c r="G330" s="7">
        <v>249.68</v>
      </c>
      <c r="H330" s="2" t="s">
        <v>634</v>
      </c>
      <c r="I330" s="2" t="s">
        <v>15</v>
      </c>
      <c r="J330" s="2" t="s">
        <v>30</v>
      </c>
      <c r="K330" s="2" t="s">
        <v>17</v>
      </c>
      <c r="L330" s="7">
        <f>Table3[[#This Row],[Revenue]]-Table3[[#This Row],[Ad Spend]]</f>
        <v>232.86</v>
      </c>
      <c r="M330" s="11">
        <v>123.67</v>
      </c>
    </row>
    <row r="331" spans="1:13" ht="15.75" customHeight="1" x14ac:dyDescent="0.3">
      <c r="A331" s="4" t="s">
        <v>283</v>
      </c>
      <c r="B331">
        <f t="shared" si="5"/>
        <v>11</v>
      </c>
      <c r="C331" s="2" t="s">
        <v>12</v>
      </c>
      <c r="D331" s="2" t="s">
        <v>635</v>
      </c>
      <c r="E331" s="7">
        <v>92.02</v>
      </c>
      <c r="F331" s="2">
        <v>5</v>
      </c>
      <c r="G331" s="7">
        <v>331.51</v>
      </c>
      <c r="H331" s="2" t="s">
        <v>567</v>
      </c>
      <c r="I331" s="2" t="s">
        <v>15</v>
      </c>
      <c r="J331" s="2" t="s">
        <v>36</v>
      </c>
      <c r="K331" s="2" t="s">
        <v>17</v>
      </c>
      <c r="L331" s="7">
        <f>Table3[[#This Row],[Revenue]]-Table3[[#This Row],[Ad Spend]]</f>
        <v>239.49</v>
      </c>
      <c r="M331" s="11">
        <v>124.35</v>
      </c>
    </row>
    <row r="332" spans="1:13" ht="15.75" customHeight="1" x14ac:dyDescent="0.3">
      <c r="A332" s="4" t="s">
        <v>380</v>
      </c>
      <c r="B332">
        <f t="shared" si="5"/>
        <v>2</v>
      </c>
      <c r="C332" s="2" t="s">
        <v>32</v>
      </c>
      <c r="D332" s="2" t="s">
        <v>636</v>
      </c>
      <c r="E332" s="7">
        <v>29.76</v>
      </c>
      <c r="F332" s="2">
        <v>3</v>
      </c>
      <c r="G332" s="7">
        <v>460.26</v>
      </c>
      <c r="H332" s="2" t="s">
        <v>24</v>
      </c>
      <c r="I332" s="2" t="s">
        <v>35</v>
      </c>
      <c r="J332" s="2" t="s">
        <v>53</v>
      </c>
      <c r="K332" s="2" t="s">
        <v>17</v>
      </c>
      <c r="L332" s="7">
        <f>Table3[[#This Row],[Revenue]]-Table3[[#This Row],[Ad Spend]]</f>
        <v>430.5</v>
      </c>
      <c r="M332" s="11">
        <v>138.16999999999999</v>
      </c>
    </row>
    <row r="333" spans="1:13" ht="15.75" customHeight="1" x14ac:dyDescent="0.3">
      <c r="A333" s="4" t="s">
        <v>129</v>
      </c>
      <c r="B333">
        <f t="shared" si="5"/>
        <v>1</v>
      </c>
      <c r="C333" s="2" t="s">
        <v>19</v>
      </c>
      <c r="D333" s="2" t="s">
        <v>637</v>
      </c>
      <c r="E333" s="7">
        <v>16.79</v>
      </c>
      <c r="F333" s="2">
        <v>1</v>
      </c>
      <c r="G333" s="7">
        <v>416</v>
      </c>
      <c r="H333" s="2" t="s">
        <v>24</v>
      </c>
      <c r="I333" s="2" t="s">
        <v>29</v>
      </c>
      <c r="J333" s="2" t="s">
        <v>30</v>
      </c>
      <c r="K333" s="2" t="s">
        <v>17</v>
      </c>
      <c r="L333" s="7">
        <f>Table3[[#This Row],[Revenue]]-Table3[[#This Row],[Ad Spend]]</f>
        <v>399.21</v>
      </c>
      <c r="M333" s="11">
        <v>142.63</v>
      </c>
    </row>
    <row r="334" spans="1:13" ht="15.75" customHeight="1" x14ac:dyDescent="0.3">
      <c r="A334" s="4" t="s">
        <v>638</v>
      </c>
      <c r="B334">
        <f t="shared" si="5"/>
        <v>1</v>
      </c>
      <c r="C334" s="2" t="s">
        <v>19</v>
      </c>
      <c r="D334" s="2" t="s">
        <v>639</v>
      </c>
      <c r="E334" s="7">
        <v>67.14</v>
      </c>
      <c r="F334" s="2">
        <v>4</v>
      </c>
      <c r="G334" s="7">
        <v>54.49</v>
      </c>
      <c r="H334" s="2" t="s">
        <v>229</v>
      </c>
      <c r="I334" s="2" t="s">
        <v>15</v>
      </c>
      <c r="J334" s="2" t="s">
        <v>30</v>
      </c>
      <c r="K334" s="2" t="s">
        <v>17</v>
      </c>
      <c r="L334" s="7">
        <f>Table3[[#This Row],[Revenue]]-Table3[[#This Row],[Ad Spend]]</f>
        <v>-12.649999999999999</v>
      </c>
      <c r="M334" s="11">
        <v>100.01</v>
      </c>
    </row>
    <row r="335" spans="1:13" ht="15.75" customHeight="1" x14ac:dyDescent="0.3">
      <c r="A335" s="4" t="s">
        <v>56</v>
      </c>
      <c r="B335">
        <f t="shared" si="5"/>
        <v>12</v>
      </c>
      <c r="C335" s="2" t="s">
        <v>19</v>
      </c>
      <c r="D335" s="2" t="s">
        <v>436</v>
      </c>
      <c r="E335" s="7">
        <v>17.75</v>
      </c>
      <c r="F335" s="2">
        <v>3</v>
      </c>
      <c r="G335" s="7">
        <v>173.57</v>
      </c>
      <c r="H335" s="2" t="s">
        <v>640</v>
      </c>
      <c r="I335" s="2" t="s">
        <v>29</v>
      </c>
      <c r="J335" s="2" t="s">
        <v>36</v>
      </c>
      <c r="K335" s="2" t="s">
        <v>17</v>
      </c>
      <c r="L335" s="7">
        <f>Table3[[#This Row],[Revenue]]-Table3[[#This Row],[Ad Spend]]</f>
        <v>155.82</v>
      </c>
      <c r="M335" s="11">
        <v>92.47</v>
      </c>
    </row>
    <row r="336" spans="1:13" ht="15.75" customHeight="1" x14ac:dyDescent="0.3">
      <c r="A336" s="4" t="s">
        <v>527</v>
      </c>
      <c r="B336">
        <f t="shared" si="5"/>
        <v>1</v>
      </c>
      <c r="C336" s="2" t="s">
        <v>32</v>
      </c>
      <c r="D336" s="2" t="s">
        <v>641</v>
      </c>
      <c r="E336" s="7">
        <v>130.61000000000001</v>
      </c>
      <c r="F336" s="2">
        <v>2</v>
      </c>
      <c r="G336" s="7">
        <v>439.36</v>
      </c>
      <c r="H336" s="2" t="s">
        <v>642</v>
      </c>
      <c r="I336" s="2" t="s">
        <v>15</v>
      </c>
      <c r="J336" s="2" t="s">
        <v>53</v>
      </c>
      <c r="K336" s="2" t="s">
        <v>17</v>
      </c>
      <c r="L336" s="7">
        <f>Table3[[#This Row],[Revenue]]-Table3[[#This Row],[Ad Spend]]</f>
        <v>308.75</v>
      </c>
      <c r="M336" s="11">
        <v>194.6</v>
      </c>
    </row>
    <row r="337" spans="1:13" ht="15.75" customHeight="1" x14ac:dyDescent="0.3">
      <c r="A337" s="4" t="s">
        <v>643</v>
      </c>
      <c r="B337">
        <f t="shared" si="5"/>
        <v>2</v>
      </c>
      <c r="C337" s="2" t="s">
        <v>32</v>
      </c>
      <c r="D337" s="2" t="s">
        <v>644</v>
      </c>
      <c r="E337" s="7">
        <v>148.31</v>
      </c>
      <c r="F337" s="2">
        <v>6</v>
      </c>
      <c r="G337" s="7">
        <v>429.08</v>
      </c>
      <c r="H337" s="2" t="s">
        <v>264</v>
      </c>
      <c r="I337" s="2" t="s">
        <v>29</v>
      </c>
      <c r="J337" s="2" t="s">
        <v>30</v>
      </c>
      <c r="K337" s="2" t="s">
        <v>17</v>
      </c>
      <c r="L337" s="7">
        <f>Table3[[#This Row],[Revenue]]-Table3[[#This Row],[Ad Spend]]</f>
        <v>280.77</v>
      </c>
      <c r="M337" s="11">
        <v>124.57</v>
      </c>
    </row>
    <row r="338" spans="1:13" ht="15.75" customHeight="1" x14ac:dyDescent="0.3">
      <c r="A338" s="4" t="s">
        <v>108</v>
      </c>
      <c r="B338">
        <f t="shared" si="5"/>
        <v>3</v>
      </c>
      <c r="C338" s="2" t="s">
        <v>63</v>
      </c>
      <c r="D338" s="2" t="s">
        <v>645</v>
      </c>
      <c r="E338" s="7">
        <v>66.66</v>
      </c>
      <c r="F338" s="2">
        <v>4</v>
      </c>
      <c r="G338" s="7">
        <v>354.04</v>
      </c>
      <c r="H338" s="2" t="s">
        <v>646</v>
      </c>
      <c r="I338" s="2" t="s">
        <v>15</v>
      </c>
      <c r="J338" s="2" t="s">
        <v>25</v>
      </c>
      <c r="K338" s="2" t="s">
        <v>17</v>
      </c>
      <c r="L338" s="7">
        <f>Table3[[#This Row],[Revenue]]-Table3[[#This Row],[Ad Spend]]</f>
        <v>287.38</v>
      </c>
      <c r="M338" s="11">
        <v>169.53</v>
      </c>
    </row>
    <row r="339" spans="1:13" ht="15.75" customHeight="1" x14ac:dyDescent="0.3">
      <c r="A339" s="4" t="s">
        <v>647</v>
      </c>
      <c r="B339">
        <f t="shared" si="5"/>
        <v>11</v>
      </c>
      <c r="C339" s="2" t="s">
        <v>19</v>
      </c>
      <c r="D339" s="2" t="s">
        <v>648</v>
      </c>
      <c r="E339" s="7">
        <v>132.19</v>
      </c>
      <c r="F339" s="2">
        <v>6</v>
      </c>
      <c r="G339" s="7">
        <v>485.01</v>
      </c>
      <c r="H339" s="2" t="s">
        <v>429</v>
      </c>
      <c r="I339" s="2" t="s">
        <v>35</v>
      </c>
      <c r="J339" s="2" t="s">
        <v>87</v>
      </c>
      <c r="K339" s="2" t="s">
        <v>17</v>
      </c>
      <c r="L339" s="7">
        <f>Table3[[#This Row],[Revenue]]-Table3[[#This Row],[Ad Spend]]</f>
        <v>352.82</v>
      </c>
      <c r="M339" s="11">
        <v>179.67</v>
      </c>
    </row>
    <row r="340" spans="1:13" ht="15.75" customHeight="1" x14ac:dyDescent="0.3">
      <c r="A340" s="4" t="s">
        <v>649</v>
      </c>
      <c r="B340">
        <f t="shared" si="5"/>
        <v>1</v>
      </c>
      <c r="C340" s="2" t="s">
        <v>12</v>
      </c>
      <c r="D340" s="2" t="s">
        <v>209</v>
      </c>
      <c r="E340" s="7">
        <v>83.71</v>
      </c>
      <c r="F340" s="2">
        <v>5</v>
      </c>
      <c r="G340" s="7">
        <v>436.1</v>
      </c>
      <c r="H340" s="2" t="s">
        <v>650</v>
      </c>
      <c r="I340" s="2" t="s">
        <v>15</v>
      </c>
      <c r="J340" s="2" t="s">
        <v>16</v>
      </c>
      <c r="K340" s="2" t="s">
        <v>17</v>
      </c>
      <c r="L340" s="7">
        <f>Table3[[#This Row],[Revenue]]-Table3[[#This Row],[Ad Spend]]</f>
        <v>352.39000000000004</v>
      </c>
      <c r="M340" s="11">
        <v>145.97</v>
      </c>
    </row>
    <row r="341" spans="1:13" ht="15.75" customHeight="1" x14ac:dyDescent="0.3">
      <c r="A341" s="4" t="s">
        <v>304</v>
      </c>
      <c r="B341">
        <f t="shared" si="5"/>
        <v>12</v>
      </c>
      <c r="C341" s="2" t="s">
        <v>32</v>
      </c>
      <c r="D341" s="2" t="s">
        <v>651</v>
      </c>
      <c r="E341" s="7">
        <v>11.52</v>
      </c>
      <c r="F341" s="2">
        <v>2</v>
      </c>
      <c r="G341" s="7">
        <v>262.56</v>
      </c>
      <c r="H341" s="2" t="s">
        <v>652</v>
      </c>
      <c r="I341" s="2" t="s">
        <v>29</v>
      </c>
      <c r="J341" s="2" t="s">
        <v>30</v>
      </c>
      <c r="K341" s="2" t="s">
        <v>17</v>
      </c>
      <c r="L341" s="7">
        <f>Table3[[#This Row],[Revenue]]-Table3[[#This Row],[Ad Spend]]</f>
        <v>251.04</v>
      </c>
      <c r="M341" s="11">
        <v>110.04</v>
      </c>
    </row>
    <row r="342" spans="1:13" ht="15.75" customHeight="1" x14ac:dyDescent="0.3">
      <c r="A342" s="4" t="s">
        <v>338</v>
      </c>
      <c r="B342">
        <f t="shared" si="5"/>
        <v>4</v>
      </c>
      <c r="C342" s="2" t="s">
        <v>19</v>
      </c>
      <c r="D342" s="2" t="s">
        <v>653</v>
      </c>
      <c r="E342" s="7">
        <v>145.75</v>
      </c>
      <c r="F342" s="2">
        <v>0</v>
      </c>
      <c r="G342" s="7">
        <v>274.25</v>
      </c>
      <c r="H342" s="2" t="s">
        <v>161</v>
      </c>
      <c r="I342" s="2" t="s">
        <v>35</v>
      </c>
      <c r="J342" s="2" t="s">
        <v>30</v>
      </c>
      <c r="K342" s="2" t="s">
        <v>46</v>
      </c>
      <c r="L342" s="7">
        <f>Table3[[#This Row],[Revenue]]-Table3[[#This Row],[Ad Spend]]</f>
        <v>128.5</v>
      </c>
      <c r="M342" s="11">
        <v>124.91</v>
      </c>
    </row>
    <row r="343" spans="1:13" ht="15.75" customHeight="1" x14ac:dyDescent="0.3">
      <c r="A343" s="4" t="s">
        <v>360</v>
      </c>
      <c r="B343">
        <f t="shared" si="5"/>
        <v>1</v>
      </c>
      <c r="C343" s="2" t="s">
        <v>19</v>
      </c>
      <c r="D343" s="2" t="s">
        <v>631</v>
      </c>
      <c r="E343" s="7">
        <v>126.12</v>
      </c>
      <c r="F343" s="2">
        <v>10</v>
      </c>
      <c r="G343" s="7">
        <v>204.39</v>
      </c>
      <c r="H343" s="2" t="s">
        <v>654</v>
      </c>
      <c r="I343" s="2" t="s">
        <v>35</v>
      </c>
      <c r="J343" s="2" t="s">
        <v>30</v>
      </c>
      <c r="K343" s="2" t="s">
        <v>17</v>
      </c>
      <c r="L343" s="7">
        <f>Table3[[#This Row],[Revenue]]-Table3[[#This Row],[Ad Spend]]</f>
        <v>78.269999999999982</v>
      </c>
      <c r="M343" s="11">
        <v>110.09</v>
      </c>
    </row>
    <row r="344" spans="1:13" ht="15.75" customHeight="1" x14ac:dyDescent="0.3">
      <c r="A344" s="4" t="s">
        <v>511</v>
      </c>
      <c r="B344">
        <f t="shared" si="5"/>
        <v>12</v>
      </c>
      <c r="C344" s="2" t="s">
        <v>19</v>
      </c>
      <c r="D344" s="2" t="s">
        <v>363</v>
      </c>
      <c r="E344" s="7">
        <v>92.87</v>
      </c>
      <c r="F344" s="2">
        <v>8</v>
      </c>
      <c r="G344" s="7">
        <v>379.51</v>
      </c>
      <c r="H344" s="2" t="s">
        <v>284</v>
      </c>
      <c r="I344" s="2" t="s">
        <v>29</v>
      </c>
      <c r="J344" s="2" t="s">
        <v>36</v>
      </c>
      <c r="K344" s="2" t="s">
        <v>17</v>
      </c>
      <c r="L344" s="7">
        <f>Table3[[#This Row],[Revenue]]-Table3[[#This Row],[Ad Spend]]</f>
        <v>286.64</v>
      </c>
      <c r="M344" s="11">
        <v>133.07</v>
      </c>
    </row>
    <row r="345" spans="1:13" ht="15.75" customHeight="1" x14ac:dyDescent="0.3">
      <c r="A345" s="4" t="s">
        <v>247</v>
      </c>
      <c r="B345">
        <f t="shared" si="5"/>
        <v>3</v>
      </c>
      <c r="C345" s="2" t="s">
        <v>12</v>
      </c>
      <c r="D345" s="2" t="s">
        <v>655</v>
      </c>
      <c r="E345" s="7">
        <v>9.09</v>
      </c>
      <c r="F345" s="2">
        <v>0</v>
      </c>
      <c r="G345" s="7">
        <v>95.43</v>
      </c>
      <c r="H345" s="2" t="s">
        <v>104</v>
      </c>
      <c r="I345" s="2" t="s">
        <v>15</v>
      </c>
      <c r="J345" s="2" t="s">
        <v>30</v>
      </c>
      <c r="K345" s="2" t="s">
        <v>46</v>
      </c>
      <c r="L345" s="7">
        <f>Table3[[#This Row],[Revenue]]-Table3[[#This Row],[Ad Spend]]</f>
        <v>86.34</v>
      </c>
      <c r="M345" s="11">
        <v>115</v>
      </c>
    </row>
    <row r="346" spans="1:13" ht="15.75" customHeight="1" x14ac:dyDescent="0.3">
      <c r="A346" s="4" t="s">
        <v>656</v>
      </c>
      <c r="B346">
        <f t="shared" si="5"/>
        <v>4</v>
      </c>
      <c r="C346" s="2" t="s">
        <v>63</v>
      </c>
      <c r="D346" s="2" t="s">
        <v>657</v>
      </c>
      <c r="E346" s="7">
        <v>140.93</v>
      </c>
      <c r="F346" s="2">
        <v>1</v>
      </c>
      <c r="G346" s="7">
        <v>51.15</v>
      </c>
      <c r="H346" s="2" t="s">
        <v>28</v>
      </c>
      <c r="I346" s="2" t="s">
        <v>29</v>
      </c>
      <c r="J346" s="2" t="s">
        <v>53</v>
      </c>
      <c r="K346" s="2" t="s">
        <v>17</v>
      </c>
      <c r="L346" s="7">
        <f>Table3[[#This Row],[Revenue]]-Table3[[#This Row],[Ad Spend]]</f>
        <v>-89.78</v>
      </c>
      <c r="M346" s="11">
        <v>140.5</v>
      </c>
    </row>
    <row r="347" spans="1:13" ht="15.75" customHeight="1" x14ac:dyDescent="0.3">
      <c r="A347" s="4" t="s">
        <v>238</v>
      </c>
      <c r="B347">
        <f t="shared" si="5"/>
        <v>3</v>
      </c>
      <c r="C347" s="2" t="s">
        <v>12</v>
      </c>
      <c r="D347" s="2" t="s">
        <v>658</v>
      </c>
      <c r="E347" s="7">
        <v>13.26</v>
      </c>
      <c r="F347" s="2">
        <v>5</v>
      </c>
      <c r="G347" s="7">
        <v>456.77</v>
      </c>
      <c r="H347" s="2" t="s">
        <v>28</v>
      </c>
      <c r="I347" s="2" t="s">
        <v>29</v>
      </c>
      <c r="J347" s="2" t="s">
        <v>30</v>
      </c>
      <c r="K347" s="2" t="s">
        <v>17</v>
      </c>
      <c r="L347" s="7">
        <f>Table3[[#This Row],[Revenue]]-Table3[[#This Row],[Ad Spend]]</f>
        <v>443.51</v>
      </c>
      <c r="M347" s="11">
        <v>132.09</v>
      </c>
    </row>
    <row r="348" spans="1:13" ht="15.75" customHeight="1" x14ac:dyDescent="0.3">
      <c r="A348" s="4" t="s">
        <v>659</v>
      </c>
      <c r="B348">
        <f t="shared" si="5"/>
        <v>4</v>
      </c>
      <c r="C348" s="2" t="s">
        <v>32</v>
      </c>
      <c r="D348" s="2" t="s">
        <v>660</v>
      </c>
      <c r="E348" s="7">
        <v>59.72</v>
      </c>
      <c r="F348" s="2">
        <v>7</v>
      </c>
      <c r="G348" s="7">
        <v>405.81</v>
      </c>
      <c r="H348" s="2" t="s">
        <v>174</v>
      </c>
      <c r="I348" s="2" t="s">
        <v>29</v>
      </c>
      <c r="J348" s="2" t="s">
        <v>30</v>
      </c>
      <c r="K348" s="2" t="s">
        <v>17</v>
      </c>
      <c r="L348" s="7">
        <f>Table3[[#This Row],[Revenue]]-Table3[[#This Row],[Ad Spend]]</f>
        <v>346.09000000000003</v>
      </c>
      <c r="M348" s="11">
        <v>102.57</v>
      </c>
    </row>
    <row r="349" spans="1:13" ht="15.75" customHeight="1" x14ac:dyDescent="0.3">
      <c r="A349" s="4" t="s">
        <v>261</v>
      </c>
      <c r="B349">
        <f t="shared" si="5"/>
        <v>10</v>
      </c>
      <c r="C349" s="2" t="s">
        <v>32</v>
      </c>
      <c r="D349" s="2" t="s">
        <v>661</v>
      </c>
      <c r="E349" s="7">
        <v>7.94</v>
      </c>
      <c r="F349" s="2">
        <v>3</v>
      </c>
      <c r="G349" s="7">
        <v>413.56</v>
      </c>
      <c r="H349" s="2" t="s">
        <v>662</v>
      </c>
      <c r="I349" s="2" t="s">
        <v>29</v>
      </c>
      <c r="J349" s="2" t="s">
        <v>30</v>
      </c>
      <c r="K349" s="2" t="s">
        <v>17</v>
      </c>
      <c r="L349" s="7">
        <f>Table3[[#This Row],[Revenue]]-Table3[[#This Row],[Ad Spend]]</f>
        <v>405.62</v>
      </c>
      <c r="M349" s="11">
        <v>193.46</v>
      </c>
    </row>
    <row r="350" spans="1:13" ht="15.75" customHeight="1" x14ac:dyDescent="0.3">
      <c r="A350" s="4" t="s">
        <v>421</v>
      </c>
      <c r="B350">
        <f t="shared" si="5"/>
        <v>11</v>
      </c>
      <c r="C350" s="2" t="s">
        <v>19</v>
      </c>
      <c r="D350" s="2" t="s">
        <v>663</v>
      </c>
      <c r="E350" s="7">
        <v>74.430000000000007</v>
      </c>
      <c r="F350" s="2">
        <v>10</v>
      </c>
      <c r="G350" s="7">
        <v>489.99</v>
      </c>
      <c r="H350" s="2" t="s">
        <v>664</v>
      </c>
      <c r="I350" s="2" t="s">
        <v>29</v>
      </c>
      <c r="J350" s="2" t="s">
        <v>25</v>
      </c>
      <c r="K350" s="2" t="s">
        <v>17</v>
      </c>
      <c r="L350" s="7">
        <f>Table3[[#This Row],[Revenue]]-Table3[[#This Row],[Ad Spend]]</f>
        <v>415.56</v>
      </c>
      <c r="M350" s="11">
        <v>160.59</v>
      </c>
    </row>
    <row r="351" spans="1:13" ht="15.75" customHeight="1" x14ac:dyDescent="0.3">
      <c r="A351" s="4" t="s">
        <v>472</v>
      </c>
      <c r="B351">
        <f t="shared" si="5"/>
        <v>4</v>
      </c>
      <c r="C351" s="2" t="s">
        <v>63</v>
      </c>
      <c r="D351" s="2" t="s">
        <v>665</v>
      </c>
      <c r="E351" s="7">
        <v>64.91</v>
      </c>
      <c r="F351" s="2">
        <v>4</v>
      </c>
      <c r="G351" s="7">
        <v>52.74</v>
      </c>
      <c r="H351" s="2" t="s">
        <v>42</v>
      </c>
      <c r="I351" s="2" t="s">
        <v>35</v>
      </c>
      <c r="J351" s="2" t="s">
        <v>25</v>
      </c>
      <c r="K351" s="2" t="s">
        <v>17</v>
      </c>
      <c r="L351" s="7">
        <f>Table3[[#This Row],[Revenue]]-Table3[[#This Row],[Ad Spend]]</f>
        <v>-12.169999999999995</v>
      </c>
      <c r="M351" s="11">
        <v>119.22</v>
      </c>
    </row>
    <row r="352" spans="1:13" ht="15.75" customHeight="1" x14ac:dyDescent="0.3">
      <c r="A352" s="4" t="s">
        <v>338</v>
      </c>
      <c r="B352">
        <f t="shared" si="5"/>
        <v>4</v>
      </c>
      <c r="C352" s="2" t="s">
        <v>12</v>
      </c>
      <c r="D352" s="2" t="s">
        <v>666</v>
      </c>
      <c r="E352" s="7">
        <v>131</v>
      </c>
      <c r="F352" s="2">
        <v>5</v>
      </c>
      <c r="G352" s="7">
        <v>124.33</v>
      </c>
      <c r="H352" s="2" t="s">
        <v>667</v>
      </c>
      <c r="I352" s="2" t="s">
        <v>15</v>
      </c>
      <c r="J352" s="2" t="s">
        <v>25</v>
      </c>
      <c r="K352" s="2" t="s">
        <v>17</v>
      </c>
      <c r="L352" s="7">
        <f>Table3[[#This Row],[Revenue]]-Table3[[#This Row],[Ad Spend]]</f>
        <v>-6.6700000000000017</v>
      </c>
      <c r="M352" s="11">
        <v>167.6</v>
      </c>
    </row>
    <row r="353" spans="1:13" ht="15.75" customHeight="1" x14ac:dyDescent="0.3">
      <c r="A353" s="4" t="s">
        <v>97</v>
      </c>
      <c r="B353">
        <f t="shared" si="5"/>
        <v>12</v>
      </c>
      <c r="C353" s="2" t="s">
        <v>12</v>
      </c>
      <c r="D353" s="2" t="s">
        <v>668</v>
      </c>
      <c r="E353" s="7">
        <v>60.87</v>
      </c>
      <c r="F353" s="2">
        <v>7</v>
      </c>
      <c r="G353" s="7">
        <v>183.67</v>
      </c>
      <c r="H353" s="2" t="s">
        <v>112</v>
      </c>
      <c r="I353" s="2" t="s">
        <v>35</v>
      </c>
      <c r="J353" s="2" t="s">
        <v>87</v>
      </c>
      <c r="K353" s="2" t="s">
        <v>17</v>
      </c>
      <c r="L353" s="7">
        <f>Table3[[#This Row],[Revenue]]-Table3[[#This Row],[Ad Spend]]</f>
        <v>122.79999999999998</v>
      </c>
      <c r="M353" s="11">
        <v>117.64</v>
      </c>
    </row>
    <row r="354" spans="1:13" ht="15.75" customHeight="1" x14ac:dyDescent="0.3">
      <c r="A354" s="4" t="s">
        <v>298</v>
      </c>
      <c r="B354">
        <f t="shared" si="5"/>
        <v>1</v>
      </c>
      <c r="C354" s="2" t="s">
        <v>63</v>
      </c>
      <c r="D354" s="2" t="s">
        <v>669</v>
      </c>
      <c r="E354" s="7">
        <v>128.16</v>
      </c>
      <c r="F354" s="2">
        <v>4</v>
      </c>
      <c r="G354" s="7">
        <v>455</v>
      </c>
      <c r="H354" s="2" t="s">
        <v>670</v>
      </c>
      <c r="I354" s="2" t="s">
        <v>29</v>
      </c>
      <c r="J354" s="2" t="s">
        <v>87</v>
      </c>
      <c r="K354" s="2" t="s">
        <v>17</v>
      </c>
      <c r="L354" s="7">
        <f>Table3[[#This Row],[Revenue]]-Table3[[#This Row],[Ad Spend]]</f>
        <v>326.84000000000003</v>
      </c>
      <c r="M354" s="11">
        <v>211</v>
      </c>
    </row>
    <row r="355" spans="1:13" ht="15.75" customHeight="1" x14ac:dyDescent="0.3">
      <c r="A355" s="4" t="s">
        <v>485</v>
      </c>
      <c r="B355">
        <f t="shared" si="5"/>
        <v>12</v>
      </c>
      <c r="C355" s="2" t="s">
        <v>12</v>
      </c>
      <c r="D355" s="2" t="s">
        <v>671</v>
      </c>
      <c r="E355" s="7">
        <v>146.88999999999999</v>
      </c>
      <c r="F355" s="2">
        <v>4</v>
      </c>
      <c r="G355" s="7">
        <v>263.27</v>
      </c>
      <c r="H355" s="2" t="s">
        <v>672</v>
      </c>
      <c r="I355" s="2" t="s">
        <v>15</v>
      </c>
      <c r="J355" s="2" t="s">
        <v>87</v>
      </c>
      <c r="K355" s="2" t="s">
        <v>17</v>
      </c>
      <c r="L355" s="7">
        <f>Table3[[#This Row],[Revenue]]-Table3[[#This Row],[Ad Spend]]</f>
        <v>116.38</v>
      </c>
      <c r="M355" s="11">
        <v>117.4</v>
      </c>
    </row>
    <row r="356" spans="1:13" ht="15.75" customHeight="1" x14ac:dyDescent="0.3">
      <c r="A356" s="4" t="s">
        <v>673</v>
      </c>
      <c r="B356">
        <f t="shared" si="5"/>
        <v>12</v>
      </c>
      <c r="C356" s="2" t="s">
        <v>12</v>
      </c>
      <c r="D356" s="2" t="s">
        <v>674</v>
      </c>
      <c r="E356" s="7">
        <v>120.42</v>
      </c>
      <c r="F356" s="2">
        <v>1</v>
      </c>
      <c r="G356" s="7">
        <v>369.97</v>
      </c>
      <c r="H356" s="2" t="s">
        <v>551</v>
      </c>
      <c r="I356" s="2" t="s">
        <v>15</v>
      </c>
      <c r="J356" s="2" t="s">
        <v>53</v>
      </c>
      <c r="K356" s="2" t="s">
        <v>17</v>
      </c>
      <c r="L356" s="7">
        <f>Table3[[#This Row],[Revenue]]-Table3[[#This Row],[Ad Spend]]</f>
        <v>249.55</v>
      </c>
      <c r="M356" s="11">
        <v>140.63999999999999</v>
      </c>
    </row>
    <row r="357" spans="1:13" ht="15.75" customHeight="1" x14ac:dyDescent="0.3">
      <c r="A357" s="4" t="s">
        <v>392</v>
      </c>
      <c r="B357">
        <f t="shared" si="5"/>
        <v>1</v>
      </c>
      <c r="C357" s="2" t="s">
        <v>12</v>
      </c>
      <c r="D357" s="2" t="s">
        <v>675</v>
      </c>
      <c r="E357" s="7">
        <v>37.36</v>
      </c>
      <c r="F357" s="2">
        <v>6</v>
      </c>
      <c r="G357" s="7">
        <v>364.63</v>
      </c>
      <c r="H357" s="2" t="s">
        <v>14</v>
      </c>
      <c r="I357" s="2" t="s">
        <v>15</v>
      </c>
      <c r="J357" s="2" t="s">
        <v>30</v>
      </c>
      <c r="K357" s="2" t="s">
        <v>17</v>
      </c>
      <c r="L357" s="7">
        <f>Table3[[#This Row],[Revenue]]-Table3[[#This Row],[Ad Spend]]</f>
        <v>327.27</v>
      </c>
      <c r="M357" s="11">
        <v>113.09</v>
      </c>
    </row>
    <row r="358" spans="1:13" ht="15.75" customHeight="1" x14ac:dyDescent="0.3">
      <c r="A358" s="4" t="s">
        <v>676</v>
      </c>
      <c r="B358">
        <f t="shared" si="5"/>
        <v>4</v>
      </c>
      <c r="C358" s="2" t="s">
        <v>32</v>
      </c>
      <c r="D358" s="2" t="s">
        <v>677</v>
      </c>
      <c r="E358" s="7">
        <v>17.79</v>
      </c>
      <c r="F358" s="2">
        <v>9</v>
      </c>
      <c r="G358" s="7">
        <v>214.83</v>
      </c>
      <c r="H358" s="2" t="s">
        <v>161</v>
      </c>
      <c r="I358" s="2" t="s">
        <v>15</v>
      </c>
      <c r="J358" s="2" t="s">
        <v>25</v>
      </c>
      <c r="K358" s="2" t="s">
        <v>17</v>
      </c>
      <c r="L358" s="7">
        <f>Table3[[#This Row],[Revenue]]-Table3[[#This Row],[Ad Spend]]</f>
        <v>197.04000000000002</v>
      </c>
      <c r="M358" s="11">
        <v>121.05</v>
      </c>
    </row>
    <row r="359" spans="1:13" ht="15.75" customHeight="1" x14ac:dyDescent="0.3">
      <c r="A359" s="4" t="s">
        <v>220</v>
      </c>
      <c r="B359">
        <f t="shared" si="5"/>
        <v>12</v>
      </c>
      <c r="C359" s="2" t="s">
        <v>32</v>
      </c>
      <c r="D359" s="2" t="s">
        <v>157</v>
      </c>
      <c r="E359" s="7">
        <v>49.54</v>
      </c>
      <c r="F359" s="2">
        <v>3</v>
      </c>
      <c r="G359" s="7">
        <v>82.31</v>
      </c>
      <c r="H359" s="2" t="s">
        <v>147</v>
      </c>
      <c r="I359" s="2" t="s">
        <v>29</v>
      </c>
      <c r="J359" s="2" t="s">
        <v>53</v>
      </c>
      <c r="K359" s="2" t="s">
        <v>17</v>
      </c>
      <c r="L359" s="7">
        <f>Table3[[#This Row],[Revenue]]-Table3[[#This Row],[Ad Spend]]</f>
        <v>32.770000000000003</v>
      </c>
      <c r="M359" s="11">
        <v>136.43</v>
      </c>
    </row>
    <row r="360" spans="1:13" ht="15.75" customHeight="1" x14ac:dyDescent="0.3">
      <c r="A360" s="4" t="s">
        <v>102</v>
      </c>
      <c r="B360">
        <f t="shared" si="5"/>
        <v>3</v>
      </c>
      <c r="C360" s="2" t="s">
        <v>63</v>
      </c>
      <c r="D360" s="2" t="s">
        <v>678</v>
      </c>
      <c r="E360" s="7">
        <v>116.79</v>
      </c>
      <c r="F360" s="2">
        <v>4</v>
      </c>
      <c r="G360" s="7">
        <v>135.62</v>
      </c>
      <c r="H360" s="2" t="s">
        <v>315</v>
      </c>
      <c r="I360" s="2" t="s">
        <v>15</v>
      </c>
      <c r="J360" s="2" t="s">
        <v>87</v>
      </c>
      <c r="K360" s="2" t="s">
        <v>17</v>
      </c>
      <c r="L360" s="7">
        <f>Table3[[#This Row],[Revenue]]-Table3[[#This Row],[Ad Spend]]</f>
        <v>18.829999999999998</v>
      </c>
      <c r="M360" s="11">
        <v>104.41</v>
      </c>
    </row>
    <row r="361" spans="1:13" ht="15.75" customHeight="1" x14ac:dyDescent="0.3">
      <c r="A361" s="4" t="s">
        <v>110</v>
      </c>
      <c r="B361">
        <f t="shared" si="5"/>
        <v>4</v>
      </c>
      <c r="C361" s="2" t="s">
        <v>19</v>
      </c>
      <c r="D361" s="2" t="s">
        <v>679</v>
      </c>
      <c r="E361" s="7">
        <v>80.59</v>
      </c>
      <c r="F361" s="2">
        <v>3</v>
      </c>
      <c r="G361" s="7">
        <v>410.65</v>
      </c>
      <c r="H361" s="2" t="s">
        <v>161</v>
      </c>
      <c r="I361" s="2" t="s">
        <v>35</v>
      </c>
      <c r="J361" s="2" t="s">
        <v>87</v>
      </c>
      <c r="K361" s="2" t="s">
        <v>17</v>
      </c>
      <c r="L361" s="7">
        <f>Table3[[#This Row],[Revenue]]-Table3[[#This Row],[Ad Spend]]</f>
        <v>330.05999999999995</v>
      </c>
      <c r="M361" s="11">
        <v>119.43</v>
      </c>
    </row>
    <row r="362" spans="1:13" ht="15.75" customHeight="1" x14ac:dyDescent="0.3">
      <c r="A362" s="4" t="s">
        <v>610</v>
      </c>
      <c r="B362">
        <f t="shared" si="5"/>
        <v>11</v>
      </c>
      <c r="C362" s="2" t="s">
        <v>32</v>
      </c>
      <c r="D362" s="2" t="s">
        <v>680</v>
      </c>
      <c r="E362" s="7">
        <v>134.1</v>
      </c>
      <c r="F362" s="2">
        <v>4</v>
      </c>
      <c r="G362" s="7">
        <v>413.62</v>
      </c>
      <c r="H362" s="2" t="s">
        <v>681</v>
      </c>
      <c r="I362" s="2" t="s">
        <v>35</v>
      </c>
      <c r="J362" s="2" t="s">
        <v>30</v>
      </c>
      <c r="K362" s="2" t="s">
        <v>17</v>
      </c>
      <c r="L362" s="7">
        <f>Table3[[#This Row],[Revenue]]-Table3[[#This Row],[Ad Spend]]</f>
        <v>279.52</v>
      </c>
      <c r="M362" s="11">
        <v>153.66999999999999</v>
      </c>
    </row>
    <row r="363" spans="1:13" ht="15.75" customHeight="1" x14ac:dyDescent="0.3">
      <c r="A363" s="4" t="s">
        <v>387</v>
      </c>
      <c r="B363">
        <f t="shared" si="5"/>
        <v>2</v>
      </c>
      <c r="C363" s="2" t="s">
        <v>12</v>
      </c>
      <c r="D363" s="2" t="s">
        <v>682</v>
      </c>
      <c r="E363" s="7">
        <v>29.43</v>
      </c>
      <c r="F363" s="2">
        <v>9</v>
      </c>
      <c r="G363" s="7">
        <v>120.85</v>
      </c>
      <c r="H363" s="2" t="s">
        <v>225</v>
      </c>
      <c r="I363" s="2" t="s">
        <v>15</v>
      </c>
      <c r="J363" s="2" t="s">
        <v>36</v>
      </c>
      <c r="K363" s="2" t="s">
        <v>17</v>
      </c>
      <c r="L363" s="7">
        <f>Table3[[#This Row],[Revenue]]-Table3[[#This Row],[Ad Spend]]</f>
        <v>91.419999999999987</v>
      </c>
      <c r="M363" s="11">
        <v>116.03</v>
      </c>
    </row>
    <row r="364" spans="1:13" ht="15.75" customHeight="1" x14ac:dyDescent="0.3">
      <c r="A364" s="4" t="s">
        <v>683</v>
      </c>
      <c r="B364">
        <f t="shared" si="5"/>
        <v>11</v>
      </c>
      <c r="C364" s="2" t="s">
        <v>32</v>
      </c>
      <c r="D364" s="2" t="s">
        <v>684</v>
      </c>
      <c r="E364" s="7">
        <v>91.05</v>
      </c>
      <c r="F364" s="2">
        <v>3</v>
      </c>
      <c r="G364" s="7">
        <v>499.87</v>
      </c>
      <c r="H364" s="2" t="s">
        <v>685</v>
      </c>
      <c r="I364" s="2" t="s">
        <v>29</v>
      </c>
      <c r="J364" s="2" t="s">
        <v>25</v>
      </c>
      <c r="K364" s="2" t="s">
        <v>17</v>
      </c>
      <c r="L364" s="7">
        <f>Table3[[#This Row],[Revenue]]-Table3[[#This Row],[Ad Spend]]</f>
        <v>408.82</v>
      </c>
      <c r="M364" s="11">
        <v>222.64</v>
      </c>
    </row>
    <row r="365" spans="1:13" ht="15.75" customHeight="1" x14ac:dyDescent="0.3">
      <c r="A365" s="4" t="s">
        <v>338</v>
      </c>
      <c r="B365">
        <f t="shared" si="5"/>
        <v>4</v>
      </c>
      <c r="C365" s="2" t="s">
        <v>63</v>
      </c>
      <c r="D365" s="2" t="s">
        <v>686</v>
      </c>
      <c r="E365" s="7">
        <v>149.22999999999999</v>
      </c>
      <c r="F365" s="2">
        <v>7</v>
      </c>
      <c r="G365" s="7">
        <v>411.84</v>
      </c>
      <c r="H365" s="2" t="s">
        <v>147</v>
      </c>
      <c r="I365" s="2" t="s">
        <v>15</v>
      </c>
      <c r="J365" s="2" t="s">
        <v>87</v>
      </c>
      <c r="K365" s="2" t="s">
        <v>17</v>
      </c>
      <c r="L365" s="7">
        <f>Table3[[#This Row],[Revenue]]-Table3[[#This Row],[Ad Spend]]</f>
        <v>262.61</v>
      </c>
      <c r="M365" s="11">
        <v>145.68</v>
      </c>
    </row>
    <row r="366" spans="1:13" ht="15.75" customHeight="1" x14ac:dyDescent="0.3">
      <c r="A366" s="4" t="s">
        <v>133</v>
      </c>
      <c r="B366">
        <f t="shared" si="5"/>
        <v>3</v>
      </c>
      <c r="C366" s="2" t="s">
        <v>19</v>
      </c>
      <c r="D366" s="2" t="s">
        <v>687</v>
      </c>
      <c r="E366" s="7">
        <v>18.52</v>
      </c>
      <c r="F366" s="2">
        <v>0</v>
      </c>
      <c r="G366" s="7">
        <v>222.41</v>
      </c>
      <c r="H366" s="2" t="s">
        <v>52</v>
      </c>
      <c r="I366" s="2" t="s">
        <v>29</v>
      </c>
      <c r="J366" s="2" t="s">
        <v>16</v>
      </c>
      <c r="K366" s="2" t="s">
        <v>46</v>
      </c>
      <c r="L366" s="7">
        <f>Table3[[#This Row],[Revenue]]-Table3[[#This Row],[Ad Spend]]</f>
        <v>203.89</v>
      </c>
      <c r="M366" s="11">
        <v>128.08000000000001</v>
      </c>
    </row>
    <row r="367" spans="1:13" ht="15.75" customHeight="1" x14ac:dyDescent="0.3">
      <c r="A367" s="4" t="s">
        <v>688</v>
      </c>
      <c r="B367">
        <f t="shared" si="5"/>
        <v>3</v>
      </c>
      <c r="C367" s="2" t="s">
        <v>19</v>
      </c>
      <c r="D367" s="2" t="s">
        <v>689</v>
      </c>
      <c r="E367" s="7">
        <v>36.24</v>
      </c>
      <c r="F367" s="2">
        <v>1</v>
      </c>
      <c r="G367" s="7">
        <v>173.04</v>
      </c>
      <c r="H367" s="2" t="s">
        <v>284</v>
      </c>
      <c r="I367" s="2" t="s">
        <v>15</v>
      </c>
      <c r="J367" s="2" t="s">
        <v>36</v>
      </c>
      <c r="K367" s="2" t="s">
        <v>17</v>
      </c>
      <c r="L367" s="7">
        <f>Table3[[#This Row],[Revenue]]-Table3[[#This Row],[Ad Spend]]</f>
        <v>136.79999999999998</v>
      </c>
      <c r="M367" s="11">
        <v>124.99</v>
      </c>
    </row>
    <row r="368" spans="1:13" ht="15.75" customHeight="1" x14ac:dyDescent="0.3">
      <c r="A368" s="4" t="s">
        <v>298</v>
      </c>
      <c r="B368">
        <f t="shared" si="5"/>
        <v>1</v>
      </c>
      <c r="C368" s="2" t="s">
        <v>32</v>
      </c>
      <c r="D368" s="2" t="s">
        <v>507</v>
      </c>
      <c r="E368" s="7">
        <v>98.13</v>
      </c>
      <c r="F368" s="2">
        <v>3</v>
      </c>
      <c r="G368" s="7">
        <v>241.44</v>
      </c>
      <c r="H368" s="2" t="s">
        <v>690</v>
      </c>
      <c r="I368" s="2" t="s">
        <v>15</v>
      </c>
      <c r="J368" s="2" t="s">
        <v>53</v>
      </c>
      <c r="K368" s="2" t="s">
        <v>17</v>
      </c>
      <c r="L368" s="7">
        <f>Table3[[#This Row],[Revenue]]-Table3[[#This Row],[Ad Spend]]</f>
        <v>143.31</v>
      </c>
      <c r="M368" s="11">
        <v>123.4</v>
      </c>
    </row>
    <row r="369" spans="1:13" ht="15.75" customHeight="1" x14ac:dyDescent="0.3">
      <c r="A369" s="4" t="s">
        <v>691</v>
      </c>
      <c r="B369">
        <f t="shared" si="5"/>
        <v>2</v>
      </c>
      <c r="C369" s="2" t="s">
        <v>63</v>
      </c>
      <c r="D369" s="2" t="s">
        <v>548</v>
      </c>
      <c r="E369" s="7">
        <v>33.65</v>
      </c>
      <c r="F369" s="2">
        <v>3</v>
      </c>
      <c r="G369" s="7">
        <v>416.15</v>
      </c>
      <c r="H369" s="2" t="s">
        <v>681</v>
      </c>
      <c r="I369" s="2" t="s">
        <v>15</v>
      </c>
      <c r="J369" s="2" t="s">
        <v>53</v>
      </c>
      <c r="K369" s="2" t="s">
        <v>17</v>
      </c>
      <c r="L369" s="7">
        <f>Table3[[#This Row],[Revenue]]-Table3[[#This Row],[Ad Spend]]</f>
        <v>382.5</v>
      </c>
      <c r="M369" s="11">
        <v>154.27000000000001</v>
      </c>
    </row>
    <row r="370" spans="1:13" ht="15.75" customHeight="1" x14ac:dyDescent="0.3">
      <c r="A370" s="4" t="s">
        <v>126</v>
      </c>
      <c r="B370">
        <f t="shared" si="5"/>
        <v>11</v>
      </c>
      <c r="C370" s="2" t="s">
        <v>12</v>
      </c>
      <c r="D370" s="2" t="s">
        <v>692</v>
      </c>
      <c r="E370" s="7">
        <v>138.49</v>
      </c>
      <c r="F370" s="2">
        <v>6</v>
      </c>
      <c r="G370" s="7">
        <v>172.9</v>
      </c>
      <c r="H370" s="2" t="s">
        <v>568</v>
      </c>
      <c r="I370" s="2" t="s">
        <v>15</v>
      </c>
      <c r="J370" s="2" t="s">
        <v>16</v>
      </c>
      <c r="K370" s="2" t="s">
        <v>17</v>
      </c>
      <c r="L370" s="7">
        <f>Table3[[#This Row],[Revenue]]-Table3[[#This Row],[Ad Spend]]</f>
        <v>34.409999999999997</v>
      </c>
      <c r="M370" s="11">
        <v>118.06</v>
      </c>
    </row>
    <row r="371" spans="1:13" ht="15.75" customHeight="1" x14ac:dyDescent="0.3">
      <c r="A371" s="4" t="s">
        <v>76</v>
      </c>
      <c r="B371">
        <f t="shared" si="5"/>
        <v>1</v>
      </c>
      <c r="C371" s="2" t="s">
        <v>63</v>
      </c>
      <c r="D371" s="2" t="s">
        <v>693</v>
      </c>
      <c r="E371" s="7">
        <v>24.47</v>
      </c>
      <c r="F371" s="2">
        <v>3</v>
      </c>
      <c r="G371" s="7">
        <v>403.76</v>
      </c>
      <c r="H371" s="2" t="s">
        <v>286</v>
      </c>
      <c r="I371" s="2" t="s">
        <v>29</v>
      </c>
      <c r="J371" s="2" t="s">
        <v>25</v>
      </c>
      <c r="K371" s="2" t="s">
        <v>17</v>
      </c>
      <c r="L371" s="7">
        <f>Table3[[#This Row],[Revenue]]-Table3[[#This Row],[Ad Spend]]</f>
        <v>379.28999999999996</v>
      </c>
      <c r="M371" s="11">
        <v>117.65</v>
      </c>
    </row>
    <row r="372" spans="1:13" ht="15.75" customHeight="1" x14ac:dyDescent="0.3">
      <c r="A372" s="4" t="s">
        <v>202</v>
      </c>
      <c r="B372">
        <f t="shared" si="5"/>
        <v>3</v>
      </c>
      <c r="C372" s="2" t="s">
        <v>63</v>
      </c>
      <c r="D372" s="2" t="s">
        <v>694</v>
      </c>
      <c r="E372" s="7">
        <v>92.39</v>
      </c>
      <c r="F372" s="2">
        <v>4</v>
      </c>
      <c r="G372" s="7">
        <v>329.53</v>
      </c>
      <c r="H372" s="2" t="s">
        <v>204</v>
      </c>
      <c r="I372" s="2" t="s">
        <v>29</v>
      </c>
      <c r="J372" s="2" t="s">
        <v>53</v>
      </c>
      <c r="K372" s="2" t="s">
        <v>17</v>
      </c>
      <c r="L372" s="7">
        <f>Table3[[#This Row],[Revenue]]-Table3[[#This Row],[Ad Spend]]</f>
        <v>237.14</v>
      </c>
      <c r="M372" s="11">
        <v>138.69999999999999</v>
      </c>
    </row>
    <row r="373" spans="1:13" ht="15.75" customHeight="1" x14ac:dyDescent="0.3">
      <c r="A373" s="4" t="s">
        <v>189</v>
      </c>
      <c r="B373">
        <f t="shared" si="5"/>
        <v>2</v>
      </c>
      <c r="C373" s="2" t="s">
        <v>32</v>
      </c>
      <c r="D373" s="2" t="s">
        <v>140</v>
      </c>
      <c r="E373" s="7">
        <v>138.62</v>
      </c>
      <c r="F373" s="2">
        <v>5</v>
      </c>
      <c r="G373" s="7">
        <v>37.090000000000003</v>
      </c>
      <c r="H373" s="2" t="s">
        <v>695</v>
      </c>
      <c r="I373" s="2" t="s">
        <v>35</v>
      </c>
      <c r="J373" s="2" t="s">
        <v>30</v>
      </c>
      <c r="K373" s="2" t="s">
        <v>17</v>
      </c>
      <c r="L373" s="7">
        <f>Table3[[#This Row],[Revenue]]-Table3[[#This Row],[Ad Spend]]</f>
        <v>-101.53</v>
      </c>
      <c r="M373" s="11">
        <v>126.87</v>
      </c>
    </row>
    <row r="374" spans="1:13" ht="15.75" customHeight="1" x14ac:dyDescent="0.3">
      <c r="A374" s="4" t="s">
        <v>696</v>
      </c>
      <c r="B374">
        <f t="shared" si="5"/>
        <v>1</v>
      </c>
      <c r="C374" s="2" t="s">
        <v>19</v>
      </c>
      <c r="D374" s="2" t="s">
        <v>697</v>
      </c>
      <c r="E374" s="7">
        <v>71.790000000000006</v>
      </c>
      <c r="F374" s="2">
        <v>10</v>
      </c>
      <c r="G374" s="7">
        <v>474.82</v>
      </c>
      <c r="H374" s="2" t="s">
        <v>58</v>
      </c>
      <c r="I374" s="2" t="s">
        <v>35</v>
      </c>
      <c r="J374" s="2" t="s">
        <v>30</v>
      </c>
      <c r="K374" s="2" t="s">
        <v>17</v>
      </c>
      <c r="L374" s="7">
        <f>Table3[[#This Row],[Revenue]]-Table3[[#This Row],[Ad Spend]]</f>
        <v>403.03</v>
      </c>
      <c r="M374" s="11">
        <v>138.83000000000001</v>
      </c>
    </row>
    <row r="375" spans="1:13" ht="15.75" customHeight="1" x14ac:dyDescent="0.3">
      <c r="A375" s="4" t="s">
        <v>211</v>
      </c>
      <c r="B375">
        <f t="shared" si="5"/>
        <v>2</v>
      </c>
      <c r="C375" s="2" t="s">
        <v>12</v>
      </c>
      <c r="D375" s="2" t="s">
        <v>624</v>
      </c>
      <c r="E375" s="7">
        <v>90.22</v>
      </c>
      <c r="F375" s="2">
        <v>0</v>
      </c>
      <c r="G375" s="7">
        <v>342.9</v>
      </c>
      <c r="H375" s="2" t="s">
        <v>698</v>
      </c>
      <c r="I375" s="2" t="s">
        <v>35</v>
      </c>
      <c r="J375" s="2" t="s">
        <v>30</v>
      </c>
      <c r="K375" s="2" t="s">
        <v>46</v>
      </c>
      <c r="L375" s="7">
        <f>Table3[[#This Row],[Revenue]]-Table3[[#This Row],[Ad Spend]]</f>
        <v>252.67999999999998</v>
      </c>
      <c r="M375" s="11">
        <v>195.41</v>
      </c>
    </row>
    <row r="376" spans="1:13" ht="15.75" customHeight="1" x14ac:dyDescent="0.3">
      <c r="A376" s="4" t="s">
        <v>504</v>
      </c>
      <c r="B376">
        <f t="shared" si="5"/>
        <v>12</v>
      </c>
      <c r="C376" s="2" t="s">
        <v>63</v>
      </c>
      <c r="D376" s="2" t="s">
        <v>632</v>
      </c>
      <c r="E376" s="7">
        <v>111.96</v>
      </c>
      <c r="F376" s="2">
        <v>2</v>
      </c>
      <c r="G376" s="7">
        <v>331.95</v>
      </c>
      <c r="H376" s="2" t="s">
        <v>81</v>
      </c>
      <c r="I376" s="2" t="s">
        <v>15</v>
      </c>
      <c r="J376" s="2" t="s">
        <v>30</v>
      </c>
      <c r="K376" s="2" t="s">
        <v>17</v>
      </c>
      <c r="L376" s="7">
        <f>Table3[[#This Row],[Revenue]]-Table3[[#This Row],[Ad Spend]]</f>
        <v>219.99</v>
      </c>
      <c r="M376" s="11">
        <v>125.33</v>
      </c>
    </row>
    <row r="377" spans="1:13" ht="15.75" customHeight="1" x14ac:dyDescent="0.3">
      <c r="A377" s="4" t="s">
        <v>131</v>
      </c>
      <c r="B377">
        <f t="shared" si="5"/>
        <v>11</v>
      </c>
      <c r="C377" s="2" t="s">
        <v>32</v>
      </c>
      <c r="D377" s="2" t="s">
        <v>699</v>
      </c>
      <c r="E377" s="7">
        <v>102.45</v>
      </c>
      <c r="F377" s="2">
        <v>8</v>
      </c>
      <c r="G377" s="7">
        <v>268.97000000000003</v>
      </c>
      <c r="H377" s="2" t="s">
        <v>501</v>
      </c>
      <c r="I377" s="2" t="s">
        <v>35</v>
      </c>
      <c r="J377" s="2" t="s">
        <v>25</v>
      </c>
      <c r="K377" s="2" t="s">
        <v>17</v>
      </c>
      <c r="L377" s="7">
        <f>Table3[[#This Row],[Revenue]]-Table3[[#This Row],[Ad Spend]]</f>
        <v>166.52000000000004</v>
      </c>
      <c r="M377" s="11">
        <v>155.18</v>
      </c>
    </row>
    <row r="378" spans="1:13" ht="15.75" customHeight="1" x14ac:dyDescent="0.3">
      <c r="A378" s="4" t="s">
        <v>320</v>
      </c>
      <c r="B378">
        <f t="shared" si="5"/>
        <v>4</v>
      </c>
      <c r="C378" s="2" t="s">
        <v>19</v>
      </c>
      <c r="D378" s="2" t="s">
        <v>700</v>
      </c>
      <c r="E378" s="7">
        <v>139.72999999999999</v>
      </c>
      <c r="F378" s="2">
        <v>2</v>
      </c>
      <c r="G378" s="7">
        <v>204.17</v>
      </c>
      <c r="H378" s="2" t="s">
        <v>213</v>
      </c>
      <c r="I378" s="2" t="s">
        <v>35</v>
      </c>
      <c r="J378" s="2" t="s">
        <v>25</v>
      </c>
      <c r="K378" s="2" t="s">
        <v>17</v>
      </c>
      <c r="L378" s="7">
        <f>Table3[[#This Row],[Revenue]]-Table3[[#This Row],[Ad Spend]]</f>
        <v>64.44</v>
      </c>
      <c r="M378" s="11">
        <v>111.37</v>
      </c>
    </row>
    <row r="379" spans="1:13" ht="15.75" customHeight="1" x14ac:dyDescent="0.3">
      <c r="A379" s="4" t="s">
        <v>191</v>
      </c>
      <c r="B379">
        <f t="shared" si="5"/>
        <v>11</v>
      </c>
      <c r="C379" s="2" t="s">
        <v>63</v>
      </c>
      <c r="D379" s="2" t="s">
        <v>701</v>
      </c>
      <c r="E379" s="7">
        <v>148.66</v>
      </c>
      <c r="F379" s="2">
        <v>8</v>
      </c>
      <c r="G379" s="7">
        <v>464.11</v>
      </c>
      <c r="H379" s="2" t="s">
        <v>345</v>
      </c>
      <c r="I379" s="2" t="s">
        <v>15</v>
      </c>
      <c r="J379" s="2" t="s">
        <v>30</v>
      </c>
      <c r="K379" s="2" t="s">
        <v>17</v>
      </c>
      <c r="L379" s="7">
        <f>Table3[[#This Row],[Revenue]]-Table3[[#This Row],[Ad Spend]]</f>
        <v>315.45000000000005</v>
      </c>
      <c r="M379" s="11">
        <v>89.69</v>
      </c>
    </row>
    <row r="380" spans="1:13" ht="15.75" customHeight="1" x14ac:dyDescent="0.3">
      <c r="A380" s="4" t="s">
        <v>543</v>
      </c>
      <c r="B380">
        <f t="shared" si="5"/>
        <v>4</v>
      </c>
      <c r="C380" s="2" t="s">
        <v>32</v>
      </c>
      <c r="D380" s="2" t="s">
        <v>702</v>
      </c>
      <c r="E380" s="7">
        <v>26.26</v>
      </c>
      <c r="F380" s="2">
        <v>8</v>
      </c>
      <c r="G380" s="7">
        <v>430.21</v>
      </c>
      <c r="H380" s="2" t="s">
        <v>703</v>
      </c>
      <c r="I380" s="2" t="s">
        <v>29</v>
      </c>
      <c r="J380" s="2" t="s">
        <v>53</v>
      </c>
      <c r="K380" s="2" t="s">
        <v>17</v>
      </c>
      <c r="L380" s="7">
        <f>Table3[[#This Row],[Revenue]]-Table3[[#This Row],[Ad Spend]]</f>
        <v>403.95</v>
      </c>
      <c r="M380" s="11">
        <v>198.11</v>
      </c>
    </row>
    <row r="381" spans="1:13" ht="15.75" customHeight="1" x14ac:dyDescent="0.3">
      <c r="A381" s="4" t="s">
        <v>277</v>
      </c>
      <c r="B381">
        <f t="shared" si="5"/>
        <v>2</v>
      </c>
      <c r="C381" s="2" t="s">
        <v>12</v>
      </c>
      <c r="D381" s="2" t="s">
        <v>484</v>
      </c>
      <c r="E381" s="7">
        <v>12.41</v>
      </c>
      <c r="F381" s="2">
        <v>10</v>
      </c>
      <c r="G381" s="7">
        <v>210.25</v>
      </c>
      <c r="H381" s="2" t="s">
        <v>413</v>
      </c>
      <c r="I381" s="2" t="s">
        <v>15</v>
      </c>
      <c r="J381" s="2" t="s">
        <v>36</v>
      </c>
      <c r="K381" s="2" t="s">
        <v>17</v>
      </c>
      <c r="L381" s="7">
        <f>Table3[[#This Row],[Revenue]]-Table3[[#This Row],[Ad Spend]]</f>
        <v>197.84</v>
      </c>
      <c r="M381" s="11">
        <v>129.19999999999999</v>
      </c>
    </row>
    <row r="382" spans="1:13" ht="15.75" customHeight="1" x14ac:dyDescent="0.3">
      <c r="A382" s="4" t="s">
        <v>320</v>
      </c>
      <c r="B382">
        <f t="shared" si="5"/>
        <v>4</v>
      </c>
      <c r="C382" s="2" t="s">
        <v>63</v>
      </c>
      <c r="D382" s="2" t="s">
        <v>704</v>
      </c>
      <c r="E382" s="7">
        <v>72.900000000000006</v>
      </c>
      <c r="F382" s="2">
        <v>1</v>
      </c>
      <c r="G382" s="7">
        <v>394.31</v>
      </c>
      <c r="H382" s="2" t="s">
        <v>705</v>
      </c>
      <c r="I382" s="2" t="s">
        <v>15</v>
      </c>
      <c r="J382" s="2" t="s">
        <v>16</v>
      </c>
      <c r="K382" s="2" t="s">
        <v>17</v>
      </c>
      <c r="L382" s="7">
        <f>Table3[[#This Row],[Revenue]]-Table3[[#This Row],[Ad Spend]]</f>
        <v>321.40999999999997</v>
      </c>
      <c r="M382" s="11">
        <v>133.24</v>
      </c>
    </row>
    <row r="383" spans="1:13" ht="15.75" customHeight="1" x14ac:dyDescent="0.3">
      <c r="A383" s="4" t="s">
        <v>485</v>
      </c>
      <c r="B383">
        <f t="shared" si="5"/>
        <v>12</v>
      </c>
      <c r="C383" s="2" t="s">
        <v>32</v>
      </c>
      <c r="D383" s="2" t="s">
        <v>706</v>
      </c>
      <c r="E383" s="7">
        <v>100.55</v>
      </c>
      <c r="F383" s="2">
        <v>6</v>
      </c>
      <c r="G383" s="7">
        <v>28.04</v>
      </c>
      <c r="H383" s="2" t="s">
        <v>104</v>
      </c>
      <c r="I383" s="2" t="s">
        <v>29</v>
      </c>
      <c r="J383" s="2" t="s">
        <v>30</v>
      </c>
      <c r="K383" s="2" t="s">
        <v>17</v>
      </c>
      <c r="L383" s="7">
        <f>Table3[[#This Row],[Revenue]]-Table3[[#This Row],[Ad Spend]]</f>
        <v>-72.509999999999991</v>
      </c>
      <c r="M383" s="11">
        <v>114.91</v>
      </c>
    </row>
    <row r="384" spans="1:13" ht="15.75" customHeight="1" x14ac:dyDescent="0.3">
      <c r="A384" s="4" t="s">
        <v>261</v>
      </c>
      <c r="B384">
        <f t="shared" si="5"/>
        <v>10</v>
      </c>
      <c r="C384" s="2" t="s">
        <v>32</v>
      </c>
      <c r="D384" s="2" t="s">
        <v>538</v>
      </c>
      <c r="E384" s="7">
        <v>141.04</v>
      </c>
      <c r="F384" s="2">
        <v>7</v>
      </c>
      <c r="G384" s="7">
        <v>153.99</v>
      </c>
      <c r="H384" s="2" t="s">
        <v>707</v>
      </c>
      <c r="I384" s="2" t="s">
        <v>29</v>
      </c>
      <c r="J384" s="2" t="s">
        <v>36</v>
      </c>
      <c r="K384" s="2" t="s">
        <v>17</v>
      </c>
      <c r="L384" s="7">
        <f>Table3[[#This Row],[Revenue]]-Table3[[#This Row],[Ad Spend]]</f>
        <v>12.950000000000017</v>
      </c>
      <c r="M384" s="11">
        <v>129.46</v>
      </c>
    </row>
    <row r="385" spans="1:13" ht="15.75" customHeight="1" x14ac:dyDescent="0.3">
      <c r="A385" s="4" t="s">
        <v>156</v>
      </c>
      <c r="B385">
        <f t="shared" si="5"/>
        <v>12</v>
      </c>
      <c r="C385" s="2" t="s">
        <v>63</v>
      </c>
      <c r="D385" s="2" t="s">
        <v>708</v>
      </c>
      <c r="E385" s="7">
        <v>107.04</v>
      </c>
      <c r="F385" s="2">
        <v>10</v>
      </c>
      <c r="G385" s="7">
        <v>323.18</v>
      </c>
      <c r="H385" s="2" t="s">
        <v>709</v>
      </c>
      <c r="I385" s="2" t="s">
        <v>29</v>
      </c>
      <c r="J385" s="2" t="s">
        <v>87</v>
      </c>
      <c r="K385" s="2" t="s">
        <v>17</v>
      </c>
      <c r="L385" s="7">
        <f>Table3[[#This Row],[Revenue]]-Table3[[#This Row],[Ad Spend]]</f>
        <v>216.14</v>
      </c>
      <c r="M385" s="11">
        <v>122.71</v>
      </c>
    </row>
    <row r="386" spans="1:13" ht="15.75" customHeight="1" x14ac:dyDescent="0.3">
      <c r="A386" s="4" t="s">
        <v>406</v>
      </c>
      <c r="B386">
        <f t="shared" si="5"/>
        <v>1</v>
      </c>
      <c r="C386" s="2" t="s">
        <v>32</v>
      </c>
      <c r="D386" s="2" t="s">
        <v>710</v>
      </c>
      <c r="E386" s="7">
        <v>29.24</v>
      </c>
      <c r="F386" s="2">
        <v>9</v>
      </c>
      <c r="G386" s="7">
        <v>455.94</v>
      </c>
      <c r="H386" s="2" t="s">
        <v>711</v>
      </c>
      <c r="I386" s="2" t="s">
        <v>15</v>
      </c>
      <c r="J386" s="2" t="s">
        <v>30</v>
      </c>
      <c r="K386" s="2" t="s">
        <v>17</v>
      </c>
      <c r="L386" s="7">
        <f>Table3[[#This Row],[Revenue]]-Table3[[#This Row],[Ad Spend]]</f>
        <v>426.7</v>
      </c>
      <c r="M386" s="11">
        <v>175.87</v>
      </c>
    </row>
    <row r="387" spans="1:13" ht="15.75" customHeight="1" x14ac:dyDescent="0.3">
      <c r="A387" s="4" t="s">
        <v>368</v>
      </c>
      <c r="B387">
        <f t="shared" ref="B387:B450" si="6">MONTH(A387)</f>
        <v>3</v>
      </c>
      <c r="C387" s="2" t="s">
        <v>19</v>
      </c>
      <c r="D387" s="2" t="s">
        <v>712</v>
      </c>
      <c r="E387" s="7">
        <v>79.83</v>
      </c>
      <c r="F387" s="2">
        <v>6</v>
      </c>
      <c r="G387" s="7">
        <v>280.36</v>
      </c>
      <c r="H387" s="2" t="s">
        <v>147</v>
      </c>
      <c r="I387" s="2" t="s">
        <v>15</v>
      </c>
      <c r="J387" s="2" t="s">
        <v>87</v>
      </c>
      <c r="K387" s="2" t="s">
        <v>17</v>
      </c>
      <c r="L387" s="7">
        <f>Table3[[#This Row],[Revenue]]-Table3[[#This Row],[Ad Spend]]</f>
        <v>200.53000000000003</v>
      </c>
      <c r="M387" s="11">
        <v>140.97</v>
      </c>
    </row>
    <row r="388" spans="1:13" ht="15.75" customHeight="1" x14ac:dyDescent="0.3">
      <c r="A388" s="4" t="s">
        <v>290</v>
      </c>
      <c r="B388">
        <f t="shared" si="6"/>
        <v>1</v>
      </c>
      <c r="C388" s="2" t="s">
        <v>32</v>
      </c>
      <c r="D388" s="2" t="s">
        <v>713</v>
      </c>
      <c r="E388" s="7">
        <v>18.309999999999999</v>
      </c>
      <c r="F388" s="2">
        <v>10</v>
      </c>
      <c r="G388" s="7">
        <v>153.84</v>
      </c>
      <c r="H388" s="2" t="s">
        <v>501</v>
      </c>
      <c r="I388" s="2" t="s">
        <v>15</v>
      </c>
      <c r="J388" s="2" t="s">
        <v>30</v>
      </c>
      <c r="K388" s="2" t="s">
        <v>17</v>
      </c>
      <c r="L388" s="7">
        <f>Table3[[#This Row],[Revenue]]-Table3[[#This Row],[Ad Spend]]</f>
        <v>135.53</v>
      </c>
      <c r="M388" s="11">
        <v>147.02000000000001</v>
      </c>
    </row>
    <row r="389" spans="1:13" ht="15.75" customHeight="1" x14ac:dyDescent="0.3">
      <c r="A389" s="4" t="s">
        <v>252</v>
      </c>
      <c r="B389">
        <f t="shared" si="6"/>
        <v>11</v>
      </c>
      <c r="C389" s="2" t="s">
        <v>32</v>
      </c>
      <c r="D389" s="2" t="s">
        <v>714</v>
      </c>
      <c r="E389" s="7">
        <v>58.89</v>
      </c>
      <c r="F389" s="2">
        <v>2</v>
      </c>
      <c r="G389" s="7">
        <v>477.65</v>
      </c>
      <c r="H389" s="2" t="s">
        <v>529</v>
      </c>
      <c r="I389" s="2" t="s">
        <v>15</v>
      </c>
      <c r="J389" s="2" t="s">
        <v>30</v>
      </c>
      <c r="K389" s="2" t="s">
        <v>17</v>
      </c>
      <c r="L389" s="7">
        <f>Table3[[#This Row],[Revenue]]-Table3[[#This Row],[Ad Spend]]</f>
        <v>418.76</v>
      </c>
      <c r="M389" s="11">
        <v>139.62</v>
      </c>
    </row>
    <row r="390" spans="1:13" ht="15.75" customHeight="1" x14ac:dyDescent="0.3">
      <c r="A390" s="4" t="s">
        <v>226</v>
      </c>
      <c r="B390">
        <f t="shared" si="6"/>
        <v>2</v>
      </c>
      <c r="C390" s="2" t="s">
        <v>19</v>
      </c>
      <c r="D390" s="2" t="s">
        <v>715</v>
      </c>
      <c r="E390" s="7">
        <v>13.03</v>
      </c>
      <c r="F390" s="2">
        <v>3</v>
      </c>
      <c r="G390" s="7">
        <v>445.31</v>
      </c>
      <c r="H390" s="2" t="s">
        <v>716</v>
      </c>
      <c r="I390" s="2" t="s">
        <v>35</v>
      </c>
      <c r="J390" s="2" t="s">
        <v>53</v>
      </c>
      <c r="K390" s="2" t="s">
        <v>17</v>
      </c>
      <c r="L390" s="7">
        <f>Table3[[#This Row],[Revenue]]-Table3[[#This Row],[Ad Spend]]</f>
        <v>432.28000000000003</v>
      </c>
      <c r="M390" s="11">
        <v>178.01</v>
      </c>
    </row>
    <row r="391" spans="1:13" ht="15.75" customHeight="1" x14ac:dyDescent="0.3">
      <c r="A391" s="4" t="s">
        <v>304</v>
      </c>
      <c r="B391">
        <f t="shared" si="6"/>
        <v>12</v>
      </c>
      <c r="C391" s="2" t="s">
        <v>63</v>
      </c>
      <c r="D391" s="2" t="s">
        <v>717</v>
      </c>
      <c r="E391" s="7">
        <v>77.81</v>
      </c>
      <c r="F391" s="2">
        <v>3</v>
      </c>
      <c r="G391" s="7">
        <v>490.66</v>
      </c>
      <c r="H391" s="2" t="s">
        <v>718</v>
      </c>
      <c r="I391" s="2" t="s">
        <v>15</v>
      </c>
      <c r="J391" s="2" t="s">
        <v>25</v>
      </c>
      <c r="K391" s="2" t="s">
        <v>17</v>
      </c>
      <c r="L391" s="7">
        <f>Table3[[#This Row],[Revenue]]-Table3[[#This Row],[Ad Spend]]</f>
        <v>412.85</v>
      </c>
      <c r="M391" s="11">
        <v>207.55</v>
      </c>
    </row>
    <row r="392" spans="1:13" ht="15.75" customHeight="1" x14ac:dyDescent="0.3">
      <c r="A392" s="4" t="s">
        <v>11</v>
      </c>
      <c r="B392">
        <f t="shared" si="6"/>
        <v>1</v>
      </c>
      <c r="C392" s="2" t="s">
        <v>32</v>
      </c>
      <c r="D392" s="2" t="s">
        <v>719</v>
      </c>
      <c r="E392" s="7">
        <v>82.11</v>
      </c>
      <c r="F392" s="2">
        <v>0</v>
      </c>
      <c r="G392" s="7">
        <v>187.8</v>
      </c>
      <c r="H392" s="2" t="s">
        <v>422</v>
      </c>
      <c r="I392" s="2" t="s">
        <v>15</v>
      </c>
      <c r="J392" s="2" t="s">
        <v>87</v>
      </c>
      <c r="K392" s="2" t="s">
        <v>46</v>
      </c>
      <c r="L392" s="7">
        <f>Table3[[#This Row],[Revenue]]-Table3[[#This Row],[Ad Spend]]</f>
        <v>105.69000000000001</v>
      </c>
      <c r="M392" s="11">
        <v>133.66999999999999</v>
      </c>
    </row>
    <row r="393" spans="1:13" ht="15.75" customHeight="1" x14ac:dyDescent="0.3">
      <c r="A393" s="4" t="s">
        <v>194</v>
      </c>
      <c r="B393">
        <f t="shared" si="6"/>
        <v>11</v>
      </c>
      <c r="C393" s="2" t="s">
        <v>63</v>
      </c>
      <c r="D393" s="2" t="s">
        <v>341</v>
      </c>
      <c r="E393" s="7">
        <v>41.09</v>
      </c>
      <c r="F393" s="2">
        <v>8</v>
      </c>
      <c r="G393" s="7">
        <v>244.07</v>
      </c>
      <c r="H393" s="2" t="s">
        <v>529</v>
      </c>
      <c r="I393" s="2" t="s">
        <v>35</v>
      </c>
      <c r="J393" s="2" t="s">
        <v>30</v>
      </c>
      <c r="K393" s="2" t="s">
        <v>17</v>
      </c>
      <c r="L393" s="7">
        <f>Table3[[#This Row],[Revenue]]-Table3[[#This Row],[Ad Spend]]</f>
        <v>202.98</v>
      </c>
      <c r="M393" s="11">
        <v>136.18</v>
      </c>
    </row>
    <row r="394" spans="1:13" ht="15.75" customHeight="1" x14ac:dyDescent="0.3">
      <c r="A394" s="4" t="s">
        <v>499</v>
      </c>
      <c r="B394">
        <f t="shared" si="6"/>
        <v>4</v>
      </c>
      <c r="C394" s="2" t="s">
        <v>63</v>
      </c>
      <c r="D394" s="2" t="s">
        <v>720</v>
      </c>
      <c r="E394" s="7">
        <v>78.260000000000005</v>
      </c>
      <c r="F394" s="2">
        <v>10</v>
      </c>
      <c r="G394" s="7">
        <v>432.44</v>
      </c>
      <c r="H394" s="2" t="s">
        <v>413</v>
      </c>
      <c r="I394" s="2" t="s">
        <v>29</v>
      </c>
      <c r="J394" s="2" t="s">
        <v>36</v>
      </c>
      <c r="K394" s="2" t="s">
        <v>17</v>
      </c>
      <c r="L394" s="7">
        <f>Table3[[#This Row],[Revenue]]-Table3[[#This Row],[Ad Spend]]</f>
        <v>354.18</v>
      </c>
      <c r="M394" s="11">
        <v>127.23</v>
      </c>
    </row>
    <row r="395" spans="1:13" ht="15.75" customHeight="1" x14ac:dyDescent="0.3">
      <c r="A395" s="4" t="s">
        <v>226</v>
      </c>
      <c r="B395">
        <f t="shared" si="6"/>
        <v>2</v>
      </c>
      <c r="C395" s="2" t="s">
        <v>32</v>
      </c>
      <c r="D395" s="2" t="s">
        <v>700</v>
      </c>
      <c r="E395" s="7">
        <v>5.74</v>
      </c>
      <c r="F395" s="2">
        <v>2</v>
      </c>
      <c r="G395" s="7">
        <v>327.94</v>
      </c>
      <c r="H395" s="2" t="s">
        <v>721</v>
      </c>
      <c r="I395" s="2" t="s">
        <v>29</v>
      </c>
      <c r="J395" s="2" t="s">
        <v>25</v>
      </c>
      <c r="K395" s="2" t="s">
        <v>17</v>
      </c>
      <c r="L395" s="7">
        <f>Table3[[#This Row],[Revenue]]-Table3[[#This Row],[Ad Spend]]</f>
        <v>322.2</v>
      </c>
      <c r="M395" s="11">
        <v>96.2</v>
      </c>
    </row>
    <row r="396" spans="1:13" ht="15.75" customHeight="1" x14ac:dyDescent="0.3">
      <c r="A396" s="4" t="s">
        <v>194</v>
      </c>
      <c r="B396">
        <f t="shared" si="6"/>
        <v>11</v>
      </c>
      <c r="C396" s="2" t="s">
        <v>63</v>
      </c>
      <c r="D396" s="2" t="s">
        <v>336</v>
      </c>
      <c r="E396" s="7">
        <v>138.51</v>
      </c>
      <c r="F396" s="2">
        <v>1</v>
      </c>
      <c r="G396" s="7">
        <v>406.35</v>
      </c>
      <c r="H396" s="2" t="s">
        <v>501</v>
      </c>
      <c r="I396" s="2" t="s">
        <v>29</v>
      </c>
      <c r="J396" s="2" t="s">
        <v>25</v>
      </c>
      <c r="K396" s="2" t="s">
        <v>17</v>
      </c>
      <c r="L396" s="7">
        <f>Table3[[#This Row],[Revenue]]-Table3[[#This Row],[Ad Spend]]</f>
        <v>267.84000000000003</v>
      </c>
      <c r="M396" s="11">
        <v>143.44999999999999</v>
      </c>
    </row>
    <row r="397" spans="1:13" ht="15.75" customHeight="1" x14ac:dyDescent="0.3">
      <c r="A397" s="4" t="s">
        <v>205</v>
      </c>
      <c r="B397">
        <f t="shared" si="6"/>
        <v>2</v>
      </c>
      <c r="C397" s="2" t="s">
        <v>63</v>
      </c>
      <c r="D397" s="2" t="s">
        <v>679</v>
      </c>
      <c r="E397" s="7">
        <v>129.1</v>
      </c>
      <c r="F397" s="2">
        <v>9</v>
      </c>
      <c r="G397" s="7">
        <v>287.48</v>
      </c>
      <c r="H397" s="2" t="s">
        <v>722</v>
      </c>
      <c r="I397" s="2" t="s">
        <v>29</v>
      </c>
      <c r="J397" s="2" t="s">
        <v>36</v>
      </c>
      <c r="K397" s="2" t="s">
        <v>17</v>
      </c>
      <c r="L397" s="7">
        <f>Table3[[#This Row],[Revenue]]-Table3[[#This Row],[Ad Spend]]</f>
        <v>158.38000000000002</v>
      </c>
      <c r="M397" s="11">
        <v>132.46</v>
      </c>
    </row>
    <row r="398" spans="1:13" ht="15.75" customHeight="1" x14ac:dyDescent="0.3">
      <c r="A398" s="4" t="s">
        <v>647</v>
      </c>
      <c r="B398">
        <f t="shared" si="6"/>
        <v>11</v>
      </c>
      <c r="C398" s="2" t="s">
        <v>12</v>
      </c>
      <c r="D398" s="2" t="s">
        <v>719</v>
      </c>
      <c r="E398" s="7">
        <v>117.81</v>
      </c>
      <c r="F398" s="2">
        <v>5</v>
      </c>
      <c r="G398" s="7">
        <v>447.07</v>
      </c>
      <c r="H398" s="2" t="s">
        <v>489</v>
      </c>
      <c r="I398" s="2" t="s">
        <v>35</v>
      </c>
      <c r="J398" s="2" t="s">
        <v>25</v>
      </c>
      <c r="K398" s="2" t="s">
        <v>17</v>
      </c>
      <c r="L398" s="7">
        <f>Table3[[#This Row],[Revenue]]-Table3[[#This Row],[Ad Spend]]</f>
        <v>329.26</v>
      </c>
      <c r="M398" s="11">
        <v>143.91</v>
      </c>
    </row>
    <row r="399" spans="1:13" ht="15.75" customHeight="1" x14ac:dyDescent="0.3">
      <c r="A399" s="4" t="s">
        <v>723</v>
      </c>
      <c r="B399">
        <f t="shared" si="6"/>
        <v>12</v>
      </c>
      <c r="C399" s="2" t="s">
        <v>12</v>
      </c>
      <c r="D399" s="2" t="s">
        <v>724</v>
      </c>
      <c r="E399" s="7">
        <v>91.37</v>
      </c>
      <c r="F399" s="2">
        <v>6</v>
      </c>
      <c r="G399" s="7">
        <v>61.79</v>
      </c>
      <c r="H399" s="2" t="s">
        <v>725</v>
      </c>
      <c r="I399" s="2" t="s">
        <v>15</v>
      </c>
      <c r="J399" s="2" t="s">
        <v>30</v>
      </c>
      <c r="K399" s="2" t="s">
        <v>17</v>
      </c>
      <c r="L399" s="7">
        <f>Table3[[#This Row],[Revenue]]-Table3[[#This Row],[Ad Spend]]</f>
        <v>-29.580000000000005</v>
      </c>
      <c r="M399" s="11">
        <v>140.71</v>
      </c>
    </row>
    <row r="400" spans="1:13" ht="15.75" customHeight="1" x14ac:dyDescent="0.3">
      <c r="A400" s="4" t="s">
        <v>76</v>
      </c>
      <c r="B400">
        <f t="shared" si="6"/>
        <v>1</v>
      </c>
      <c r="C400" s="2" t="s">
        <v>19</v>
      </c>
      <c r="D400" s="2" t="s">
        <v>726</v>
      </c>
      <c r="E400" s="7">
        <v>29.03</v>
      </c>
      <c r="F400" s="2">
        <v>3</v>
      </c>
      <c r="G400" s="7">
        <v>94.89</v>
      </c>
      <c r="H400" s="2" t="s">
        <v>161</v>
      </c>
      <c r="I400" s="2" t="s">
        <v>29</v>
      </c>
      <c r="J400" s="2" t="s">
        <v>30</v>
      </c>
      <c r="K400" s="2" t="s">
        <v>17</v>
      </c>
      <c r="L400" s="7">
        <f>Table3[[#This Row],[Revenue]]-Table3[[#This Row],[Ad Spend]]</f>
        <v>65.86</v>
      </c>
      <c r="M400" s="11">
        <v>115.11</v>
      </c>
    </row>
    <row r="401" spans="1:13" ht="15.75" customHeight="1" x14ac:dyDescent="0.3">
      <c r="A401" s="4" t="s">
        <v>421</v>
      </c>
      <c r="B401">
        <f t="shared" si="6"/>
        <v>11</v>
      </c>
      <c r="C401" s="2" t="s">
        <v>32</v>
      </c>
      <c r="D401" s="2" t="s">
        <v>727</v>
      </c>
      <c r="E401" s="7">
        <v>71.12</v>
      </c>
      <c r="F401" s="2">
        <v>0</v>
      </c>
      <c r="G401" s="7">
        <v>211.76</v>
      </c>
      <c r="H401" s="2" t="s">
        <v>58</v>
      </c>
      <c r="I401" s="2" t="s">
        <v>29</v>
      </c>
      <c r="J401" s="2" t="s">
        <v>53</v>
      </c>
      <c r="K401" s="2" t="s">
        <v>46</v>
      </c>
      <c r="L401" s="7">
        <f>Table3[[#This Row],[Revenue]]-Table3[[#This Row],[Ad Spend]]</f>
        <v>140.63999999999999</v>
      </c>
      <c r="M401" s="11">
        <v>134.91999999999999</v>
      </c>
    </row>
    <row r="402" spans="1:13" ht="15.75" customHeight="1" x14ac:dyDescent="0.3">
      <c r="A402" s="4" t="s">
        <v>728</v>
      </c>
      <c r="B402">
        <f t="shared" si="6"/>
        <v>4</v>
      </c>
      <c r="C402" s="2" t="s">
        <v>63</v>
      </c>
      <c r="D402" s="2" t="s">
        <v>729</v>
      </c>
      <c r="E402" s="7">
        <v>69.790000000000006</v>
      </c>
      <c r="F402" s="2">
        <v>3</v>
      </c>
      <c r="G402" s="7">
        <v>120.13</v>
      </c>
      <c r="H402" s="2" t="s">
        <v>389</v>
      </c>
      <c r="I402" s="2" t="s">
        <v>15</v>
      </c>
      <c r="J402" s="2" t="s">
        <v>30</v>
      </c>
      <c r="K402" s="2" t="s">
        <v>17</v>
      </c>
      <c r="L402" s="7">
        <f>Table3[[#This Row],[Revenue]]-Table3[[#This Row],[Ad Spend]]</f>
        <v>50.339999999999989</v>
      </c>
      <c r="M402" s="11">
        <v>114.87</v>
      </c>
    </row>
    <row r="403" spans="1:13" ht="15.75" customHeight="1" x14ac:dyDescent="0.3">
      <c r="A403" s="4" t="s">
        <v>233</v>
      </c>
      <c r="B403">
        <f t="shared" si="6"/>
        <v>3</v>
      </c>
      <c r="C403" s="2" t="s">
        <v>32</v>
      </c>
      <c r="D403" s="2" t="s">
        <v>730</v>
      </c>
      <c r="E403" s="7">
        <v>142.96</v>
      </c>
      <c r="F403" s="2">
        <v>7</v>
      </c>
      <c r="G403" s="7">
        <v>241.81</v>
      </c>
      <c r="H403" s="2" t="s">
        <v>731</v>
      </c>
      <c r="I403" s="2" t="s">
        <v>15</v>
      </c>
      <c r="J403" s="2" t="s">
        <v>36</v>
      </c>
      <c r="K403" s="2" t="s">
        <v>17</v>
      </c>
      <c r="L403" s="7">
        <f>Table3[[#This Row],[Revenue]]-Table3[[#This Row],[Ad Spend]]</f>
        <v>98.85</v>
      </c>
      <c r="M403" s="11">
        <v>125.17</v>
      </c>
    </row>
    <row r="404" spans="1:13" ht="15.75" customHeight="1" x14ac:dyDescent="0.3">
      <c r="A404" s="4" t="s">
        <v>322</v>
      </c>
      <c r="B404">
        <f t="shared" si="6"/>
        <v>11</v>
      </c>
      <c r="C404" s="2" t="s">
        <v>63</v>
      </c>
      <c r="D404" s="2" t="s">
        <v>458</v>
      </c>
      <c r="E404" s="7">
        <v>14.03</v>
      </c>
      <c r="F404" s="2">
        <v>4</v>
      </c>
      <c r="G404" s="7">
        <v>222.45</v>
      </c>
      <c r="H404" s="2" t="s">
        <v>667</v>
      </c>
      <c r="I404" s="2" t="s">
        <v>29</v>
      </c>
      <c r="J404" s="2" t="s">
        <v>16</v>
      </c>
      <c r="K404" s="2" t="s">
        <v>17</v>
      </c>
      <c r="L404" s="7">
        <f>Table3[[#This Row],[Revenue]]-Table3[[#This Row],[Ad Spend]]</f>
        <v>208.42</v>
      </c>
      <c r="M404" s="11">
        <v>162</v>
      </c>
    </row>
    <row r="405" spans="1:13" ht="15.75" customHeight="1" x14ac:dyDescent="0.3">
      <c r="A405" s="4" t="s">
        <v>153</v>
      </c>
      <c r="B405">
        <f t="shared" si="6"/>
        <v>1</v>
      </c>
      <c r="C405" s="2" t="s">
        <v>32</v>
      </c>
      <c r="D405" s="2" t="s">
        <v>732</v>
      </c>
      <c r="E405" s="7">
        <v>117.01</v>
      </c>
      <c r="F405" s="2">
        <v>5</v>
      </c>
      <c r="G405" s="7">
        <v>267.64</v>
      </c>
      <c r="H405" s="2" t="s">
        <v>733</v>
      </c>
      <c r="I405" s="2" t="s">
        <v>29</v>
      </c>
      <c r="J405" s="2" t="s">
        <v>30</v>
      </c>
      <c r="K405" s="2" t="s">
        <v>17</v>
      </c>
      <c r="L405" s="7">
        <f>Table3[[#This Row],[Revenue]]-Table3[[#This Row],[Ad Spend]]</f>
        <v>150.63</v>
      </c>
      <c r="M405" s="11">
        <v>128.69999999999999</v>
      </c>
    </row>
    <row r="406" spans="1:13" ht="15.75" customHeight="1" x14ac:dyDescent="0.3">
      <c r="A406" s="4" t="s">
        <v>595</v>
      </c>
      <c r="B406">
        <f t="shared" si="6"/>
        <v>3</v>
      </c>
      <c r="C406" s="2" t="s">
        <v>12</v>
      </c>
      <c r="D406" s="2" t="s">
        <v>734</v>
      </c>
      <c r="E406" s="7">
        <v>68.36</v>
      </c>
      <c r="F406" s="2">
        <v>1</v>
      </c>
      <c r="G406" s="7">
        <v>426.41</v>
      </c>
      <c r="H406" s="2" t="s">
        <v>24</v>
      </c>
      <c r="I406" s="2" t="s">
        <v>35</v>
      </c>
      <c r="J406" s="2" t="s">
        <v>25</v>
      </c>
      <c r="K406" s="2" t="s">
        <v>17</v>
      </c>
      <c r="L406" s="7">
        <f>Table3[[#This Row],[Revenue]]-Table3[[#This Row],[Ad Spend]]</f>
        <v>358.05</v>
      </c>
      <c r="M406" s="11">
        <v>147.43</v>
      </c>
    </row>
    <row r="407" spans="1:13" ht="15.75" customHeight="1" x14ac:dyDescent="0.3">
      <c r="A407" s="4" t="s">
        <v>463</v>
      </c>
      <c r="B407">
        <f t="shared" si="6"/>
        <v>3</v>
      </c>
      <c r="C407" s="2" t="s">
        <v>32</v>
      </c>
      <c r="D407" s="2" t="s">
        <v>735</v>
      </c>
      <c r="E407" s="7">
        <v>58.7</v>
      </c>
      <c r="F407" s="2">
        <v>8</v>
      </c>
      <c r="G407" s="7">
        <v>225.48</v>
      </c>
      <c r="H407" s="2" t="s">
        <v>397</v>
      </c>
      <c r="I407" s="2" t="s">
        <v>35</v>
      </c>
      <c r="J407" s="2" t="s">
        <v>25</v>
      </c>
      <c r="K407" s="2" t="s">
        <v>17</v>
      </c>
      <c r="L407" s="7">
        <f>Table3[[#This Row],[Revenue]]-Table3[[#This Row],[Ad Spend]]</f>
        <v>166.77999999999997</v>
      </c>
      <c r="M407" s="11">
        <v>138.22999999999999</v>
      </c>
    </row>
    <row r="408" spans="1:13" ht="15.75" customHeight="1" x14ac:dyDescent="0.3">
      <c r="A408" s="4" t="s">
        <v>280</v>
      </c>
      <c r="B408">
        <f t="shared" si="6"/>
        <v>2</v>
      </c>
      <c r="C408" s="2" t="s">
        <v>12</v>
      </c>
      <c r="D408" s="2" t="s">
        <v>736</v>
      </c>
      <c r="E408" s="7">
        <v>97.48</v>
      </c>
      <c r="F408" s="2">
        <v>3</v>
      </c>
      <c r="G408" s="7">
        <v>230.16</v>
      </c>
      <c r="H408" s="2" t="s">
        <v>213</v>
      </c>
      <c r="I408" s="2" t="s">
        <v>29</v>
      </c>
      <c r="J408" s="2" t="s">
        <v>87</v>
      </c>
      <c r="K408" s="2" t="s">
        <v>17</v>
      </c>
      <c r="L408" s="7">
        <f>Table3[[#This Row],[Revenue]]-Table3[[#This Row],[Ad Spend]]</f>
        <v>132.68</v>
      </c>
      <c r="M408" s="11">
        <v>113.01</v>
      </c>
    </row>
    <row r="409" spans="1:13" ht="15.75" customHeight="1" x14ac:dyDescent="0.3">
      <c r="A409" s="4" t="s">
        <v>211</v>
      </c>
      <c r="B409">
        <f t="shared" si="6"/>
        <v>2</v>
      </c>
      <c r="C409" s="2" t="s">
        <v>63</v>
      </c>
      <c r="D409" s="2" t="s">
        <v>737</v>
      </c>
      <c r="E409" s="7">
        <v>40.46</v>
      </c>
      <c r="F409" s="2">
        <v>5</v>
      </c>
      <c r="G409" s="7">
        <v>383.74</v>
      </c>
      <c r="H409" s="2" t="s">
        <v>738</v>
      </c>
      <c r="I409" s="2" t="s">
        <v>29</v>
      </c>
      <c r="J409" s="2" t="s">
        <v>30</v>
      </c>
      <c r="K409" s="2" t="s">
        <v>17</v>
      </c>
      <c r="L409" s="7">
        <f>Table3[[#This Row],[Revenue]]-Table3[[#This Row],[Ad Spend]]</f>
        <v>343.28000000000003</v>
      </c>
      <c r="M409" s="11">
        <v>158.68</v>
      </c>
    </row>
    <row r="410" spans="1:13" ht="15.75" customHeight="1" x14ac:dyDescent="0.3">
      <c r="A410" s="4" t="s">
        <v>387</v>
      </c>
      <c r="B410">
        <f t="shared" si="6"/>
        <v>2</v>
      </c>
      <c r="C410" s="2" t="s">
        <v>32</v>
      </c>
      <c r="D410" s="2" t="s">
        <v>167</v>
      </c>
      <c r="E410" s="7">
        <v>50.51</v>
      </c>
      <c r="F410" s="2">
        <v>8</v>
      </c>
      <c r="G410" s="7">
        <v>257.16000000000003</v>
      </c>
      <c r="H410" s="2" t="s">
        <v>14</v>
      </c>
      <c r="I410" s="2" t="s">
        <v>15</v>
      </c>
      <c r="J410" s="2" t="s">
        <v>87</v>
      </c>
      <c r="K410" s="2" t="s">
        <v>17</v>
      </c>
      <c r="L410" s="7">
        <f>Table3[[#This Row],[Revenue]]-Table3[[#This Row],[Ad Spend]]</f>
        <v>206.65000000000003</v>
      </c>
      <c r="M410" s="11">
        <v>111.03</v>
      </c>
    </row>
    <row r="411" spans="1:13" ht="15.75" customHeight="1" x14ac:dyDescent="0.3">
      <c r="A411" s="4" t="s">
        <v>113</v>
      </c>
      <c r="B411">
        <f t="shared" si="6"/>
        <v>3</v>
      </c>
      <c r="C411" s="2" t="s">
        <v>12</v>
      </c>
      <c r="D411" s="2" t="s">
        <v>739</v>
      </c>
      <c r="E411" s="7">
        <v>126.47</v>
      </c>
      <c r="F411" s="2">
        <v>0</v>
      </c>
      <c r="G411" s="7">
        <v>126.97</v>
      </c>
      <c r="H411" s="2" t="s">
        <v>225</v>
      </c>
      <c r="I411" s="2" t="s">
        <v>35</v>
      </c>
      <c r="J411" s="2" t="s">
        <v>30</v>
      </c>
      <c r="K411" s="2" t="s">
        <v>46</v>
      </c>
      <c r="L411" s="7">
        <f>Table3[[#This Row],[Revenue]]-Table3[[#This Row],[Ad Spend]]</f>
        <v>0.5</v>
      </c>
      <c r="M411" s="11">
        <v>125.79</v>
      </c>
    </row>
    <row r="412" spans="1:13" ht="15.75" customHeight="1" x14ac:dyDescent="0.3">
      <c r="A412" s="4" t="s">
        <v>126</v>
      </c>
      <c r="B412">
        <f t="shared" si="6"/>
        <v>11</v>
      </c>
      <c r="C412" s="2" t="s">
        <v>12</v>
      </c>
      <c r="D412" s="2" t="s">
        <v>185</v>
      </c>
      <c r="E412" s="7">
        <v>18.489999999999998</v>
      </c>
      <c r="F412" s="2">
        <v>5</v>
      </c>
      <c r="G412" s="7">
        <v>321.85000000000002</v>
      </c>
      <c r="H412" s="2" t="s">
        <v>81</v>
      </c>
      <c r="I412" s="2" t="s">
        <v>29</v>
      </c>
      <c r="J412" s="2" t="s">
        <v>30</v>
      </c>
      <c r="K412" s="2" t="s">
        <v>17</v>
      </c>
      <c r="L412" s="7">
        <f>Table3[[#This Row],[Revenue]]-Table3[[#This Row],[Ad Spend]]</f>
        <v>303.36</v>
      </c>
      <c r="M412" s="11">
        <v>132.19</v>
      </c>
    </row>
    <row r="413" spans="1:13" ht="15.75" customHeight="1" x14ac:dyDescent="0.3">
      <c r="A413" s="4" t="s">
        <v>647</v>
      </c>
      <c r="B413">
        <f t="shared" si="6"/>
        <v>11</v>
      </c>
      <c r="C413" s="2" t="s">
        <v>19</v>
      </c>
      <c r="D413" s="2" t="s">
        <v>740</v>
      </c>
      <c r="E413" s="7">
        <v>48.38</v>
      </c>
      <c r="F413" s="2">
        <v>4</v>
      </c>
      <c r="G413" s="7">
        <v>271.7</v>
      </c>
      <c r="H413" s="2" t="s">
        <v>101</v>
      </c>
      <c r="I413" s="2" t="s">
        <v>35</v>
      </c>
      <c r="J413" s="2" t="s">
        <v>36</v>
      </c>
      <c r="K413" s="2" t="s">
        <v>17</v>
      </c>
      <c r="L413" s="7">
        <f>Table3[[#This Row],[Revenue]]-Table3[[#This Row],[Ad Spend]]</f>
        <v>223.32</v>
      </c>
      <c r="M413" s="11">
        <v>126.81</v>
      </c>
    </row>
    <row r="414" spans="1:13" ht="15.75" customHeight="1" x14ac:dyDescent="0.3">
      <c r="A414" s="4" t="s">
        <v>376</v>
      </c>
      <c r="B414">
        <f t="shared" si="6"/>
        <v>4</v>
      </c>
      <c r="C414" s="2" t="s">
        <v>19</v>
      </c>
      <c r="D414" s="2" t="s">
        <v>741</v>
      </c>
      <c r="E414" s="7">
        <v>8.11</v>
      </c>
      <c r="F414" s="2">
        <v>10</v>
      </c>
      <c r="G414" s="7">
        <v>223.48</v>
      </c>
      <c r="H414" s="2" t="s">
        <v>742</v>
      </c>
      <c r="I414" s="2" t="s">
        <v>35</v>
      </c>
      <c r="J414" s="2" t="s">
        <v>25</v>
      </c>
      <c r="K414" s="2" t="s">
        <v>17</v>
      </c>
      <c r="L414" s="7">
        <f>Table3[[#This Row],[Revenue]]-Table3[[#This Row],[Ad Spend]]</f>
        <v>215.37</v>
      </c>
      <c r="M414" s="11">
        <v>93.51</v>
      </c>
    </row>
    <row r="415" spans="1:13" ht="15.75" customHeight="1" x14ac:dyDescent="0.3">
      <c r="A415" s="4" t="s">
        <v>483</v>
      </c>
      <c r="B415">
        <f t="shared" si="6"/>
        <v>4</v>
      </c>
      <c r="C415" s="2" t="s">
        <v>12</v>
      </c>
      <c r="D415" s="2" t="s">
        <v>743</v>
      </c>
      <c r="E415" s="7">
        <v>28.42</v>
      </c>
      <c r="F415" s="2">
        <v>10</v>
      </c>
      <c r="G415" s="7">
        <v>159.25</v>
      </c>
      <c r="H415" s="2" t="s">
        <v>138</v>
      </c>
      <c r="I415" s="2" t="s">
        <v>35</v>
      </c>
      <c r="J415" s="2" t="s">
        <v>87</v>
      </c>
      <c r="K415" s="2" t="s">
        <v>17</v>
      </c>
      <c r="L415" s="7">
        <f>Table3[[#This Row],[Revenue]]-Table3[[#This Row],[Ad Spend]]</f>
        <v>130.82999999999998</v>
      </c>
      <c r="M415" s="11">
        <v>133.26</v>
      </c>
    </row>
    <row r="416" spans="1:13" ht="15.75" customHeight="1" x14ac:dyDescent="0.3">
      <c r="A416" s="4" t="s">
        <v>691</v>
      </c>
      <c r="B416">
        <f t="shared" si="6"/>
        <v>2</v>
      </c>
      <c r="C416" s="2" t="s">
        <v>32</v>
      </c>
      <c r="D416" s="2" t="s">
        <v>154</v>
      </c>
      <c r="E416" s="7">
        <v>6.85</v>
      </c>
      <c r="F416" s="2">
        <v>4</v>
      </c>
      <c r="G416" s="7">
        <v>213.08</v>
      </c>
      <c r="H416" s="2" t="s">
        <v>744</v>
      </c>
      <c r="I416" s="2" t="s">
        <v>15</v>
      </c>
      <c r="J416" s="2" t="s">
        <v>25</v>
      </c>
      <c r="K416" s="2" t="s">
        <v>17</v>
      </c>
      <c r="L416" s="7">
        <f>Table3[[#This Row],[Revenue]]-Table3[[#This Row],[Ad Spend]]</f>
        <v>206.23000000000002</v>
      </c>
      <c r="M416" s="11">
        <v>131.47999999999999</v>
      </c>
    </row>
    <row r="417" spans="1:13" ht="15.75" customHeight="1" x14ac:dyDescent="0.3">
      <c r="A417" s="4" t="s">
        <v>194</v>
      </c>
      <c r="B417">
        <f t="shared" si="6"/>
        <v>11</v>
      </c>
      <c r="C417" s="2" t="s">
        <v>32</v>
      </c>
      <c r="D417" s="2" t="s">
        <v>745</v>
      </c>
      <c r="E417" s="7">
        <v>107.48</v>
      </c>
      <c r="F417" s="2">
        <v>0</v>
      </c>
      <c r="G417" s="7">
        <v>273.73</v>
      </c>
      <c r="H417" s="2" t="s">
        <v>78</v>
      </c>
      <c r="I417" s="2" t="s">
        <v>35</v>
      </c>
      <c r="J417" s="2" t="s">
        <v>87</v>
      </c>
      <c r="K417" s="2" t="s">
        <v>46</v>
      </c>
      <c r="L417" s="7">
        <f>Table3[[#This Row],[Revenue]]-Table3[[#This Row],[Ad Spend]]</f>
        <v>166.25</v>
      </c>
      <c r="M417" s="11">
        <v>148.9</v>
      </c>
    </row>
    <row r="418" spans="1:13" ht="15.75" customHeight="1" x14ac:dyDescent="0.3">
      <c r="A418" s="4" t="s">
        <v>365</v>
      </c>
      <c r="B418">
        <f t="shared" si="6"/>
        <v>11</v>
      </c>
      <c r="C418" s="2" t="s">
        <v>12</v>
      </c>
      <c r="D418" s="2" t="s">
        <v>746</v>
      </c>
      <c r="E418" s="7">
        <v>124.32</v>
      </c>
      <c r="F418" s="2">
        <v>8</v>
      </c>
      <c r="G418" s="7">
        <v>219.89</v>
      </c>
      <c r="H418" s="2" t="s">
        <v>489</v>
      </c>
      <c r="I418" s="2" t="s">
        <v>29</v>
      </c>
      <c r="J418" s="2" t="s">
        <v>25</v>
      </c>
      <c r="K418" s="2" t="s">
        <v>17</v>
      </c>
      <c r="L418" s="7">
        <f>Table3[[#This Row],[Revenue]]-Table3[[#This Row],[Ad Spend]]</f>
        <v>95.57</v>
      </c>
      <c r="M418" s="11">
        <v>146.47999999999999</v>
      </c>
    </row>
    <row r="419" spans="1:13" ht="15.75" customHeight="1" x14ac:dyDescent="0.3">
      <c r="A419" s="4" t="s">
        <v>504</v>
      </c>
      <c r="B419">
        <f t="shared" si="6"/>
        <v>12</v>
      </c>
      <c r="C419" s="2" t="s">
        <v>12</v>
      </c>
      <c r="D419" s="2" t="s">
        <v>747</v>
      </c>
      <c r="E419" s="7">
        <v>15.15</v>
      </c>
      <c r="F419" s="2">
        <v>0</v>
      </c>
      <c r="G419" s="7">
        <v>38.9</v>
      </c>
      <c r="H419" s="2" t="s">
        <v>28</v>
      </c>
      <c r="I419" s="2" t="s">
        <v>29</v>
      </c>
      <c r="J419" s="2" t="s">
        <v>25</v>
      </c>
      <c r="K419" s="2" t="s">
        <v>46</v>
      </c>
      <c r="L419" s="7">
        <f>Table3[[#This Row],[Revenue]]-Table3[[#This Row],[Ad Spend]]</f>
        <v>23.75</v>
      </c>
      <c r="M419" s="11">
        <v>136.72</v>
      </c>
    </row>
    <row r="420" spans="1:13" ht="15.75" customHeight="1" x14ac:dyDescent="0.3">
      <c r="A420" s="4" t="s">
        <v>274</v>
      </c>
      <c r="B420">
        <f t="shared" si="6"/>
        <v>12</v>
      </c>
      <c r="C420" s="2" t="s">
        <v>19</v>
      </c>
      <c r="D420" s="2" t="s">
        <v>748</v>
      </c>
      <c r="E420" s="7">
        <v>143.04</v>
      </c>
      <c r="F420" s="2">
        <v>3</v>
      </c>
      <c r="G420" s="7">
        <v>55.9</v>
      </c>
      <c r="H420" s="2" t="s">
        <v>749</v>
      </c>
      <c r="I420" s="2" t="s">
        <v>35</v>
      </c>
      <c r="J420" s="2" t="s">
        <v>36</v>
      </c>
      <c r="K420" s="2" t="s">
        <v>17</v>
      </c>
      <c r="L420" s="7">
        <f>Table3[[#This Row],[Revenue]]-Table3[[#This Row],[Ad Spend]]</f>
        <v>-87.139999999999986</v>
      </c>
      <c r="M420" s="11">
        <v>138.26</v>
      </c>
    </row>
    <row r="421" spans="1:13" ht="15.75" customHeight="1" x14ac:dyDescent="0.3">
      <c r="A421" s="4" t="s">
        <v>595</v>
      </c>
      <c r="B421">
        <f t="shared" si="6"/>
        <v>3</v>
      </c>
      <c r="C421" s="2" t="s">
        <v>12</v>
      </c>
      <c r="D421" s="2" t="s">
        <v>750</v>
      </c>
      <c r="E421" s="7">
        <v>137.15</v>
      </c>
      <c r="F421" s="2">
        <v>7</v>
      </c>
      <c r="G421" s="7">
        <v>237.96</v>
      </c>
      <c r="H421" s="2" t="s">
        <v>751</v>
      </c>
      <c r="I421" s="2" t="s">
        <v>35</v>
      </c>
      <c r="J421" s="2" t="s">
        <v>25</v>
      </c>
      <c r="K421" s="2" t="s">
        <v>17</v>
      </c>
      <c r="L421" s="7">
        <f>Table3[[#This Row],[Revenue]]-Table3[[#This Row],[Ad Spend]]</f>
        <v>100.81</v>
      </c>
      <c r="M421" s="11">
        <v>115.71</v>
      </c>
    </row>
    <row r="422" spans="1:13" ht="15.75" customHeight="1" x14ac:dyDescent="0.3">
      <c r="A422" s="4" t="s">
        <v>269</v>
      </c>
      <c r="B422">
        <f t="shared" si="6"/>
        <v>12</v>
      </c>
      <c r="C422" s="2" t="s">
        <v>32</v>
      </c>
      <c r="D422" s="2" t="s">
        <v>752</v>
      </c>
      <c r="E422" s="7">
        <v>96.26</v>
      </c>
      <c r="F422" s="2">
        <v>9</v>
      </c>
      <c r="G422" s="7">
        <v>376.5</v>
      </c>
      <c r="H422" s="2" t="s">
        <v>166</v>
      </c>
      <c r="I422" s="2" t="s">
        <v>15</v>
      </c>
      <c r="J422" s="2" t="s">
        <v>87</v>
      </c>
      <c r="K422" s="2" t="s">
        <v>17</v>
      </c>
      <c r="L422" s="7">
        <f>Table3[[#This Row],[Revenue]]-Table3[[#This Row],[Ad Spend]]</f>
        <v>280.24</v>
      </c>
      <c r="M422" s="11">
        <v>136.56</v>
      </c>
    </row>
    <row r="423" spans="1:13" ht="15.75" customHeight="1" x14ac:dyDescent="0.3">
      <c r="A423" s="4" t="s">
        <v>753</v>
      </c>
      <c r="B423">
        <f t="shared" si="6"/>
        <v>11</v>
      </c>
      <c r="C423" s="2" t="s">
        <v>32</v>
      </c>
      <c r="D423" s="2" t="s">
        <v>458</v>
      </c>
      <c r="E423" s="7">
        <v>87.1</v>
      </c>
      <c r="F423" s="2">
        <v>0</v>
      </c>
      <c r="G423" s="7">
        <v>386.71</v>
      </c>
      <c r="H423" s="2" t="s">
        <v>58</v>
      </c>
      <c r="I423" s="2" t="s">
        <v>29</v>
      </c>
      <c r="J423" s="2" t="s">
        <v>25</v>
      </c>
      <c r="K423" s="2" t="s">
        <v>46</v>
      </c>
      <c r="L423" s="7">
        <f>Table3[[#This Row],[Revenue]]-Table3[[#This Row],[Ad Spend]]</f>
        <v>299.61</v>
      </c>
      <c r="M423" s="11">
        <v>133.65</v>
      </c>
    </row>
    <row r="424" spans="1:13" ht="15.75" customHeight="1" x14ac:dyDescent="0.3">
      <c r="A424" s="4" t="s">
        <v>400</v>
      </c>
      <c r="B424">
        <f t="shared" si="6"/>
        <v>2</v>
      </c>
      <c r="C424" s="2" t="s">
        <v>12</v>
      </c>
      <c r="D424" s="2" t="s">
        <v>218</v>
      </c>
      <c r="E424" s="7">
        <v>8.4</v>
      </c>
      <c r="F424" s="2">
        <v>9</v>
      </c>
      <c r="G424" s="7">
        <v>441.31</v>
      </c>
      <c r="H424" s="2" t="s">
        <v>301</v>
      </c>
      <c r="I424" s="2" t="s">
        <v>35</v>
      </c>
      <c r="J424" s="2" t="s">
        <v>36</v>
      </c>
      <c r="K424" s="2" t="s">
        <v>17</v>
      </c>
      <c r="L424" s="7">
        <f>Table3[[#This Row],[Revenue]]-Table3[[#This Row],[Ad Spend]]</f>
        <v>432.91</v>
      </c>
      <c r="M424" s="11">
        <v>147.81</v>
      </c>
    </row>
    <row r="425" spans="1:13" ht="15.75" customHeight="1" x14ac:dyDescent="0.3">
      <c r="A425" s="4" t="s">
        <v>659</v>
      </c>
      <c r="B425">
        <f t="shared" si="6"/>
        <v>4</v>
      </c>
      <c r="C425" s="2" t="s">
        <v>32</v>
      </c>
      <c r="D425" s="2" t="s">
        <v>555</v>
      </c>
      <c r="E425" s="7">
        <v>89.52</v>
      </c>
      <c r="F425" s="2">
        <v>8</v>
      </c>
      <c r="G425" s="7">
        <v>103.79</v>
      </c>
      <c r="H425" s="2" t="s">
        <v>754</v>
      </c>
      <c r="I425" s="2" t="s">
        <v>35</v>
      </c>
      <c r="J425" s="2" t="s">
        <v>36</v>
      </c>
      <c r="K425" s="2" t="s">
        <v>17</v>
      </c>
      <c r="L425" s="7">
        <f>Table3[[#This Row],[Revenue]]-Table3[[#This Row],[Ad Spend]]</f>
        <v>14.27000000000001</v>
      </c>
      <c r="M425" s="11">
        <v>66.739999999999995</v>
      </c>
    </row>
    <row r="426" spans="1:13" ht="15.75" customHeight="1" x14ac:dyDescent="0.3">
      <c r="A426" s="4" t="s">
        <v>159</v>
      </c>
      <c r="B426">
        <f t="shared" si="6"/>
        <v>2</v>
      </c>
      <c r="C426" s="2" t="s">
        <v>19</v>
      </c>
      <c r="D426" s="2" t="s">
        <v>344</v>
      </c>
      <c r="E426" s="7">
        <v>36.35</v>
      </c>
      <c r="F426" s="2">
        <v>5</v>
      </c>
      <c r="G426" s="7">
        <v>30.39</v>
      </c>
      <c r="H426" s="2" t="s">
        <v>58</v>
      </c>
      <c r="I426" s="2" t="s">
        <v>35</v>
      </c>
      <c r="J426" s="2" t="s">
        <v>30</v>
      </c>
      <c r="K426" s="2" t="s">
        <v>17</v>
      </c>
      <c r="L426" s="7">
        <f>Table3[[#This Row],[Revenue]]-Table3[[#This Row],[Ad Spend]]</f>
        <v>-5.9600000000000009</v>
      </c>
      <c r="M426" s="11">
        <v>136.91999999999999</v>
      </c>
    </row>
    <row r="427" spans="1:13" ht="15.75" customHeight="1" x14ac:dyDescent="0.3">
      <c r="A427" s="4" t="s">
        <v>320</v>
      </c>
      <c r="B427">
        <f t="shared" si="6"/>
        <v>4</v>
      </c>
      <c r="C427" s="2" t="s">
        <v>19</v>
      </c>
      <c r="D427" s="2" t="s">
        <v>405</v>
      </c>
      <c r="E427" s="7">
        <v>16.95</v>
      </c>
      <c r="F427" s="2">
        <v>0</v>
      </c>
      <c r="G427" s="7">
        <v>445.36</v>
      </c>
      <c r="H427" s="2" t="s">
        <v>138</v>
      </c>
      <c r="I427" s="2" t="s">
        <v>15</v>
      </c>
      <c r="J427" s="2" t="s">
        <v>30</v>
      </c>
      <c r="K427" s="2" t="s">
        <v>46</v>
      </c>
      <c r="L427" s="7">
        <f>Table3[[#This Row],[Revenue]]-Table3[[#This Row],[Ad Spend]]</f>
        <v>428.41</v>
      </c>
      <c r="M427" s="11">
        <v>139.09</v>
      </c>
    </row>
    <row r="428" spans="1:13" ht="15.75" customHeight="1" x14ac:dyDescent="0.3">
      <c r="A428" s="4" t="s">
        <v>755</v>
      </c>
      <c r="B428">
        <f t="shared" si="6"/>
        <v>2</v>
      </c>
      <c r="C428" s="2" t="s">
        <v>63</v>
      </c>
      <c r="D428" s="2" t="s">
        <v>756</v>
      </c>
      <c r="E428" s="7">
        <v>28.02</v>
      </c>
      <c r="F428" s="2">
        <v>5</v>
      </c>
      <c r="G428" s="7">
        <v>252.95</v>
      </c>
      <c r="H428" s="2" t="s">
        <v>757</v>
      </c>
      <c r="I428" s="2" t="s">
        <v>29</v>
      </c>
      <c r="J428" s="2" t="s">
        <v>36</v>
      </c>
      <c r="K428" s="2" t="s">
        <v>17</v>
      </c>
      <c r="L428" s="7">
        <f>Table3[[#This Row],[Revenue]]-Table3[[#This Row],[Ad Spend]]</f>
        <v>224.92999999999998</v>
      </c>
      <c r="M428" s="11">
        <v>78.13</v>
      </c>
    </row>
    <row r="429" spans="1:13" ht="15.75" customHeight="1" x14ac:dyDescent="0.3">
      <c r="A429" s="4" t="s">
        <v>76</v>
      </c>
      <c r="B429">
        <f t="shared" si="6"/>
        <v>1</v>
      </c>
      <c r="C429" s="2" t="s">
        <v>63</v>
      </c>
      <c r="D429" s="2" t="s">
        <v>758</v>
      </c>
      <c r="E429" s="7">
        <v>131.88999999999999</v>
      </c>
      <c r="F429" s="2">
        <v>3</v>
      </c>
      <c r="G429" s="7">
        <v>180.21</v>
      </c>
      <c r="H429" s="2" t="s">
        <v>491</v>
      </c>
      <c r="I429" s="2" t="s">
        <v>15</v>
      </c>
      <c r="J429" s="2" t="s">
        <v>87</v>
      </c>
      <c r="K429" s="2" t="s">
        <v>17</v>
      </c>
      <c r="L429" s="7">
        <f>Table3[[#This Row],[Revenue]]-Table3[[#This Row],[Ad Spend]]</f>
        <v>48.320000000000022</v>
      </c>
      <c r="M429" s="11">
        <v>134.47</v>
      </c>
    </row>
    <row r="430" spans="1:13" ht="15.75" customHeight="1" x14ac:dyDescent="0.3">
      <c r="A430" s="4" t="s">
        <v>415</v>
      </c>
      <c r="B430">
        <f t="shared" si="6"/>
        <v>4</v>
      </c>
      <c r="C430" s="2" t="s">
        <v>32</v>
      </c>
      <c r="D430" s="2" t="s">
        <v>684</v>
      </c>
      <c r="E430" s="7">
        <v>101.16</v>
      </c>
      <c r="F430" s="2">
        <v>7</v>
      </c>
      <c r="G430" s="7">
        <v>88.6</v>
      </c>
      <c r="H430" s="2" t="s">
        <v>759</v>
      </c>
      <c r="I430" s="2" t="s">
        <v>15</v>
      </c>
      <c r="J430" s="2" t="s">
        <v>30</v>
      </c>
      <c r="K430" s="2" t="s">
        <v>17</v>
      </c>
      <c r="L430" s="7">
        <f>Table3[[#This Row],[Revenue]]-Table3[[#This Row],[Ad Spend]]</f>
        <v>-12.560000000000002</v>
      </c>
      <c r="M430" s="11">
        <v>120.81</v>
      </c>
    </row>
    <row r="431" spans="1:13" ht="15.75" customHeight="1" x14ac:dyDescent="0.3">
      <c r="A431" s="4" t="s">
        <v>97</v>
      </c>
      <c r="B431">
        <f t="shared" si="6"/>
        <v>12</v>
      </c>
      <c r="C431" s="2" t="s">
        <v>63</v>
      </c>
      <c r="D431" s="2" t="s">
        <v>760</v>
      </c>
      <c r="E431" s="7">
        <v>62.1</v>
      </c>
      <c r="F431" s="2">
        <v>2</v>
      </c>
      <c r="G431" s="7">
        <v>86.05</v>
      </c>
      <c r="H431" s="2" t="s">
        <v>761</v>
      </c>
      <c r="I431" s="2" t="s">
        <v>29</v>
      </c>
      <c r="J431" s="2" t="s">
        <v>36</v>
      </c>
      <c r="K431" s="2" t="s">
        <v>17</v>
      </c>
      <c r="L431" s="7">
        <f>Table3[[#This Row],[Revenue]]-Table3[[#This Row],[Ad Spend]]</f>
        <v>23.949999999999996</v>
      </c>
      <c r="M431" s="11">
        <v>119.85</v>
      </c>
    </row>
    <row r="432" spans="1:13" ht="15.75" customHeight="1" x14ac:dyDescent="0.3">
      <c r="A432" s="4" t="s">
        <v>261</v>
      </c>
      <c r="B432">
        <f t="shared" si="6"/>
        <v>10</v>
      </c>
      <c r="C432" s="2" t="s">
        <v>63</v>
      </c>
      <c r="D432" s="2" t="s">
        <v>762</v>
      </c>
      <c r="E432" s="7">
        <v>14.68</v>
      </c>
      <c r="F432" s="2">
        <v>5</v>
      </c>
      <c r="G432" s="7">
        <v>478.87</v>
      </c>
      <c r="H432" s="2" t="s">
        <v>122</v>
      </c>
      <c r="I432" s="2" t="s">
        <v>35</v>
      </c>
      <c r="J432" s="2" t="s">
        <v>36</v>
      </c>
      <c r="K432" s="2" t="s">
        <v>17</v>
      </c>
      <c r="L432" s="7">
        <f>Table3[[#This Row],[Revenue]]-Table3[[#This Row],[Ad Spend]]</f>
        <v>464.19</v>
      </c>
      <c r="M432" s="11">
        <v>123.11</v>
      </c>
    </row>
    <row r="433" spans="1:13" ht="15.75" customHeight="1" x14ac:dyDescent="0.3">
      <c r="A433" s="4" t="s">
        <v>74</v>
      </c>
      <c r="B433">
        <f t="shared" si="6"/>
        <v>11</v>
      </c>
      <c r="C433" s="2" t="s">
        <v>19</v>
      </c>
      <c r="D433" s="2" t="s">
        <v>730</v>
      </c>
      <c r="E433" s="7">
        <v>69.42</v>
      </c>
      <c r="F433" s="2">
        <v>3</v>
      </c>
      <c r="G433" s="7">
        <v>325.37</v>
      </c>
      <c r="H433" s="2" t="s">
        <v>763</v>
      </c>
      <c r="I433" s="2" t="s">
        <v>15</v>
      </c>
      <c r="J433" s="2" t="s">
        <v>36</v>
      </c>
      <c r="K433" s="2" t="s">
        <v>17</v>
      </c>
      <c r="L433" s="7">
        <f>Table3[[#This Row],[Revenue]]-Table3[[#This Row],[Ad Spend]]</f>
        <v>255.95</v>
      </c>
      <c r="M433" s="11">
        <v>145.16</v>
      </c>
    </row>
    <row r="434" spans="1:13" ht="15.75" customHeight="1" x14ac:dyDescent="0.3">
      <c r="A434" s="4" t="s">
        <v>589</v>
      </c>
      <c r="B434">
        <f t="shared" si="6"/>
        <v>12</v>
      </c>
      <c r="C434" s="2" t="s">
        <v>63</v>
      </c>
      <c r="D434" s="2" t="s">
        <v>764</v>
      </c>
      <c r="E434" s="7">
        <v>105.53</v>
      </c>
      <c r="F434" s="2">
        <v>3</v>
      </c>
      <c r="G434" s="7">
        <v>246.02</v>
      </c>
      <c r="H434" s="2" t="s">
        <v>765</v>
      </c>
      <c r="I434" s="2" t="s">
        <v>15</v>
      </c>
      <c r="J434" s="2" t="s">
        <v>30</v>
      </c>
      <c r="K434" s="2" t="s">
        <v>17</v>
      </c>
      <c r="L434" s="7">
        <f>Table3[[#This Row],[Revenue]]-Table3[[#This Row],[Ad Spend]]</f>
        <v>140.49</v>
      </c>
      <c r="M434" s="11">
        <v>126.39</v>
      </c>
    </row>
    <row r="435" spans="1:13" ht="15.75" customHeight="1" x14ac:dyDescent="0.3">
      <c r="A435" s="4" t="s">
        <v>766</v>
      </c>
      <c r="B435">
        <f t="shared" si="6"/>
        <v>4</v>
      </c>
      <c r="C435" s="2" t="s">
        <v>32</v>
      </c>
      <c r="D435" s="2" t="s">
        <v>137</v>
      </c>
      <c r="E435" s="7">
        <v>110.47</v>
      </c>
      <c r="F435" s="2">
        <v>6</v>
      </c>
      <c r="G435" s="7">
        <v>150.26</v>
      </c>
      <c r="H435" s="2" t="s">
        <v>147</v>
      </c>
      <c r="I435" s="2" t="s">
        <v>15</v>
      </c>
      <c r="J435" s="2" t="s">
        <v>30</v>
      </c>
      <c r="K435" s="2" t="s">
        <v>17</v>
      </c>
      <c r="L435" s="7">
        <f>Table3[[#This Row],[Revenue]]-Table3[[#This Row],[Ad Spend]]</f>
        <v>39.789999999999992</v>
      </c>
      <c r="M435" s="11">
        <v>140.63</v>
      </c>
    </row>
    <row r="436" spans="1:13" ht="15.75" customHeight="1" x14ac:dyDescent="0.3">
      <c r="A436" s="4" t="s">
        <v>683</v>
      </c>
      <c r="B436">
        <f t="shared" si="6"/>
        <v>11</v>
      </c>
      <c r="C436" s="2" t="s">
        <v>32</v>
      </c>
      <c r="D436" s="2" t="s">
        <v>767</v>
      </c>
      <c r="E436" s="7">
        <v>125.5</v>
      </c>
      <c r="F436" s="2">
        <v>8</v>
      </c>
      <c r="G436" s="7">
        <v>497.44</v>
      </c>
      <c r="H436" s="2" t="s">
        <v>768</v>
      </c>
      <c r="I436" s="2" t="s">
        <v>29</v>
      </c>
      <c r="J436" s="2" t="s">
        <v>30</v>
      </c>
      <c r="K436" s="2" t="s">
        <v>17</v>
      </c>
      <c r="L436" s="7">
        <f>Table3[[#This Row],[Revenue]]-Table3[[#This Row],[Ad Spend]]</f>
        <v>371.94</v>
      </c>
      <c r="M436" s="11">
        <v>145.01</v>
      </c>
    </row>
    <row r="437" spans="1:13" ht="15.75" customHeight="1" x14ac:dyDescent="0.3">
      <c r="A437" s="4" t="s">
        <v>504</v>
      </c>
      <c r="B437">
        <f t="shared" si="6"/>
        <v>12</v>
      </c>
      <c r="C437" s="2" t="s">
        <v>19</v>
      </c>
      <c r="D437" s="2" t="s">
        <v>769</v>
      </c>
      <c r="E437" s="7">
        <v>146.28</v>
      </c>
      <c r="F437" s="2">
        <v>6</v>
      </c>
      <c r="G437" s="7">
        <v>283.01</v>
      </c>
      <c r="H437" s="2" t="s">
        <v>326</v>
      </c>
      <c r="I437" s="2" t="s">
        <v>15</v>
      </c>
      <c r="J437" s="2" t="s">
        <v>30</v>
      </c>
      <c r="K437" s="2" t="s">
        <v>17</v>
      </c>
      <c r="L437" s="7">
        <f>Table3[[#This Row],[Revenue]]-Table3[[#This Row],[Ad Spend]]</f>
        <v>136.72999999999999</v>
      </c>
      <c r="M437" s="11">
        <v>146.9</v>
      </c>
    </row>
    <row r="438" spans="1:13" ht="15.75" customHeight="1" x14ac:dyDescent="0.3">
      <c r="A438" s="4" t="s">
        <v>208</v>
      </c>
      <c r="B438">
        <f t="shared" si="6"/>
        <v>11</v>
      </c>
      <c r="C438" s="2" t="s">
        <v>12</v>
      </c>
      <c r="D438" s="2" t="s">
        <v>555</v>
      </c>
      <c r="E438" s="7">
        <v>18.059999999999999</v>
      </c>
      <c r="F438" s="2">
        <v>1</v>
      </c>
      <c r="G438" s="7">
        <v>431.44</v>
      </c>
      <c r="H438" s="2" t="s">
        <v>78</v>
      </c>
      <c r="I438" s="2" t="s">
        <v>35</v>
      </c>
      <c r="J438" s="2" t="s">
        <v>25</v>
      </c>
      <c r="K438" s="2" t="s">
        <v>17</v>
      </c>
      <c r="L438" s="7">
        <f>Table3[[#This Row],[Revenue]]-Table3[[#This Row],[Ad Spend]]</f>
        <v>413.38</v>
      </c>
      <c r="M438" s="11">
        <v>147.28</v>
      </c>
    </row>
    <row r="439" spans="1:13" ht="15.75" customHeight="1" x14ac:dyDescent="0.3">
      <c r="A439" s="4" t="s">
        <v>287</v>
      </c>
      <c r="B439">
        <f t="shared" si="6"/>
        <v>2</v>
      </c>
      <c r="C439" s="2" t="s">
        <v>32</v>
      </c>
      <c r="D439" s="2" t="s">
        <v>770</v>
      </c>
      <c r="E439" s="7">
        <v>106.19</v>
      </c>
      <c r="F439" s="2">
        <v>1</v>
      </c>
      <c r="G439" s="7">
        <v>272.62</v>
      </c>
      <c r="H439" s="2" t="s">
        <v>201</v>
      </c>
      <c r="I439" s="2" t="s">
        <v>35</v>
      </c>
      <c r="J439" s="2" t="s">
        <v>25</v>
      </c>
      <c r="K439" s="2" t="s">
        <v>17</v>
      </c>
      <c r="L439" s="7">
        <f>Table3[[#This Row],[Revenue]]-Table3[[#This Row],[Ad Spend]]</f>
        <v>166.43</v>
      </c>
      <c r="M439" s="11">
        <v>109.91</v>
      </c>
    </row>
    <row r="440" spans="1:13" ht="15.75" customHeight="1" x14ac:dyDescent="0.3">
      <c r="A440" s="4" t="s">
        <v>105</v>
      </c>
      <c r="B440">
        <f t="shared" si="6"/>
        <v>1</v>
      </c>
      <c r="C440" s="2" t="s">
        <v>32</v>
      </c>
      <c r="D440" s="2" t="s">
        <v>771</v>
      </c>
      <c r="E440" s="7">
        <v>31.97</v>
      </c>
      <c r="F440" s="2">
        <v>10</v>
      </c>
      <c r="G440" s="7">
        <v>164.02</v>
      </c>
      <c r="H440" s="2" t="s">
        <v>422</v>
      </c>
      <c r="I440" s="2" t="s">
        <v>35</v>
      </c>
      <c r="J440" s="2" t="s">
        <v>53</v>
      </c>
      <c r="K440" s="2" t="s">
        <v>17</v>
      </c>
      <c r="L440" s="7">
        <f>Table3[[#This Row],[Revenue]]-Table3[[#This Row],[Ad Spend]]</f>
        <v>132.05000000000001</v>
      </c>
      <c r="M440" s="11">
        <v>130.93</v>
      </c>
    </row>
    <row r="441" spans="1:13" ht="15.75" customHeight="1" x14ac:dyDescent="0.3">
      <c r="A441" s="4" t="s">
        <v>543</v>
      </c>
      <c r="B441">
        <f t="shared" si="6"/>
        <v>4</v>
      </c>
      <c r="C441" s="2" t="s">
        <v>19</v>
      </c>
      <c r="D441" s="2" t="s">
        <v>772</v>
      </c>
      <c r="E441" s="7">
        <v>72.77</v>
      </c>
      <c r="F441" s="2">
        <v>7</v>
      </c>
      <c r="G441" s="7">
        <v>234.78</v>
      </c>
      <c r="H441" s="2" t="s">
        <v>372</v>
      </c>
      <c r="I441" s="2" t="s">
        <v>29</v>
      </c>
      <c r="J441" s="2" t="s">
        <v>87</v>
      </c>
      <c r="K441" s="2" t="s">
        <v>17</v>
      </c>
      <c r="L441" s="7">
        <f>Table3[[#This Row],[Revenue]]-Table3[[#This Row],[Ad Spend]]</f>
        <v>162.01</v>
      </c>
      <c r="M441" s="11">
        <v>111.95</v>
      </c>
    </row>
    <row r="442" spans="1:13" ht="15.75" customHeight="1" x14ac:dyDescent="0.3">
      <c r="A442" s="4" t="s">
        <v>387</v>
      </c>
      <c r="B442">
        <f t="shared" si="6"/>
        <v>2</v>
      </c>
      <c r="C442" s="2" t="s">
        <v>19</v>
      </c>
      <c r="D442" s="2" t="s">
        <v>773</v>
      </c>
      <c r="E442" s="7">
        <v>17.04</v>
      </c>
      <c r="F442" s="2">
        <v>8</v>
      </c>
      <c r="G442" s="7">
        <v>239.75</v>
      </c>
      <c r="H442" s="2" t="s">
        <v>45</v>
      </c>
      <c r="I442" s="2" t="s">
        <v>35</v>
      </c>
      <c r="J442" s="2" t="s">
        <v>87</v>
      </c>
      <c r="K442" s="2" t="s">
        <v>17</v>
      </c>
      <c r="L442" s="7">
        <f>Table3[[#This Row],[Revenue]]-Table3[[#This Row],[Ad Spend]]</f>
        <v>222.71</v>
      </c>
      <c r="M442" s="11">
        <v>122.62</v>
      </c>
    </row>
    <row r="443" spans="1:13" ht="15.75" customHeight="1" x14ac:dyDescent="0.3">
      <c r="A443" s="4" t="s">
        <v>696</v>
      </c>
      <c r="B443">
        <f t="shared" si="6"/>
        <v>1</v>
      </c>
      <c r="C443" s="2" t="s">
        <v>19</v>
      </c>
      <c r="D443" s="2" t="s">
        <v>774</v>
      </c>
      <c r="E443" s="7">
        <v>117.03</v>
      </c>
      <c r="F443" s="2">
        <v>6</v>
      </c>
      <c r="G443" s="7">
        <v>262.13</v>
      </c>
      <c r="H443" s="2" t="s">
        <v>374</v>
      </c>
      <c r="I443" s="2" t="s">
        <v>35</v>
      </c>
      <c r="J443" s="2" t="s">
        <v>30</v>
      </c>
      <c r="K443" s="2" t="s">
        <v>17</v>
      </c>
      <c r="L443" s="7">
        <f>Table3[[#This Row],[Revenue]]-Table3[[#This Row],[Ad Spend]]</f>
        <v>145.1</v>
      </c>
      <c r="M443" s="11">
        <v>127.89</v>
      </c>
    </row>
    <row r="444" spans="1:13" ht="15.75" customHeight="1" x14ac:dyDescent="0.3">
      <c r="A444" s="4" t="s">
        <v>574</v>
      </c>
      <c r="B444">
        <f t="shared" si="6"/>
        <v>1</v>
      </c>
      <c r="C444" s="2" t="s">
        <v>32</v>
      </c>
      <c r="D444" s="2" t="s">
        <v>775</v>
      </c>
      <c r="E444" s="7">
        <v>127.06</v>
      </c>
      <c r="F444" s="2">
        <v>10</v>
      </c>
      <c r="G444" s="7">
        <v>315.69</v>
      </c>
      <c r="H444" s="2" t="s">
        <v>374</v>
      </c>
      <c r="I444" s="2" t="s">
        <v>35</v>
      </c>
      <c r="J444" s="2" t="s">
        <v>25</v>
      </c>
      <c r="K444" s="2" t="s">
        <v>17</v>
      </c>
      <c r="L444" s="7">
        <f>Table3[[#This Row],[Revenue]]-Table3[[#This Row],[Ad Spend]]</f>
        <v>188.63</v>
      </c>
      <c r="M444" s="11">
        <v>120.99</v>
      </c>
    </row>
    <row r="445" spans="1:13" ht="15.75" customHeight="1" x14ac:dyDescent="0.3">
      <c r="A445" s="4" t="s">
        <v>105</v>
      </c>
      <c r="B445">
        <f t="shared" si="6"/>
        <v>1</v>
      </c>
      <c r="C445" s="2" t="s">
        <v>32</v>
      </c>
      <c r="D445" s="2" t="s">
        <v>776</v>
      </c>
      <c r="E445" s="7">
        <v>143.66</v>
      </c>
      <c r="F445" s="2">
        <v>9</v>
      </c>
      <c r="G445" s="7">
        <v>48.97</v>
      </c>
      <c r="H445" s="2" t="s">
        <v>777</v>
      </c>
      <c r="I445" s="2" t="s">
        <v>35</v>
      </c>
      <c r="J445" s="2" t="s">
        <v>30</v>
      </c>
      <c r="K445" s="2" t="s">
        <v>17</v>
      </c>
      <c r="L445" s="7">
        <f>Table3[[#This Row],[Revenue]]-Table3[[#This Row],[Ad Spend]]</f>
        <v>-94.69</v>
      </c>
      <c r="M445" s="11">
        <v>47.17</v>
      </c>
    </row>
    <row r="446" spans="1:13" ht="15.75" customHeight="1" x14ac:dyDescent="0.3">
      <c r="A446" s="4" t="s">
        <v>519</v>
      </c>
      <c r="B446">
        <f t="shared" si="6"/>
        <v>4</v>
      </c>
      <c r="C446" s="2" t="s">
        <v>63</v>
      </c>
      <c r="D446" s="2" t="s">
        <v>778</v>
      </c>
      <c r="E446" s="7">
        <v>27.28</v>
      </c>
      <c r="F446" s="2">
        <v>1</v>
      </c>
      <c r="G446" s="7">
        <v>273.39</v>
      </c>
      <c r="H446" s="2" t="s">
        <v>451</v>
      </c>
      <c r="I446" s="2" t="s">
        <v>35</v>
      </c>
      <c r="J446" s="2" t="s">
        <v>30</v>
      </c>
      <c r="K446" s="2" t="s">
        <v>17</v>
      </c>
      <c r="L446" s="7">
        <f>Table3[[#This Row],[Revenue]]-Table3[[#This Row],[Ad Spend]]</f>
        <v>246.10999999999999</v>
      </c>
      <c r="M446" s="11">
        <v>146.47</v>
      </c>
    </row>
    <row r="447" spans="1:13" ht="15.75" customHeight="1" x14ac:dyDescent="0.3">
      <c r="A447" s="4" t="s">
        <v>356</v>
      </c>
      <c r="B447">
        <f t="shared" si="6"/>
        <v>3</v>
      </c>
      <c r="C447" s="2" t="s">
        <v>12</v>
      </c>
      <c r="D447" s="2" t="s">
        <v>687</v>
      </c>
      <c r="E447" s="7">
        <v>45.48</v>
      </c>
      <c r="F447" s="2">
        <v>6</v>
      </c>
      <c r="G447" s="7">
        <v>291.97000000000003</v>
      </c>
      <c r="H447" s="2" t="s">
        <v>779</v>
      </c>
      <c r="I447" s="2" t="s">
        <v>15</v>
      </c>
      <c r="J447" s="2" t="s">
        <v>25</v>
      </c>
      <c r="K447" s="2" t="s">
        <v>17</v>
      </c>
      <c r="L447" s="7">
        <f>Table3[[#This Row],[Revenue]]-Table3[[#This Row],[Ad Spend]]</f>
        <v>246.49000000000004</v>
      </c>
      <c r="M447" s="11">
        <v>140.91999999999999</v>
      </c>
    </row>
    <row r="448" spans="1:13" ht="15.75" customHeight="1" x14ac:dyDescent="0.3">
      <c r="A448" s="4" t="s">
        <v>504</v>
      </c>
      <c r="B448">
        <f t="shared" si="6"/>
        <v>12</v>
      </c>
      <c r="C448" s="2" t="s">
        <v>12</v>
      </c>
      <c r="D448" s="2" t="s">
        <v>780</v>
      </c>
      <c r="E448" s="7">
        <v>36.9</v>
      </c>
      <c r="F448" s="2">
        <v>4</v>
      </c>
      <c r="G448" s="7">
        <v>110.35</v>
      </c>
      <c r="H448" s="2" t="s">
        <v>313</v>
      </c>
      <c r="I448" s="2" t="s">
        <v>35</v>
      </c>
      <c r="J448" s="2" t="s">
        <v>30</v>
      </c>
      <c r="K448" s="2" t="s">
        <v>17</v>
      </c>
      <c r="L448" s="7">
        <f>Table3[[#This Row],[Revenue]]-Table3[[#This Row],[Ad Spend]]</f>
        <v>73.449999999999989</v>
      </c>
      <c r="M448" s="11">
        <v>125.9</v>
      </c>
    </row>
    <row r="449" spans="1:13" ht="15.75" customHeight="1" x14ac:dyDescent="0.3">
      <c r="A449" s="4" t="s">
        <v>26</v>
      </c>
      <c r="B449">
        <f t="shared" si="6"/>
        <v>12</v>
      </c>
      <c r="C449" s="2" t="s">
        <v>12</v>
      </c>
      <c r="D449" s="2" t="s">
        <v>550</v>
      </c>
      <c r="E449" s="7">
        <v>108.48</v>
      </c>
      <c r="F449" s="2">
        <v>9</v>
      </c>
      <c r="G449" s="7">
        <v>76.040000000000006</v>
      </c>
      <c r="H449" s="2" t="s">
        <v>781</v>
      </c>
      <c r="I449" s="2" t="s">
        <v>29</v>
      </c>
      <c r="J449" s="2" t="s">
        <v>30</v>
      </c>
      <c r="K449" s="2" t="s">
        <v>17</v>
      </c>
      <c r="L449" s="7">
        <f>Table3[[#This Row],[Revenue]]-Table3[[#This Row],[Ad Spend]]</f>
        <v>-32.44</v>
      </c>
      <c r="M449" s="11">
        <v>110.19</v>
      </c>
    </row>
    <row r="450" spans="1:13" ht="15.75" customHeight="1" x14ac:dyDescent="0.3">
      <c r="A450" s="4" t="s">
        <v>76</v>
      </c>
      <c r="B450">
        <f t="shared" si="6"/>
        <v>1</v>
      </c>
      <c r="C450" s="2" t="s">
        <v>32</v>
      </c>
      <c r="D450" s="2" t="s">
        <v>782</v>
      </c>
      <c r="E450" s="7">
        <v>83</v>
      </c>
      <c r="F450" s="2">
        <v>8</v>
      </c>
      <c r="G450" s="7">
        <v>253.42</v>
      </c>
      <c r="H450" s="2" t="s">
        <v>744</v>
      </c>
      <c r="I450" s="2" t="s">
        <v>29</v>
      </c>
      <c r="J450" s="2" t="s">
        <v>36</v>
      </c>
      <c r="K450" s="2" t="s">
        <v>17</v>
      </c>
      <c r="L450" s="7">
        <f>Table3[[#This Row],[Revenue]]-Table3[[#This Row],[Ad Spend]]</f>
        <v>170.42</v>
      </c>
      <c r="M450" s="11">
        <v>126.73</v>
      </c>
    </row>
    <row r="451" spans="1:13" ht="15.75" customHeight="1" x14ac:dyDescent="0.3">
      <c r="A451" s="4" t="s">
        <v>783</v>
      </c>
      <c r="B451">
        <f t="shared" ref="B451:B514" si="7">MONTH(A451)</f>
        <v>1</v>
      </c>
      <c r="C451" s="2" t="s">
        <v>63</v>
      </c>
      <c r="D451" s="2" t="s">
        <v>784</v>
      </c>
      <c r="E451" s="7">
        <v>35.020000000000003</v>
      </c>
      <c r="F451" s="2">
        <v>1</v>
      </c>
      <c r="G451" s="7">
        <v>399.11</v>
      </c>
      <c r="H451" s="2" t="s">
        <v>781</v>
      </c>
      <c r="I451" s="2" t="s">
        <v>15</v>
      </c>
      <c r="J451" s="2" t="s">
        <v>16</v>
      </c>
      <c r="K451" s="2" t="s">
        <v>17</v>
      </c>
      <c r="L451" s="7">
        <f>Table3[[#This Row],[Revenue]]-Table3[[#This Row],[Ad Spend]]</f>
        <v>364.09000000000003</v>
      </c>
      <c r="M451" s="11">
        <v>107.84</v>
      </c>
    </row>
    <row r="452" spans="1:13" ht="15.75" customHeight="1" x14ac:dyDescent="0.3">
      <c r="A452" s="4" t="s">
        <v>785</v>
      </c>
      <c r="B452">
        <f t="shared" si="7"/>
        <v>1</v>
      </c>
      <c r="C452" s="2" t="s">
        <v>19</v>
      </c>
      <c r="D452" s="2" t="s">
        <v>786</v>
      </c>
      <c r="E452" s="7">
        <v>147.16</v>
      </c>
      <c r="F452" s="2">
        <v>2</v>
      </c>
      <c r="G452" s="7">
        <v>198.49</v>
      </c>
      <c r="H452" s="2" t="s">
        <v>14</v>
      </c>
      <c r="I452" s="2" t="s">
        <v>35</v>
      </c>
      <c r="J452" s="2" t="s">
        <v>16</v>
      </c>
      <c r="K452" s="2" t="s">
        <v>17</v>
      </c>
      <c r="L452" s="7">
        <f>Table3[[#This Row],[Revenue]]-Table3[[#This Row],[Ad Spend]]</f>
        <v>51.330000000000013</v>
      </c>
      <c r="M452" s="11">
        <v>112.03</v>
      </c>
    </row>
    <row r="453" spans="1:13" ht="15.75" customHeight="1" x14ac:dyDescent="0.3">
      <c r="A453" s="4" t="s">
        <v>283</v>
      </c>
      <c r="B453">
        <f t="shared" si="7"/>
        <v>11</v>
      </c>
      <c r="C453" s="2" t="s">
        <v>19</v>
      </c>
      <c r="D453" s="2" t="s">
        <v>787</v>
      </c>
      <c r="E453" s="7">
        <v>16.29</v>
      </c>
      <c r="F453" s="2">
        <v>6</v>
      </c>
      <c r="G453" s="7">
        <v>445.33</v>
      </c>
      <c r="H453" s="2" t="s">
        <v>718</v>
      </c>
      <c r="I453" s="2" t="s">
        <v>35</v>
      </c>
      <c r="J453" s="2" t="s">
        <v>87</v>
      </c>
      <c r="K453" s="2" t="s">
        <v>17</v>
      </c>
      <c r="L453" s="7">
        <f>Table3[[#This Row],[Revenue]]-Table3[[#This Row],[Ad Spend]]</f>
        <v>429.03999999999996</v>
      </c>
      <c r="M453" s="11">
        <v>206.96</v>
      </c>
    </row>
    <row r="454" spans="1:13" ht="15.75" customHeight="1" x14ac:dyDescent="0.3">
      <c r="A454" s="4" t="s">
        <v>368</v>
      </c>
      <c r="B454">
        <f t="shared" si="7"/>
        <v>3</v>
      </c>
      <c r="C454" s="2" t="s">
        <v>12</v>
      </c>
      <c r="D454" s="2" t="s">
        <v>788</v>
      </c>
      <c r="E454" s="7">
        <v>94.49</v>
      </c>
      <c r="F454" s="2">
        <v>9</v>
      </c>
      <c r="G454" s="7">
        <v>240.2</v>
      </c>
      <c r="H454" s="2" t="s">
        <v>166</v>
      </c>
      <c r="I454" s="2" t="s">
        <v>15</v>
      </c>
      <c r="J454" s="2" t="s">
        <v>30</v>
      </c>
      <c r="K454" s="2" t="s">
        <v>17</v>
      </c>
      <c r="L454" s="7">
        <f>Table3[[#This Row],[Revenue]]-Table3[[#This Row],[Ad Spend]]</f>
        <v>145.70999999999998</v>
      </c>
      <c r="M454" s="11">
        <v>135.47</v>
      </c>
    </row>
    <row r="455" spans="1:13" ht="15.75" customHeight="1" x14ac:dyDescent="0.3">
      <c r="A455" s="4" t="s">
        <v>82</v>
      </c>
      <c r="B455">
        <f t="shared" si="7"/>
        <v>4</v>
      </c>
      <c r="C455" s="2" t="s">
        <v>19</v>
      </c>
      <c r="D455" s="2" t="s">
        <v>666</v>
      </c>
      <c r="E455" s="7">
        <v>29.89</v>
      </c>
      <c r="F455" s="2">
        <v>1</v>
      </c>
      <c r="G455" s="7">
        <v>125.85</v>
      </c>
      <c r="H455" s="2" t="s">
        <v>301</v>
      </c>
      <c r="I455" s="2" t="s">
        <v>15</v>
      </c>
      <c r="J455" s="2" t="s">
        <v>30</v>
      </c>
      <c r="K455" s="2" t="s">
        <v>17</v>
      </c>
      <c r="L455" s="7">
        <f>Table3[[#This Row],[Revenue]]-Table3[[#This Row],[Ad Spend]]</f>
        <v>95.96</v>
      </c>
      <c r="M455" s="11">
        <v>142.01</v>
      </c>
    </row>
    <row r="456" spans="1:13" ht="15.75" customHeight="1" x14ac:dyDescent="0.3">
      <c r="A456" s="4" t="s">
        <v>409</v>
      </c>
      <c r="B456">
        <f t="shared" si="7"/>
        <v>11</v>
      </c>
      <c r="C456" s="2" t="s">
        <v>32</v>
      </c>
      <c r="D456" s="2" t="s">
        <v>789</v>
      </c>
      <c r="E456" s="7">
        <v>46.74</v>
      </c>
      <c r="F456" s="2">
        <v>5</v>
      </c>
      <c r="G456" s="7">
        <v>454.11</v>
      </c>
      <c r="H456" s="2" t="s">
        <v>52</v>
      </c>
      <c r="I456" s="2" t="s">
        <v>35</v>
      </c>
      <c r="J456" s="2" t="s">
        <v>87</v>
      </c>
      <c r="K456" s="2" t="s">
        <v>17</v>
      </c>
      <c r="L456" s="7">
        <f>Table3[[#This Row],[Revenue]]-Table3[[#This Row],[Ad Spend]]</f>
        <v>407.37</v>
      </c>
      <c r="M456" s="11">
        <v>121.79</v>
      </c>
    </row>
    <row r="457" spans="1:13" ht="15.75" customHeight="1" x14ac:dyDescent="0.3">
      <c r="A457" s="4" t="s">
        <v>522</v>
      </c>
      <c r="B457">
        <f t="shared" si="7"/>
        <v>1</v>
      </c>
      <c r="C457" s="2" t="s">
        <v>32</v>
      </c>
      <c r="D457" s="2" t="s">
        <v>790</v>
      </c>
      <c r="E457" s="7">
        <v>113.86</v>
      </c>
      <c r="F457" s="2">
        <v>0</v>
      </c>
      <c r="G457" s="7">
        <v>115.3</v>
      </c>
      <c r="H457" s="2" t="s">
        <v>81</v>
      </c>
      <c r="I457" s="2" t="s">
        <v>35</v>
      </c>
      <c r="J457" s="2" t="s">
        <v>36</v>
      </c>
      <c r="K457" s="2" t="s">
        <v>46</v>
      </c>
      <c r="L457" s="7">
        <f>Table3[[#This Row],[Revenue]]-Table3[[#This Row],[Ad Spend]]</f>
        <v>1.4399999999999977</v>
      </c>
      <c r="M457" s="11">
        <v>125.57</v>
      </c>
    </row>
    <row r="458" spans="1:13" ht="15.75" customHeight="1" x14ac:dyDescent="0.3">
      <c r="A458" s="4" t="s">
        <v>463</v>
      </c>
      <c r="B458">
        <f t="shared" si="7"/>
        <v>3</v>
      </c>
      <c r="C458" s="2" t="s">
        <v>63</v>
      </c>
      <c r="D458" s="2" t="s">
        <v>275</v>
      </c>
      <c r="E458" s="7">
        <v>130.26</v>
      </c>
      <c r="F458" s="2">
        <v>10</v>
      </c>
      <c r="G458" s="7">
        <v>337.75</v>
      </c>
      <c r="H458" s="2" t="s">
        <v>791</v>
      </c>
      <c r="I458" s="2" t="s">
        <v>15</v>
      </c>
      <c r="J458" s="2" t="s">
        <v>25</v>
      </c>
      <c r="K458" s="2" t="s">
        <v>17</v>
      </c>
      <c r="L458" s="7">
        <f>Table3[[#This Row],[Revenue]]-Table3[[#This Row],[Ad Spend]]</f>
        <v>207.49</v>
      </c>
      <c r="M458" s="11">
        <v>159.59</v>
      </c>
    </row>
    <row r="459" spans="1:13" ht="15.75" customHeight="1" x14ac:dyDescent="0.3">
      <c r="A459" s="4" t="s">
        <v>792</v>
      </c>
      <c r="B459">
        <f t="shared" si="7"/>
        <v>2</v>
      </c>
      <c r="C459" s="2" t="s">
        <v>63</v>
      </c>
      <c r="D459" s="2" t="s">
        <v>793</v>
      </c>
      <c r="E459" s="7">
        <v>49.32</v>
      </c>
      <c r="F459" s="2">
        <v>3</v>
      </c>
      <c r="G459" s="7">
        <v>248.27</v>
      </c>
      <c r="H459" s="2" t="s">
        <v>794</v>
      </c>
      <c r="I459" s="2" t="s">
        <v>35</v>
      </c>
      <c r="J459" s="2" t="s">
        <v>30</v>
      </c>
      <c r="K459" s="2" t="s">
        <v>17</v>
      </c>
      <c r="L459" s="7">
        <f>Table3[[#This Row],[Revenue]]-Table3[[#This Row],[Ad Spend]]</f>
        <v>198.95000000000002</v>
      </c>
      <c r="M459" s="11">
        <v>120.56</v>
      </c>
    </row>
    <row r="460" spans="1:13" ht="15.75" customHeight="1" x14ac:dyDescent="0.3">
      <c r="A460" s="4" t="s">
        <v>184</v>
      </c>
      <c r="B460">
        <f t="shared" si="7"/>
        <v>3</v>
      </c>
      <c r="C460" s="2" t="s">
        <v>63</v>
      </c>
      <c r="D460" s="2" t="s">
        <v>795</v>
      </c>
      <c r="E460" s="7">
        <v>42.28</v>
      </c>
      <c r="F460" s="2">
        <v>3</v>
      </c>
      <c r="G460" s="7">
        <v>147.72</v>
      </c>
      <c r="H460" s="2" t="s">
        <v>213</v>
      </c>
      <c r="I460" s="2" t="s">
        <v>15</v>
      </c>
      <c r="J460" s="2" t="s">
        <v>30</v>
      </c>
      <c r="K460" s="2" t="s">
        <v>17</v>
      </c>
      <c r="L460" s="7">
        <f>Table3[[#This Row],[Revenue]]-Table3[[#This Row],[Ad Spend]]</f>
        <v>105.44</v>
      </c>
      <c r="M460" s="11">
        <v>114</v>
      </c>
    </row>
    <row r="461" spans="1:13" ht="15.75" customHeight="1" x14ac:dyDescent="0.3">
      <c r="A461" s="4" t="s">
        <v>238</v>
      </c>
      <c r="B461">
        <f t="shared" si="7"/>
        <v>3</v>
      </c>
      <c r="C461" s="2" t="s">
        <v>32</v>
      </c>
      <c r="D461" s="2" t="s">
        <v>215</v>
      </c>
      <c r="E461" s="7">
        <v>63.86</v>
      </c>
      <c r="F461" s="2">
        <v>2</v>
      </c>
      <c r="G461" s="7">
        <v>403.26</v>
      </c>
      <c r="H461" s="2" t="s">
        <v>289</v>
      </c>
      <c r="I461" s="2" t="s">
        <v>29</v>
      </c>
      <c r="J461" s="2" t="s">
        <v>30</v>
      </c>
      <c r="K461" s="2" t="s">
        <v>17</v>
      </c>
      <c r="L461" s="7">
        <f>Table3[[#This Row],[Revenue]]-Table3[[#This Row],[Ad Spend]]</f>
        <v>339.4</v>
      </c>
      <c r="M461" s="11">
        <v>166.85</v>
      </c>
    </row>
    <row r="462" spans="1:13" ht="15.75" customHeight="1" x14ac:dyDescent="0.3">
      <c r="A462" s="4" t="s">
        <v>696</v>
      </c>
      <c r="B462">
        <f t="shared" si="7"/>
        <v>1</v>
      </c>
      <c r="C462" s="2" t="s">
        <v>12</v>
      </c>
      <c r="D462" s="2" t="s">
        <v>796</v>
      </c>
      <c r="E462" s="7">
        <v>61</v>
      </c>
      <c r="F462" s="2">
        <v>3</v>
      </c>
      <c r="G462" s="7">
        <v>69.61</v>
      </c>
      <c r="H462" s="2" t="s">
        <v>374</v>
      </c>
      <c r="I462" s="2" t="s">
        <v>29</v>
      </c>
      <c r="J462" s="2" t="s">
        <v>16</v>
      </c>
      <c r="K462" s="2" t="s">
        <v>17</v>
      </c>
      <c r="L462" s="7">
        <f>Table3[[#This Row],[Revenue]]-Table3[[#This Row],[Ad Spend]]</f>
        <v>8.61</v>
      </c>
      <c r="M462" s="11">
        <v>124.64</v>
      </c>
    </row>
    <row r="463" spans="1:13" ht="15.75" customHeight="1" x14ac:dyDescent="0.3">
      <c r="A463" s="4" t="s">
        <v>283</v>
      </c>
      <c r="B463">
        <f t="shared" si="7"/>
        <v>11</v>
      </c>
      <c r="C463" s="2" t="s">
        <v>32</v>
      </c>
      <c r="D463" s="2" t="s">
        <v>720</v>
      </c>
      <c r="E463" s="7">
        <v>31.59</v>
      </c>
      <c r="F463" s="2">
        <v>2</v>
      </c>
      <c r="G463" s="7">
        <v>49.37</v>
      </c>
      <c r="H463" s="2" t="s">
        <v>310</v>
      </c>
      <c r="I463" s="2" t="s">
        <v>35</v>
      </c>
      <c r="J463" s="2" t="s">
        <v>30</v>
      </c>
      <c r="K463" s="2" t="s">
        <v>17</v>
      </c>
      <c r="L463" s="7">
        <f>Table3[[#This Row],[Revenue]]-Table3[[#This Row],[Ad Spend]]</f>
        <v>17.779999999999998</v>
      </c>
      <c r="M463" s="11">
        <v>103.36</v>
      </c>
    </row>
    <row r="464" spans="1:13" ht="15.75" customHeight="1" x14ac:dyDescent="0.3">
      <c r="A464" s="4" t="s">
        <v>683</v>
      </c>
      <c r="B464">
        <f t="shared" si="7"/>
        <v>11</v>
      </c>
      <c r="C464" s="2" t="s">
        <v>32</v>
      </c>
      <c r="D464" s="2" t="s">
        <v>797</v>
      </c>
      <c r="E464" s="7">
        <v>40.450000000000003</v>
      </c>
      <c r="F464" s="2">
        <v>2</v>
      </c>
      <c r="G464" s="7">
        <v>334.99</v>
      </c>
      <c r="H464" s="2" t="s">
        <v>24</v>
      </c>
      <c r="I464" s="2" t="s">
        <v>35</v>
      </c>
      <c r="J464" s="2" t="s">
        <v>16</v>
      </c>
      <c r="K464" s="2" t="s">
        <v>17</v>
      </c>
      <c r="L464" s="7">
        <f>Table3[[#This Row],[Revenue]]-Table3[[#This Row],[Ad Spend]]</f>
        <v>294.54000000000002</v>
      </c>
      <c r="M464" s="11">
        <v>135.9</v>
      </c>
    </row>
    <row r="465" spans="1:13" ht="15.75" customHeight="1" x14ac:dyDescent="0.3">
      <c r="A465" s="4" t="s">
        <v>723</v>
      </c>
      <c r="B465">
        <f t="shared" si="7"/>
        <v>12</v>
      </c>
      <c r="C465" s="2" t="s">
        <v>12</v>
      </c>
      <c r="D465" s="2" t="s">
        <v>209</v>
      </c>
      <c r="E465" s="7">
        <v>43.62</v>
      </c>
      <c r="F465" s="2">
        <v>9</v>
      </c>
      <c r="G465" s="7">
        <v>185.97</v>
      </c>
      <c r="H465" s="2" t="s">
        <v>301</v>
      </c>
      <c r="I465" s="2" t="s">
        <v>29</v>
      </c>
      <c r="J465" s="2" t="s">
        <v>30</v>
      </c>
      <c r="K465" s="2" t="s">
        <v>17</v>
      </c>
      <c r="L465" s="7">
        <f>Table3[[#This Row],[Revenue]]-Table3[[#This Row],[Ad Spend]]</f>
        <v>142.35</v>
      </c>
      <c r="M465" s="11">
        <v>143.72</v>
      </c>
    </row>
    <row r="466" spans="1:13" ht="15.75" customHeight="1" x14ac:dyDescent="0.3">
      <c r="A466" s="4" t="s">
        <v>18</v>
      </c>
      <c r="B466">
        <f t="shared" si="7"/>
        <v>3</v>
      </c>
      <c r="C466" s="2" t="s">
        <v>19</v>
      </c>
      <c r="D466" s="2" t="s">
        <v>798</v>
      </c>
      <c r="E466" s="7">
        <v>8.2899999999999991</v>
      </c>
      <c r="F466" s="2">
        <v>4</v>
      </c>
      <c r="G466" s="7">
        <v>73.3</v>
      </c>
      <c r="H466" s="2" t="s">
        <v>147</v>
      </c>
      <c r="I466" s="2" t="s">
        <v>15</v>
      </c>
      <c r="J466" s="2" t="s">
        <v>16</v>
      </c>
      <c r="K466" s="2" t="s">
        <v>17</v>
      </c>
      <c r="L466" s="7">
        <f>Table3[[#This Row],[Revenue]]-Table3[[#This Row],[Ad Spend]]</f>
        <v>65.009999999999991</v>
      </c>
      <c r="M466" s="11">
        <v>144.5</v>
      </c>
    </row>
    <row r="467" spans="1:13" ht="15.75" customHeight="1" x14ac:dyDescent="0.3">
      <c r="A467" s="4" t="s">
        <v>799</v>
      </c>
      <c r="B467">
        <f t="shared" si="7"/>
        <v>1</v>
      </c>
      <c r="C467" s="2" t="s">
        <v>12</v>
      </c>
      <c r="D467" s="2" t="s">
        <v>98</v>
      </c>
      <c r="E467" s="7">
        <v>87.45</v>
      </c>
      <c r="F467" s="2">
        <v>2</v>
      </c>
      <c r="G467" s="7">
        <v>111.73</v>
      </c>
      <c r="H467" s="2" t="s">
        <v>229</v>
      </c>
      <c r="I467" s="2" t="s">
        <v>29</v>
      </c>
      <c r="J467" s="2" t="s">
        <v>16</v>
      </c>
      <c r="K467" s="2" t="s">
        <v>17</v>
      </c>
      <c r="L467" s="7">
        <f>Table3[[#This Row],[Revenue]]-Table3[[#This Row],[Ad Spend]]</f>
        <v>24.28</v>
      </c>
      <c r="M467" s="11">
        <v>91.39</v>
      </c>
    </row>
    <row r="468" spans="1:13" ht="15.75" customHeight="1" x14ac:dyDescent="0.3">
      <c r="A468" s="4" t="s">
        <v>688</v>
      </c>
      <c r="B468">
        <f t="shared" si="7"/>
        <v>3</v>
      </c>
      <c r="C468" s="2" t="s">
        <v>32</v>
      </c>
      <c r="D468" s="2" t="s">
        <v>800</v>
      </c>
      <c r="E468" s="7">
        <v>60.19</v>
      </c>
      <c r="F468" s="2">
        <v>2</v>
      </c>
      <c r="G468" s="7">
        <v>161.07</v>
      </c>
      <c r="H468" s="2" t="s">
        <v>42</v>
      </c>
      <c r="I468" s="2" t="s">
        <v>29</v>
      </c>
      <c r="J468" s="2" t="s">
        <v>53</v>
      </c>
      <c r="K468" s="2" t="s">
        <v>17</v>
      </c>
      <c r="L468" s="7">
        <f>Table3[[#This Row],[Revenue]]-Table3[[#This Row],[Ad Spend]]</f>
        <v>100.88</v>
      </c>
      <c r="M468" s="11">
        <v>116.41</v>
      </c>
    </row>
    <row r="469" spans="1:13" ht="15.75" customHeight="1" x14ac:dyDescent="0.3">
      <c r="A469" s="4" t="s">
        <v>26</v>
      </c>
      <c r="B469">
        <f t="shared" si="7"/>
        <v>12</v>
      </c>
      <c r="C469" s="2" t="s">
        <v>19</v>
      </c>
      <c r="D469" s="2" t="s">
        <v>490</v>
      </c>
      <c r="E469" s="7">
        <v>8.07</v>
      </c>
      <c r="F469" s="2">
        <v>7</v>
      </c>
      <c r="G469" s="7">
        <v>333.3</v>
      </c>
      <c r="H469" s="2" t="s">
        <v>498</v>
      </c>
      <c r="I469" s="2" t="s">
        <v>35</v>
      </c>
      <c r="J469" s="2" t="s">
        <v>30</v>
      </c>
      <c r="K469" s="2" t="s">
        <v>17</v>
      </c>
      <c r="L469" s="7">
        <f>Table3[[#This Row],[Revenue]]-Table3[[#This Row],[Ad Spend]]</f>
        <v>325.23</v>
      </c>
      <c r="M469" s="11">
        <v>103.54</v>
      </c>
    </row>
    <row r="470" spans="1:13" ht="15.75" customHeight="1" x14ac:dyDescent="0.3">
      <c r="A470" s="4" t="s">
        <v>683</v>
      </c>
      <c r="B470">
        <f t="shared" si="7"/>
        <v>11</v>
      </c>
      <c r="C470" s="2" t="s">
        <v>63</v>
      </c>
      <c r="D470" s="2" t="s">
        <v>801</v>
      </c>
      <c r="E470" s="7">
        <v>110.93</v>
      </c>
      <c r="F470" s="2">
        <v>5</v>
      </c>
      <c r="G470" s="7">
        <v>460.77</v>
      </c>
      <c r="H470" s="2" t="s">
        <v>510</v>
      </c>
      <c r="I470" s="2" t="s">
        <v>35</v>
      </c>
      <c r="J470" s="2" t="s">
        <v>30</v>
      </c>
      <c r="K470" s="2" t="s">
        <v>17</v>
      </c>
      <c r="L470" s="7">
        <f>Table3[[#This Row],[Revenue]]-Table3[[#This Row],[Ad Spend]]</f>
        <v>349.84</v>
      </c>
      <c r="M470" s="11">
        <v>153.16999999999999</v>
      </c>
    </row>
    <row r="471" spans="1:13" ht="15.75" customHeight="1" x14ac:dyDescent="0.3">
      <c r="A471" s="4" t="s">
        <v>164</v>
      </c>
      <c r="B471">
        <f t="shared" si="7"/>
        <v>2</v>
      </c>
      <c r="C471" s="2" t="s">
        <v>63</v>
      </c>
      <c r="D471" s="2" t="s">
        <v>802</v>
      </c>
      <c r="E471" s="7">
        <v>75.489999999999995</v>
      </c>
      <c r="F471" s="2">
        <v>10</v>
      </c>
      <c r="G471" s="7">
        <v>63.34</v>
      </c>
      <c r="H471" s="2" t="s">
        <v>803</v>
      </c>
      <c r="I471" s="2" t="s">
        <v>35</v>
      </c>
      <c r="J471" s="2" t="s">
        <v>25</v>
      </c>
      <c r="K471" s="2" t="s">
        <v>17</v>
      </c>
      <c r="L471" s="7">
        <f>Table3[[#This Row],[Revenue]]-Table3[[#This Row],[Ad Spend]]</f>
        <v>-12.149999999999991</v>
      </c>
      <c r="M471" s="11">
        <v>94.39</v>
      </c>
    </row>
    <row r="472" spans="1:13" ht="15.75" customHeight="1" x14ac:dyDescent="0.3">
      <c r="A472" s="4" t="s">
        <v>309</v>
      </c>
      <c r="B472">
        <f t="shared" si="7"/>
        <v>4</v>
      </c>
      <c r="C472" s="2" t="s">
        <v>12</v>
      </c>
      <c r="D472" s="2" t="s">
        <v>633</v>
      </c>
      <c r="E472" s="7">
        <v>144.5</v>
      </c>
      <c r="F472" s="2">
        <v>7</v>
      </c>
      <c r="G472" s="7">
        <v>444.21</v>
      </c>
      <c r="H472" s="2" t="s">
        <v>711</v>
      </c>
      <c r="I472" s="2" t="s">
        <v>35</v>
      </c>
      <c r="J472" s="2" t="s">
        <v>30</v>
      </c>
      <c r="K472" s="2" t="s">
        <v>17</v>
      </c>
      <c r="L472" s="7">
        <f>Table3[[#This Row],[Revenue]]-Table3[[#This Row],[Ad Spend]]</f>
        <v>299.70999999999998</v>
      </c>
      <c r="M472" s="11">
        <v>174.31</v>
      </c>
    </row>
    <row r="473" spans="1:13" ht="15.75" customHeight="1" x14ac:dyDescent="0.3">
      <c r="A473" s="4" t="s">
        <v>136</v>
      </c>
      <c r="B473">
        <f t="shared" si="7"/>
        <v>2</v>
      </c>
      <c r="C473" s="2" t="s">
        <v>19</v>
      </c>
      <c r="D473" s="2" t="s">
        <v>804</v>
      </c>
      <c r="E473" s="7">
        <v>102.32</v>
      </c>
      <c r="F473" s="2">
        <v>8</v>
      </c>
      <c r="G473" s="7">
        <v>109.38</v>
      </c>
      <c r="H473" s="2" t="s">
        <v>379</v>
      </c>
      <c r="I473" s="2" t="s">
        <v>29</v>
      </c>
      <c r="J473" s="2" t="s">
        <v>30</v>
      </c>
      <c r="K473" s="2" t="s">
        <v>17</v>
      </c>
      <c r="L473" s="7">
        <f>Table3[[#This Row],[Revenue]]-Table3[[#This Row],[Ad Spend]]</f>
        <v>7.0600000000000023</v>
      </c>
      <c r="M473" s="11">
        <v>122.5</v>
      </c>
    </row>
    <row r="474" spans="1:13" ht="15.75" customHeight="1" x14ac:dyDescent="0.3">
      <c r="A474" s="4" t="s">
        <v>522</v>
      </c>
      <c r="B474">
        <f t="shared" si="7"/>
        <v>1</v>
      </c>
      <c r="C474" s="2" t="s">
        <v>32</v>
      </c>
      <c r="D474" s="2" t="s">
        <v>805</v>
      </c>
      <c r="E474" s="7">
        <v>23.72</v>
      </c>
      <c r="F474" s="2">
        <v>5</v>
      </c>
      <c r="G474" s="7">
        <v>57.45</v>
      </c>
      <c r="H474" s="2" t="s">
        <v>806</v>
      </c>
      <c r="I474" s="2" t="s">
        <v>29</v>
      </c>
      <c r="J474" s="2" t="s">
        <v>30</v>
      </c>
      <c r="K474" s="2" t="s">
        <v>17</v>
      </c>
      <c r="L474" s="7">
        <f>Table3[[#This Row],[Revenue]]-Table3[[#This Row],[Ad Spend]]</f>
        <v>33.730000000000004</v>
      </c>
      <c r="M474" s="11">
        <v>120.04</v>
      </c>
    </row>
    <row r="475" spans="1:13" ht="15.75" customHeight="1" x14ac:dyDescent="0.3">
      <c r="A475" s="4" t="s">
        <v>387</v>
      </c>
      <c r="B475">
        <f t="shared" si="7"/>
        <v>2</v>
      </c>
      <c r="C475" s="2" t="s">
        <v>63</v>
      </c>
      <c r="D475" s="2" t="s">
        <v>807</v>
      </c>
      <c r="E475" s="7">
        <v>46.79</v>
      </c>
      <c r="F475" s="2">
        <v>5</v>
      </c>
      <c r="G475" s="7">
        <v>451.84</v>
      </c>
      <c r="H475" s="2" t="s">
        <v>279</v>
      </c>
      <c r="I475" s="2" t="s">
        <v>29</v>
      </c>
      <c r="J475" s="2" t="s">
        <v>30</v>
      </c>
      <c r="K475" s="2" t="s">
        <v>17</v>
      </c>
      <c r="L475" s="7">
        <f>Table3[[#This Row],[Revenue]]-Table3[[#This Row],[Ad Spend]]</f>
        <v>405.04999999999995</v>
      </c>
      <c r="M475" s="11">
        <v>127.47</v>
      </c>
    </row>
    <row r="476" spans="1:13" ht="15.75" customHeight="1" x14ac:dyDescent="0.3">
      <c r="A476" s="4" t="s">
        <v>216</v>
      </c>
      <c r="B476">
        <f t="shared" si="7"/>
        <v>2</v>
      </c>
      <c r="C476" s="2" t="s">
        <v>12</v>
      </c>
      <c r="D476" s="2" t="s">
        <v>808</v>
      </c>
      <c r="E476" s="7">
        <v>129.01</v>
      </c>
      <c r="F476" s="2">
        <v>10</v>
      </c>
      <c r="G476" s="7">
        <v>376.6</v>
      </c>
      <c r="H476" s="2" t="s">
        <v>809</v>
      </c>
      <c r="I476" s="2" t="s">
        <v>35</v>
      </c>
      <c r="J476" s="2" t="s">
        <v>25</v>
      </c>
      <c r="K476" s="2" t="s">
        <v>17</v>
      </c>
      <c r="L476" s="7">
        <f>Table3[[#This Row],[Revenue]]-Table3[[#This Row],[Ad Spend]]</f>
        <v>247.59000000000003</v>
      </c>
      <c r="M476" s="11">
        <v>175.04</v>
      </c>
    </row>
    <row r="477" spans="1:13" ht="15.75" customHeight="1" x14ac:dyDescent="0.3">
      <c r="A477" s="4" t="s">
        <v>273</v>
      </c>
      <c r="B477">
        <f t="shared" si="7"/>
        <v>11</v>
      </c>
      <c r="C477" s="2" t="s">
        <v>63</v>
      </c>
      <c r="D477" s="2" t="s">
        <v>810</v>
      </c>
      <c r="E477" s="7">
        <v>111.85</v>
      </c>
      <c r="F477" s="2">
        <v>6</v>
      </c>
      <c r="G477" s="7">
        <v>117.39</v>
      </c>
      <c r="H477" s="2" t="s">
        <v>811</v>
      </c>
      <c r="I477" s="2" t="s">
        <v>35</v>
      </c>
      <c r="J477" s="2" t="s">
        <v>53</v>
      </c>
      <c r="K477" s="2" t="s">
        <v>17</v>
      </c>
      <c r="L477" s="7">
        <f>Table3[[#This Row],[Revenue]]-Table3[[#This Row],[Ad Spend]]</f>
        <v>5.5400000000000063</v>
      </c>
      <c r="M477" s="11">
        <v>150.88</v>
      </c>
    </row>
    <row r="478" spans="1:13" ht="15.75" customHeight="1" x14ac:dyDescent="0.3">
      <c r="A478" s="4" t="s">
        <v>812</v>
      </c>
      <c r="B478">
        <f t="shared" si="7"/>
        <v>12</v>
      </c>
      <c r="C478" s="2" t="s">
        <v>63</v>
      </c>
      <c r="D478" s="2" t="s">
        <v>813</v>
      </c>
      <c r="E478" s="7">
        <v>132.01</v>
      </c>
      <c r="F478" s="2">
        <v>3</v>
      </c>
      <c r="G478" s="7">
        <v>118.82</v>
      </c>
      <c r="H478" s="2" t="s">
        <v>814</v>
      </c>
      <c r="I478" s="2" t="s">
        <v>15</v>
      </c>
      <c r="J478" s="2" t="s">
        <v>25</v>
      </c>
      <c r="K478" s="2" t="s">
        <v>17</v>
      </c>
      <c r="L478" s="7">
        <f>Table3[[#This Row],[Revenue]]-Table3[[#This Row],[Ad Spend]]</f>
        <v>-13.189999999999998</v>
      </c>
      <c r="M478" s="11">
        <v>70.56</v>
      </c>
    </row>
    <row r="479" spans="1:13" ht="15.75" customHeight="1" x14ac:dyDescent="0.3">
      <c r="A479" s="4" t="s">
        <v>133</v>
      </c>
      <c r="B479">
        <f t="shared" si="7"/>
        <v>3</v>
      </c>
      <c r="C479" s="2" t="s">
        <v>12</v>
      </c>
      <c r="D479" s="2" t="s">
        <v>815</v>
      </c>
      <c r="E479" s="7">
        <v>89.16</v>
      </c>
      <c r="F479" s="2">
        <v>8</v>
      </c>
      <c r="G479" s="7">
        <v>327.63</v>
      </c>
      <c r="H479" s="2" t="s">
        <v>132</v>
      </c>
      <c r="I479" s="2" t="s">
        <v>29</v>
      </c>
      <c r="J479" s="2" t="s">
        <v>87</v>
      </c>
      <c r="K479" s="2" t="s">
        <v>17</v>
      </c>
      <c r="L479" s="7">
        <f>Table3[[#This Row],[Revenue]]-Table3[[#This Row],[Ad Spend]]</f>
        <v>238.47</v>
      </c>
      <c r="M479" s="11">
        <v>174.86</v>
      </c>
    </row>
    <row r="480" spans="1:13" ht="15.75" customHeight="1" x14ac:dyDescent="0.3">
      <c r="A480" s="4" t="s">
        <v>755</v>
      </c>
      <c r="B480">
        <f t="shared" si="7"/>
        <v>2</v>
      </c>
      <c r="C480" s="2" t="s">
        <v>12</v>
      </c>
      <c r="D480" s="2" t="s">
        <v>300</v>
      </c>
      <c r="E480" s="7">
        <v>58.83</v>
      </c>
      <c r="F480" s="2">
        <v>10</v>
      </c>
      <c r="G480" s="7">
        <v>333.62</v>
      </c>
      <c r="H480" s="2" t="s">
        <v>816</v>
      </c>
      <c r="I480" s="2" t="s">
        <v>29</v>
      </c>
      <c r="J480" s="2" t="s">
        <v>25</v>
      </c>
      <c r="K480" s="2" t="s">
        <v>17</v>
      </c>
      <c r="L480" s="7">
        <f>Table3[[#This Row],[Revenue]]-Table3[[#This Row],[Ad Spend]]</f>
        <v>274.79000000000002</v>
      </c>
      <c r="M480" s="11">
        <v>169.93</v>
      </c>
    </row>
    <row r="481" spans="1:13" ht="15.75" customHeight="1" x14ac:dyDescent="0.3">
      <c r="A481" s="4" t="s">
        <v>91</v>
      </c>
      <c r="B481">
        <f t="shared" si="7"/>
        <v>3</v>
      </c>
      <c r="C481" s="2" t="s">
        <v>19</v>
      </c>
      <c r="D481" s="2" t="s">
        <v>486</v>
      </c>
      <c r="E481" s="7">
        <v>119.37</v>
      </c>
      <c r="F481" s="2">
        <v>1</v>
      </c>
      <c r="G481" s="7">
        <v>217.91</v>
      </c>
      <c r="H481" s="2" t="s">
        <v>52</v>
      </c>
      <c r="I481" s="2" t="s">
        <v>15</v>
      </c>
      <c r="J481" s="2" t="s">
        <v>16</v>
      </c>
      <c r="K481" s="2" t="s">
        <v>17</v>
      </c>
      <c r="L481" s="7">
        <f>Table3[[#This Row],[Revenue]]-Table3[[#This Row],[Ad Spend]]</f>
        <v>98.539999999999992</v>
      </c>
      <c r="M481" s="11">
        <v>119.59</v>
      </c>
    </row>
    <row r="482" spans="1:13" ht="15.75" customHeight="1" x14ac:dyDescent="0.3">
      <c r="A482" s="4" t="s">
        <v>511</v>
      </c>
      <c r="B482">
        <f t="shared" si="7"/>
        <v>12</v>
      </c>
      <c r="C482" s="2" t="s">
        <v>63</v>
      </c>
      <c r="D482" s="2" t="s">
        <v>817</v>
      </c>
      <c r="E482" s="7">
        <v>10.210000000000001</v>
      </c>
      <c r="F482" s="2">
        <v>7</v>
      </c>
      <c r="G482" s="7">
        <v>304.69</v>
      </c>
      <c r="H482" s="2" t="s">
        <v>818</v>
      </c>
      <c r="I482" s="2" t="s">
        <v>29</v>
      </c>
      <c r="J482" s="2" t="s">
        <v>30</v>
      </c>
      <c r="K482" s="2" t="s">
        <v>17</v>
      </c>
      <c r="L482" s="7">
        <f>Table3[[#This Row],[Revenue]]-Table3[[#This Row],[Ad Spend]]</f>
        <v>294.48</v>
      </c>
      <c r="M482" s="11">
        <v>140.75</v>
      </c>
    </row>
    <row r="483" spans="1:13" ht="15.75" customHeight="1" x14ac:dyDescent="0.3">
      <c r="A483" s="4" t="s">
        <v>320</v>
      </c>
      <c r="B483">
        <f t="shared" si="7"/>
        <v>4</v>
      </c>
      <c r="C483" s="2" t="s">
        <v>19</v>
      </c>
      <c r="D483" s="2" t="s">
        <v>819</v>
      </c>
      <c r="E483" s="7">
        <v>143.51</v>
      </c>
      <c r="F483" s="2">
        <v>7</v>
      </c>
      <c r="G483" s="7">
        <v>179.47</v>
      </c>
      <c r="H483" s="2" t="s">
        <v>744</v>
      </c>
      <c r="I483" s="2" t="s">
        <v>35</v>
      </c>
      <c r="J483" s="2" t="s">
        <v>30</v>
      </c>
      <c r="K483" s="2" t="s">
        <v>17</v>
      </c>
      <c r="L483" s="7">
        <f>Table3[[#This Row],[Revenue]]-Table3[[#This Row],[Ad Spend]]</f>
        <v>35.960000000000008</v>
      </c>
      <c r="M483" s="11">
        <v>127.39</v>
      </c>
    </row>
    <row r="484" spans="1:13" ht="15.75" customHeight="1" x14ac:dyDescent="0.3">
      <c r="A484" s="4" t="s">
        <v>532</v>
      </c>
      <c r="B484">
        <f t="shared" si="7"/>
        <v>2</v>
      </c>
      <c r="C484" s="2" t="s">
        <v>12</v>
      </c>
      <c r="D484" s="2" t="s">
        <v>458</v>
      </c>
      <c r="E484" s="7">
        <v>103.64</v>
      </c>
      <c r="F484" s="2">
        <v>1</v>
      </c>
      <c r="G484" s="7">
        <v>283.69</v>
      </c>
      <c r="H484" s="2" t="s">
        <v>489</v>
      </c>
      <c r="I484" s="2" t="s">
        <v>29</v>
      </c>
      <c r="J484" s="2" t="s">
        <v>87</v>
      </c>
      <c r="K484" s="2" t="s">
        <v>17</v>
      </c>
      <c r="L484" s="7">
        <f>Table3[[#This Row],[Revenue]]-Table3[[#This Row],[Ad Spend]]</f>
        <v>180.05</v>
      </c>
      <c r="M484" s="11">
        <v>150.08000000000001</v>
      </c>
    </row>
    <row r="485" spans="1:13" ht="15.75" customHeight="1" x14ac:dyDescent="0.3">
      <c r="A485" s="4" t="s">
        <v>252</v>
      </c>
      <c r="B485">
        <f t="shared" si="7"/>
        <v>11</v>
      </c>
      <c r="C485" s="2" t="s">
        <v>32</v>
      </c>
      <c r="D485" s="2" t="s">
        <v>396</v>
      </c>
      <c r="E485" s="7">
        <v>107.13</v>
      </c>
      <c r="F485" s="2">
        <v>3</v>
      </c>
      <c r="G485" s="7">
        <v>91.29</v>
      </c>
      <c r="H485" s="2" t="s">
        <v>372</v>
      </c>
      <c r="I485" s="2" t="s">
        <v>35</v>
      </c>
      <c r="J485" s="2" t="s">
        <v>16</v>
      </c>
      <c r="K485" s="2" t="s">
        <v>17</v>
      </c>
      <c r="L485" s="7">
        <f>Table3[[#This Row],[Revenue]]-Table3[[#This Row],[Ad Spend]]</f>
        <v>-15.839999999999989</v>
      </c>
      <c r="M485" s="11">
        <v>119.95</v>
      </c>
    </row>
    <row r="486" spans="1:13" ht="15.75" customHeight="1" x14ac:dyDescent="0.3">
      <c r="A486" s="4" t="s">
        <v>340</v>
      </c>
      <c r="B486">
        <f t="shared" si="7"/>
        <v>11</v>
      </c>
      <c r="C486" s="2" t="s">
        <v>63</v>
      </c>
      <c r="D486" s="2" t="s">
        <v>419</v>
      </c>
      <c r="E486" s="7">
        <v>122.89</v>
      </c>
      <c r="F486" s="2">
        <v>3</v>
      </c>
      <c r="G486" s="7">
        <v>252.48</v>
      </c>
      <c r="H486" s="2" t="s">
        <v>820</v>
      </c>
      <c r="I486" s="2" t="s">
        <v>15</v>
      </c>
      <c r="J486" s="2" t="s">
        <v>25</v>
      </c>
      <c r="K486" s="2" t="s">
        <v>17</v>
      </c>
      <c r="L486" s="7">
        <f>Table3[[#This Row],[Revenue]]-Table3[[#This Row],[Ad Spend]]</f>
        <v>129.58999999999997</v>
      </c>
      <c r="M486" s="11">
        <v>117.87</v>
      </c>
    </row>
    <row r="487" spans="1:13" ht="15.75" customHeight="1" x14ac:dyDescent="0.3">
      <c r="A487" s="4" t="s">
        <v>656</v>
      </c>
      <c r="B487">
        <f t="shared" si="7"/>
        <v>4</v>
      </c>
      <c r="C487" s="2" t="s">
        <v>19</v>
      </c>
      <c r="D487" s="2" t="s">
        <v>762</v>
      </c>
      <c r="E487" s="7">
        <v>21.53</v>
      </c>
      <c r="F487" s="2">
        <v>6</v>
      </c>
      <c r="G487" s="7">
        <v>426.83</v>
      </c>
      <c r="H487" s="2" t="s">
        <v>816</v>
      </c>
      <c r="I487" s="2" t="s">
        <v>35</v>
      </c>
      <c r="J487" s="2" t="s">
        <v>30</v>
      </c>
      <c r="K487" s="2" t="s">
        <v>17</v>
      </c>
      <c r="L487" s="7">
        <f>Table3[[#This Row],[Revenue]]-Table3[[#This Row],[Ad Spend]]</f>
        <v>405.29999999999995</v>
      </c>
      <c r="M487" s="11">
        <v>180.58</v>
      </c>
    </row>
    <row r="488" spans="1:13" ht="15.75" customHeight="1" x14ac:dyDescent="0.3">
      <c r="A488" s="4" t="s">
        <v>115</v>
      </c>
      <c r="B488">
        <f t="shared" si="7"/>
        <v>2</v>
      </c>
      <c r="C488" s="2" t="s">
        <v>63</v>
      </c>
      <c r="D488" s="2" t="s">
        <v>821</v>
      </c>
      <c r="E488" s="7">
        <v>49.72</v>
      </c>
      <c r="F488" s="2">
        <v>5</v>
      </c>
      <c r="G488" s="7">
        <v>44.87</v>
      </c>
      <c r="H488" s="2" t="s">
        <v>822</v>
      </c>
      <c r="I488" s="2" t="s">
        <v>29</v>
      </c>
      <c r="J488" s="2" t="s">
        <v>25</v>
      </c>
      <c r="K488" s="2" t="s">
        <v>17</v>
      </c>
      <c r="L488" s="7">
        <f>Table3[[#This Row],[Revenue]]-Table3[[#This Row],[Ad Spend]]</f>
        <v>-4.8500000000000014</v>
      </c>
      <c r="M488" s="11">
        <v>118.64</v>
      </c>
    </row>
    <row r="489" spans="1:13" ht="15.75" customHeight="1" x14ac:dyDescent="0.3">
      <c r="A489" s="4" t="s">
        <v>428</v>
      </c>
      <c r="B489">
        <f t="shared" si="7"/>
        <v>3</v>
      </c>
      <c r="C489" s="2" t="s">
        <v>19</v>
      </c>
      <c r="D489" s="2" t="s">
        <v>823</v>
      </c>
      <c r="E489" s="7">
        <v>62.63</v>
      </c>
      <c r="F489" s="2">
        <v>10</v>
      </c>
      <c r="G489" s="7">
        <v>121.05</v>
      </c>
      <c r="H489" s="2" t="s">
        <v>28</v>
      </c>
      <c r="I489" s="2" t="s">
        <v>29</v>
      </c>
      <c r="J489" s="2" t="s">
        <v>53</v>
      </c>
      <c r="K489" s="2" t="s">
        <v>17</v>
      </c>
      <c r="L489" s="7">
        <f>Table3[[#This Row],[Revenue]]-Table3[[#This Row],[Ad Spend]]</f>
        <v>58.419999999999995</v>
      </c>
      <c r="M489" s="11">
        <v>134.04</v>
      </c>
    </row>
    <row r="490" spans="1:13" ht="15.75" customHeight="1" x14ac:dyDescent="0.3">
      <c r="A490" s="4" t="s">
        <v>459</v>
      </c>
      <c r="B490">
        <f t="shared" si="7"/>
        <v>4</v>
      </c>
      <c r="C490" s="2" t="s">
        <v>32</v>
      </c>
      <c r="D490" s="2" t="s">
        <v>486</v>
      </c>
      <c r="E490" s="7">
        <v>48.01</v>
      </c>
      <c r="F490" s="2">
        <v>3</v>
      </c>
      <c r="G490" s="7">
        <v>292.39999999999998</v>
      </c>
      <c r="H490" s="2" t="s">
        <v>267</v>
      </c>
      <c r="I490" s="2" t="s">
        <v>35</v>
      </c>
      <c r="J490" s="2" t="s">
        <v>25</v>
      </c>
      <c r="K490" s="2" t="s">
        <v>17</v>
      </c>
      <c r="L490" s="7">
        <f>Table3[[#This Row],[Revenue]]-Table3[[#This Row],[Ad Spend]]</f>
        <v>244.39</v>
      </c>
      <c r="M490" s="11">
        <v>126.39</v>
      </c>
    </row>
    <row r="491" spans="1:13" ht="15.75" customHeight="1" x14ac:dyDescent="0.3">
      <c r="A491" s="4" t="s">
        <v>277</v>
      </c>
      <c r="B491">
        <f t="shared" si="7"/>
        <v>2</v>
      </c>
      <c r="C491" s="2" t="s">
        <v>12</v>
      </c>
      <c r="D491" s="2" t="s">
        <v>824</v>
      </c>
      <c r="E491" s="7">
        <v>29.56</v>
      </c>
      <c r="F491" s="2">
        <v>1</v>
      </c>
      <c r="G491" s="7">
        <v>316.10000000000002</v>
      </c>
      <c r="H491" s="2" t="s">
        <v>310</v>
      </c>
      <c r="I491" s="2" t="s">
        <v>29</v>
      </c>
      <c r="J491" s="2" t="s">
        <v>16</v>
      </c>
      <c r="K491" s="2" t="s">
        <v>17</v>
      </c>
      <c r="L491" s="7">
        <f>Table3[[#This Row],[Revenue]]-Table3[[#This Row],[Ad Spend]]</f>
        <v>286.54000000000002</v>
      </c>
      <c r="M491" s="11">
        <v>102.61</v>
      </c>
    </row>
    <row r="492" spans="1:13" ht="15.75" customHeight="1" x14ac:dyDescent="0.3">
      <c r="A492" s="4" t="s">
        <v>156</v>
      </c>
      <c r="B492">
        <f t="shared" si="7"/>
        <v>12</v>
      </c>
      <c r="C492" s="2" t="s">
        <v>12</v>
      </c>
      <c r="D492" s="2" t="s">
        <v>825</v>
      </c>
      <c r="E492" s="7">
        <v>48.65</v>
      </c>
      <c r="F492" s="2">
        <v>1</v>
      </c>
      <c r="G492" s="7">
        <v>119.3</v>
      </c>
      <c r="H492" s="2" t="s">
        <v>65</v>
      </c>
      <c r="I492" s="2" t="s">
        <v>35</v>
      </c>
      <c r="J492" s="2" t="s">
        <v>30</v>
      </c>
      <c r="K492" s="2" t="s">
        <v>17</v>
      </c>
      <c r="L492" s="7">
        <f>Table3[[#This Row],[Revenue]]-Table3[[#This Row],[Ad Spend]]</f>
        <v>70.650000000000006</v>
      </c>
      <c r="M492" s="11">
        <v>128.53</v>
      </c>
    </row>
    <row r="493" spans="1:13" ht="15.75" customHeight="1" x14ac:dyDescent="0.3">
      <c r="A493" s="4" t="s">
        <v>463</v>
      </c>
      <c r="B493">
        <f t="shared" si="7"/>
        <v>3</v>
      </c>
      <c r="C493" s="2" t="s">
        <v>12</v>
      </c>
      <c r="D493" s="2" t="s">
        <v>826</v>
      </c>
      <c r="E493" s="7">
        <v>143.22999999999999</v>
      </c>
      <c r="F493" s="2">
        <v>10</v>
      </c>
      <c r="G493" s="7">
        <v>73.53</v>
      </c>
      <c r="H493" s="2" t="s">
        <v>827</v>
      </c>
      <c r="I493" s="2" t="s">
        <v>35</v>
      </c>
      <c r="J493" s="2" t="s">
        <v>30</v>
      </c>
      <c r="K493" s="2" t="s">
        <v>17</v>
      </c>
      <c r="L493" s="7">
        <f>Table3[[#This Row],[Revenue]]-Table3[[#This Row],[Ad Spend]]</f>
        <v>-69.699999999999989</v>
      </c>
      <c r="M493" s="11">
        <v>88.7</v>
      </c>
    </row>
    <row r="494" spans="1:13" ht="15.75" customHeight="1" x14ac:dyDescent="0.3">
      <c r="A494" s="4" t="s">
        <v>623</v>
      </c>
      <c r="B494">
        <f t="shared" si="7"/>
        <v>1</v>
      </c>
      <c r="C494" s="2" t="s">
        <v>32</v>
      </c>
      <c r="D494" s="2" t="s">
        <v>828</v>
      </c>
      <c r="E494" s="7">
        <v>74.33</v>
      </c>
      <c r="F494" s="2">
        <v>2</v>
      </c>
      <c r="G494" s="7">
        <v>264.64999999999998</v>
      </c>
      <c r="H494" s="2" t="s">
        <v>829</v>
      </c>
      <c r="I494" s="2" t="s">
        <v>35</v>
      </c>
      <c r="J494" s="2" t="s">
        <v>30</v>
      </c>
      <c r="K494" s="2" t="s">
        <v>17</v>
      </c>
      <c r="L494" s="7">
        <f>Table3[[#This Row],[Revenue]]-Table3[[#This Row],[Ad Spend]]</f>
        <v>190.32</v>
      </c>
      <c r="M494" s="11">
        <v>158.97</v>
      </c>
    </row>
    <row r="495" spans="1:13" ht="15.75" customHeight="1" x14ac:dyDescent="0.3">
      <c r="A495" s="4" t="s">
        <v>438</v>
      </c>
      <c r="B495">
        <f t="shared" si="7"/>
        <v>4</v>
      </c>
      <c r="C495" s="2" t="s">
        <v>63</v>
      </c>
      <c r="D495" s="2" t="s">
        <v>830</v>
      </c>
      <c r="E495" s="7">
        <v>129.78</v>
      </c>
      <c r="F495" s="2">
        <v>6</v>
      </c>
      <c r="G495" s="7">
        <v>22.86</v>
      </c>
      <c r="H495" s="2" t="s">
        <v>831</v>
      </c>
      <c r="I495" s="2" t="s">
        <v>35</v>
      </c>
      <c r="J495" s="2" t="s">
        <v>30</v>
      </c>
      <c r="K495" s="2" t="s">
        <v>17</v>
      </c>
      <c r="L495" s="7">
        <f>Table3[[#This Row],[Revenue]]-Table3[[#This Row],[Ad Spend]]</f>
        <v>-106.92</v>
      </c>
      <c r="M495" s="11">
        <v>80.75</v>
      </c>
    </row>
    <row r="496" spans="1:13" ht="15.75" customHeight="1" x14ac:dyDescent="0.3">
      <c r="A496" s="4" t="s">
        <v>293</v>
      </c>
      <c r="B496">
        <f t="shared" si="7"/>
        <v>11</v>
      </c>
      <c r="C496" s="2" t="s">
        <v>63</v>
      </c>
      <c r="D496" s="2" t="s">
        <v>832</v>
      </c>
      <c r="E496" s="7">
        <v>122.86</v>
      </c>
      <c r="F496" s="2">
        <v>5</v>
      </c>
      <c r="G496" s="7">
        <v>189.61</v>
      </c>
      <c r="H496" s="2" t="s">
        <v>451</v>
      </c>
      <c r="I496" s="2" t="s">
        <v>35</v>
      </c>
      <c r="J496" s="2" t="s">
        <v>30</v>
      </c>
      <c r="K496" s="2" t="s">
        <v>17</v>
      </c>
      <c r="L496" s="7">
        <f>Table3[[#This Row],[Revenue]]-Table3[[#This Row],[Ad Spend]]</f>
        <v>66.750000000000014</v>
      </c>
      <c r="M496" s="11">
        <v>141.05000000000001</v>
      </c>
    </row>
    <row r="497" spans="1:13" ht="15.75" customHeight="1" x14ac:dyDescent="0.3">
      <c r="A497" s="4" t="s">
        <v>283</v>
      </c>
      <c r="B497">
        <f t="shared" si="7"/>
        <v>11</v>
      </c>
      <c r="C497" s="2" t="s">
        <v>12</v>
      </c>
      <c r="D497" s="2" t="s">
        <v>687</v>
      </c>
      <c r="E497" s="7">
        <v>87.82</v>
      </c>
      <c r="F497" s="2">
        <v>4</v>
      </c>
      <c r="G497" s="7">
        <v>360.14</v>
      </c>
      <c r="H497" s="2" t="s">
        <v>833</v>
      </c>
      <c r="I497" s="2" t="s">
        <v>29</v>
      </c>
      <c r="J497" s="2" t="s">
        <v>30</v>
      </c>
      <c r="K497" s="2" t="s">
        <v>17</v>
      </c>
      <c r="L497" s="7">
        <f>Table3[[#This Row],[Revenue]]-Table3[[#This Row],[Ad Spend]]</f>
        <v>272.32</v>
      </c>
      <c r="M497" s="11">
        <v>126.41</v>
      </c>
    </row>
    <row r="498" spans="1:13" ht="15.75" customHeight="1" x14ac:dyDescent="0.3">
      <c r="A498" s="4" t="s">
        <v>834</v>
      </c>
      <c r="B498">
        <f t="shared" si="7"/>
        <v>11</v>
      </c>
      <c r="C498" s="2" t="s">
        <v>12</v>
      </c>
      <c r="D498" s="2" t="s">
        <v>835</v>
      </c>
      <c r="E498" s="7">
        <v>83.09</v>
      </c>
      <c r="F498" s="2">
        <v>3</v>
      </c>
      <c r="G498" s="7">
        <v>108.34</v>
      </c>
      <c r="H498" s="2" t="s">
        <v>347</v>
      </c>
      <c r="I498" s="2" t="s">
        <v>29</v>
      </c>
      <c r="J498" s="2" t="s">
        <v>30</v>
      </c>
      <c r="K498" s="2" t="s">
        <v>17</v>
      </c>
      <c r="L498" s="7">
        <f>Table3[[#This Row],[Revenue]]-Table3[[#This Row],[Ad Spend]]</f>
        <v>25.25</v>
      </c>
      <c r="M498" s="11">
        <v>130.18</v>
      </c>
    </row>
    <row r="499" spans="1:13" ht="15.75" customHeight="1" x14ac:dyDescent="0.3">
      <c r="A499" s="4" t="s">
        <v>799</v>
      </c>
      <c r="B499">
        <f t="shared" si="7"/>
        <v>1</v>
      </c>
      <c r="C499" s="2" t="s">
        <v>32</v>
      </c>
      <c r="D499" s="2" t="s">
        <v>784</v>
      </c>
      <c r="E499" s="7">
        <v>145.9</v>
      </c>
      <c r="F499" s="2">
        <v>3</v>
      </c>
      <c r="G499" s="7">
        <v>431.52</v>
      </c>
      <c r="H499" s="2" t="s">
        <v>695</v>
      </c>
      <c r="I499" s="2" t="s">
        <v>35</v>
      </c>
      <c r="J499" s="2" t="s">
        <v>25</v>
      </c>
      <c r="K499" s="2" t="s">
        <v>17</v>
      </c>
      <c r="L499" s="7">
        <f>Table3[[#This Row],[Revenue]]-Table3[[#This Row],[Ad Spend]]</f>
        <v>285.62</v>
      </c>
      <c r="M499" s="11">
        <v>122.3</v>
      </c>
    </row>
    <row r="500" spans="1:13" ht="15.75" customHeight="1" x14ac:dyDescent="0.3">
      <c r="A500" s="4" t="s">
        <v>552</v>
      </c>
      <c r="B500">
        <f t="shared" si="7"/>
        <v>11</v>
      </c>
      <c r="C500" s="2" t="s">
        <v>19</v>
      </c>
      <c r="D500" s="2" t="s">
        <v>294</v>
      </c>
      <c r="E500" s="7">
        <v>21.88</v>
      </c>
      <c r="F500" s="2">
        <v>9</v>
      </c>
      <c r="G500" s="7">
        <v>346.65</v>
      </c>
      <c r="H500" s="2" t="s">
        <v>498</v>
      </c>
      <c r="I500" s="2" t="s">
        <v>35</v>
      </c>
      <c r="J500" s="2" t="s">
        <v>36</v>
      </c>
      <c r="K500" s="2" t="s">
        <v>17</v>
      </c>
      <c r="L500" s="7">
        <f>Table3[[#This Row],[Revenue]]-Table3[[#This Row],[Ad Spend]]</f>
        <v>324.77</v>
      </c>
      <c r="M500" s="11">
        <v>97.66</v>
      </c>
    </row>
    <row r="501" spans="1:13" ht="15.75" customHeight="1" x14ac:dyDescent="0.3">
      <c r="A501" s="4" t="s">
        <v>277</v>
      </c>
      <c r="B501">
        <f t="shared" si="7"/>
        <v>2</v>
      </c>
      <c r="C501" s="2" t="s">
        <v>32</v>
      </c>
      <c r="D501" s="2" t="s">
        <v>242</v>
      </c>
      <c r="E501" s="7">
        <v>48.61</v>
      </c>
      <c r="F501" s="2">
        <v>5</v>
      </c>
      <c r="G501" s="7">
        <v>290.75</v>
      </c>
      <c r="H501" s="2" t="s">
        <v>229</v>
      </c>
      <c r="I501" s="2" t="s">
        <v>15</v>
      </c>
      <c r="J501" s="2" t="s">
        <v>36</v>
      </c>
      <c r="K501" s="2" t="s">
        <v>17</v>
      </c>
      <c r="L501" s="7">
        <f>Table3[[#This Row],[Revenue]]-Table3[[#This Row],[Ad Spend]]</f>
        <v>242.14</v>
      </c>
      <c r="M501" s="11">
        <v>101.89</v>
      </c>
    </row>
    <row r="502" spans="1:13" ht="15.75" customHeight="1" x14ac:dyDescent="0.3">
      <c r="A502" s="4" t="s">
        <v>836</v>
      </c>
      <c r="B502">
        <f t="shared" si="7"/>
        <v>11</v>
      </c>
      <c r="C502" s="2" t="s">
        <v>63</v>
      </c>
      <c r="D502" s="2" t="s">
        <v>837</v>
      </c>
      <c r="E502" s="7">
        <v>71.09</v>
      </c>
      <c r="F502" s="2">
        <v>5</v>
      </c>
      <c r="G502" s="7">
        <v>120.58</v>
      </c>
      <c r="H502" s="2" t="s">
        <v>838</v>
      </c>
      <c r="I502" s="2" t="s">
        <v>29</v>
      </c>
      <c r="J502" s="2" t="s">
        <v>87</v>
      </c>
      <c r="K502" s="2" t="s">
        <v>17</v>
      </c>
      <c r="L502" s="7">
        <f>Table3[[#This Row],[Revenue]]-Table3[[#This Row],[Ad Spend]]</f>
        <v>49.489999999999995</v>
      </c>
      <c r="M502" s="11">
        <v>114.18</v>
      </c>
    </row>
    <row r="503" spans="1:13" ht="15.75" customHeight="1" x14ac:dyDescent="0.3">
      <c r="A503" s="4" t="s">
        <v>579</v>
      </c>
      <c r="B503">
        <f t="shared" si="7"/>
        <v>1</v>
      </c>
      <c r="C503" s="2" t="s">
        <v>32</v>
      </c>
      <c r="D503" s="2" t="s">
        <v>810</v>
      </c>
      <c r="E503" s="7">
        <v>125.47</v>
      </c>
      <c r="F503" s="2">
        <v>5</v>
      </c>
      <c r="G503" s="7">
        <v>316.83999999999997</v>
      </c>
      <c r="H503" s="2" t="s">
        <v>839</v>
      </c>
      <c r="I503" s="2" t="s">
        <v>15</v>
      </c>
      <c r="J503" s="2" t="s">
        <v>36</v>
      </c>
      <c r="K503" s="2" t="s">
        <v>17</v>
      </c>
      <c r="L503" s="7">
        <f>Table3[[#This Row],[Revenue]]-Table3[[#This Row],[Ad Spend]]</f>
        <v>191.36999999999998</v>
      </c>
      <c r="M503" s="11">
        <v>100.82</v>
      </c>
    </row>
    <row r="504" spans="1:13" ht="15.75" customHeight="1" x14ac:dyDescent="0.3">
      <c r="A504" s="4" t="s">
        <v>511</v>
      </c>
      <c r="B504">
        <f t="shared" si="7"/>
        <v>12</v>
      </c>
      <c r="C504" s="2" t="s">
        <v>63</v>
      </c>
      <c r="D504" s="2" t="s">
        <v>840</v>
      </c>
      <c r="E504" s="7">
        <v>27.26</v>
      </c>
      <c r="F504" s="2">
        <v>10</v>
      </c>
      <c r="G504" s="7">
        <v>38.549999999999997</v>
      </c>
      <c r="H504" s="2" t="s">
        <v>286</v>
      </c>
      <c r="I504" s="2" t="s">
        <v>35</v>
      </c>
      <c r="J504" s="2" t="s">
        <v>53</v>
      </c>
      <c r="K504" s="2" t="s">
        <v>17</v>
      </c>
      <c r="L504" s="7">
        <f>Table3[[#This Row],[Revenue]]-Table3[[#This Row],[Ad Spend]]</f>
        <v>11.289999999999996</v>
      </c>
      <c r="M504" s="11">
        <v>117.22</v>
      </c>
    </row>
    <row r="505" spans="1:13" ht="15.75" customHeight="1" x14ac:dyDescent="0.3">
      <c r="A505" s="4" t="s">
        <v>115</v>
      </c>
      <c r="B505">
        <f t="shared" si="7"/>
        <v>2</v>
      </c>
      <c r="C505" s="2" t="s">
        <v>63</v>
      </c>
      <c r="D505" s="2" t="s">
        <v>841</v>
      </c>
      <c r="E505" s="7">
        <v>133.69</v>
      </c>
      <c r="F505" s="2">
        <v>10</v>
      </c>
      <c r="G505" s="7">
        <v>365.11</v>
      </c>
      <c r="H505" s="2" t="s">
        <v>147</v>
      </c>
      <c r="I505" s="2" t="s">
        <v>35</v>
      </c>
      <c r="J505" s="2" t="s">
        <v>30</v>
      </c>
      <c r="K505" s="2" t="s">
        <v>17</v>
      </c>
      <c r="L505" s="7">
        <f>Table3[[#This Row],[Revenue]]-Table3[[#This Row],[Ad Spend]]</f>
        <v>231.42000000000002</v>
      </c>
      <c r="M505" s="11">
        <v>140.16999999999999</v>
      </c>
    </row>
    <row r="506" spans="1:13" ht="15.75" customHeight="1" x14ac:dyDescent="0.3">
      <c r="A506" s="4" t="s">
        <v>785</v>
      </c>
      <c r="B506">
        <f t="shared" si="7"/>
        <v>1</v>
      </c>
      <c r="C506" s="2" t="s">
        <v>19</v>
      </c>
      <c r="D506" s="2" t="s">
        <v>842</v>
      </c>
      <c r="E506" s="7">
        <v>134.24</v>
      </c>
      <c r="F506" s="2">
        <v>0</v>
      </c>
      <c r="G506" s="7">
        <v>148.68</v>
      </c>
      <c r="H506" s="2" t="s">
        <v>201</v>
      </c>
      <c r="I506" s="2" t="s">
        <v>15</v>
      </c>
      <c r="J506" s="2" t="s">
        <v>30</v>
      </c>
      <c r="K506" s="2" t="s">
        <v>46</v>
      </c>
      <c r="L506" s="7">
        <f>Table3[[#This Row],[Revenue]]-Table3[[#This Row],[Ad Spend]]</f>
        <v>14.439999999999998</v>
      </c>
      <c r="M506" s="11">
        <v>107.99</v>
      </c>
    </row>
    <row r="507" spans="1:13" ht="15.75" customHeight="1" x14ac:dyDescent="0.3">
      <c r="A507" s="4" t="s">
        <v>338</v>
      </c>
      <c r="B507">
        <f t="shared" si="7"/>
        <v>4</v>
      </c>
      <c r="C507" s="2" t="s">
        <v>32</v>
      </c>
      <c r="D507" s="2" t="s">
        <v>435</v>
      </c>
      <c r="E507" s="7">
        <v>96.64</v>
      </c>
      <c r="F507" s="2">
        <v>6</v>
      </c>
      <c r="G507" s="7">
        <v>170.3</v>
      </c>
      <c r="H507" s="2" t="s">
        <v>99</v>
      </c>
      <c r="I507" s="2" t="s">
        <v>29</v>
      </c>
      <c r="J507" s="2" t="s">
        <v>16</v>
      </c>
      <c r="K507" s="2" t="s">
        <v>17</v>
      </c>
      <c r="L507" s="7">
        <f>Table3[[#This Row],[Revenue]]-Table3[[#This Row],[Ad Spend]]</f>
        <v>73.660000000000011</v>
      </c>
      <c r="M507" s="11">
        <v>91.94</v>
      </c>
    </row>
    <row r="508" spans="1:13" ht="15.75" customHeight="1" x14ac:dyDescent="0.3">
      <c r="A508" s="4" t="s">
        <v>843</v>
      </c>
      <c r="B508">
        <f t="shared" si="7"/>
        <v>4</v>
      </c>
      <c r="C508" s="2" t="s">
        <v>32</v>
      </c>
      <c r="D508" s="2" t="s">
        <v>844</v>
      </c>
      <c r="E508" s="7">
        <v>125.52</v>
      </c>
      <c r="F508" s="2">
        <v>1</v>
      </c>
      <c r="G508" s="7">
        <v>187.96</v>
      </c>
      <c r="H508" s="2" t="s">
        <v>372</v>
      </c>
      <c r="I508" s="2" t="s">
        <v>35</v>
      </c>
      <c r="J508" s="2" t="s">
        <v>25</v>
      </c>
      <c r="K508" s="2" t="s">
        <v>17</v>
      </c>
      <c r="L508" s="7">
        <f>Table3[[#This Row],[Revenue]]-Table3[[#This Row],[Ad Spend]]</f>
        <v>62.440000000000012</v>
      </c>
      <c r="M508" s="11">
        <v>120.23</v>
      </c>
    </row>
    <row r="509" spans="1:13" ht="15.75" customHeight="1" x14ac:dyDescent="0.3">
      <c r="A509" s="4" t="s">
        <v>723</v>
      </c>
      <c r="B509">
        <f t="shared" si="7"/>
        <v>12</v>
      </c>
      <c r="C509" s="2" t="s">
        <v>32</v>
      </c>
      <c r="D509" s="2" t="s">
        <v>845</v>
      </c>
      <c r="E509" s="7">
        <v>63.49</v>
      </c>
      <c r="F509" s="2">
        <v>2</v>
      </c>
      <c r="G509" s="7">
        <v>237.55</v>
      </c>
      <c r="H509" s="2" t="s">
        <v>24</v>
      </c>
      <c r="I509" s="2" t="s">
        <v>29</v>
      </c>
      <c r="J509" s="2" t="s">
        <v>30</v>
      </c>
      <c r="K509" s="2" t="s">
        <v>17</v>
      </c>
      <c r="L509" s="7">
        <f>Table3[[#This Row],[Revenue]]-Table3[[#This Row],[Ad Spend]]</f>
        <v>174.06</v>
      </c>
      <c r="M509" s="11">
        <v>136.94999999999999</v>
      </c>
    </row>
    <row r="510" spans="1:13" ht="15.75" customHeight="1" x14ac:dyDescent="0.3">
      <c r="A510" s="4" t="s">
        <v>723</v>
      </c>
      <c r="B510">
        <f t="shared" si="7"/>
        <v>12</v>
      </c>
      <c r="C510" s="2" t="s">
        <v>12</v>
      </c>
      <c r="D510" s="2" t="s">
        <v>846</v>
      </c>
      <c r="E510" s="7">
        <v>66.209999999999994</v>
      </c>
      <c r="F510" s="2">
        <v>5</v>
      </c>
      <c r="G510" s="7">
        <v>449.18</v>
      </c>
      <c r="H510" s="2" t="s">
        <v>847</v>
      </c>
      <c r="I510" s="2" t="s">
        <v>29</v>
      </c>
      <c r="J510" s="2" t="s">
        <v>53</v>
      </c>
      <c r="K510" s="2" t="s">
        <v>17</v>
      </c>
      <c r="L510" s="7">
        <f>Table3[[#This Row],[Revenue]]-Table3[[#This Row],[Ad Spend]]</f>
        <v>382.97</v>
      </c>
      <c r="M510" s="11">
        <v>151.02000000000001</v>
      </c>
    </row>
    <row r="511" spans="1:13" ht="15.75" customHeight="1" x14ac:dyDescent="0.3">
      <c r="A511" s="4" t="s">
        <v>783</v>
      </c>
      <c r="B511">
        <f t="shared" si="7"/>
        <v>1</v>
      </c>
      <c r="C511" s="2" t="s">
        <v>19</v>
      </c>
      <c r="D511" s="2" t="s">
        <v>848</v>
      </c>
      <c r="E511" s="7">
        <v>100.8</v>
      </c>
      <c r="F511" s="2">
        <v>4</v>
      </c>
      <c r="G511" s="7">
        <v>475.6</v>
      </c>
      <c r="H511" s="2" t="s">
        <v>849</v>
      </c>
      <c r="I511" s="2" t="s">
        <v>35</v>
      </c>
      <c r="J511" s="2" t="s">
        <v>25</v>
      </c>
      <c r="K511" s="2" t="s">
        <v>17</v>
      </c>
      <c r="L511" s="7">
        <f>Table3[[#This Row],[Revenue]]-Table3[[#This Row],[Ad Spend]]</f>
        <v>374.8</v>
      </c>
      <c r="M511" s="11">
        <v>219.54</v>
      </c>
    </row>
    <row r="512" spans="1:13" ht="15.75" customHeight="1" x14ac:dyDescent="0.3">
      <c r="A512" s="4" t="s">
        <v>850</v>
      </c>
      <c r="B512">
        <f t="shared" si="7"/>
        <v>11</v>
      </c>
      <c r="C512" s="2" t="s">
        <v>19</v>
      </c>
      <c r="D512" s="2" t="s">
        <v>851</v>
      </c>
      <c r="E512" s="7">
        <v>64.989999999999995</v>
      </c>
      <c r="F512" s="2">
        <v>10</v>
      </c>
      <c r="G512" s="7">
        <v>461.39</v>
      </c>
      <c r="H512" s="2" t="s">
        <v>820</v>
      </c>
      <c r="I512" s="2" t="s">
        <v>35</v>
      </c>
      <c r="J512" s="2" t="s">
        <v>30</v>
      </c>
      <c r="K512" s="2" t="s">
        <v>17</v>
      </c>
      <c r="L512" s="7">
        <f>Table3[[#This Row],[Revenue]]-Table3[[#This Row],[Ad Spend]]</f>
        <v>396.4</v>
      </c>
      <c r="M512" s="11">
        <v>118.07</v>
      </c>
    </row>
    <row r="513" spans="1:13" ht="15.75" customHeight="1" x14ac:dyDescent="0.3">
      <c r="A513" s="4" t="s">
        <v>562</v>
      </c>
      <c r="B513">
        <f t="shared" si="7"/>
        <v>2</v>
      </c>
      <c r="C513" s="2" t="s">
        <v>32</v>
      </c>
      <c r="D513" s="2" t="s">
        <v>197</v>
      </c>
      <c r="E513" s="7">
        <v>48.19</v>
      </c>
      <c r="F513" s="2">
        <v>1</v>
      </c>
      <c r="G513" s="7">
        <v>459.49</v>
      </c>
      <c r="H513" s="2" t="s">
        <v>14</v>
      </c>
      <c r="I513" s="2" t="s">
        <v>15</v>
      </c>
      <c r="J513" s="2" t="s">
        <v>25</v>
      </c>
      <c r="K513" s="2" t="s">
        <v>17</v>
      </c>
      <c r="L513" s="7">
        <f>Table3[[#This Row],[Revenue]]-Table3[[#This Row],[Ad Spend]]</f>
        <v>411.3</v>
      </c>
      <c r="M513" s="11">
        <v>115.58</v>
      </c>
    </row>
    <row r="514" spans="1:13" ht="15.75" customHeight="1" x14ac:dyDescent="0.3">
      <c r="A514" s="4" t="s">
        <v>153</v>
      </c>
      <c r="B514">
        <f t="shared" si="7"/>
        <v>1</v>
      </c>
      <c r="C514" s="2" t="s">
        <v>12</v>
      </c>
      <c r="D514" s="2" t="s">
        <v>746</v>
      </c>
      <c r="E514" s="7">
        <v>49.56</v>
      </c>
      <c r="F514" s="2">
        <v>6</v>
      </c>
      <c r="G514" s="7">
        <v>224.07</v>
      </c>
      <c r="H514" s="2" t="s">
        <v>625</v>
      </c>
      <c r="I514" s="2" t="s">
        <v>29</v>
      </c>
      <c r="J514" s="2" t="s">
        <v>87</v>
      </c>
      <c r="K514" s="2" t="s">
        <v>17</v>
      </c>
      <c r="L514" s="7">
        <f>Table3[[#This Row],[Revenue]]-Table3[[#This Row],[Ad Spend]]</f>
        <v>174.51</v>
      </c>
      <c r="M514" s="11">
        <v>115.45</v>
      </c>
    </row>
    <row r="515" spans="1:13" ht="15.75" customHeight="1" x14ac:dyDescent="0.3">
      <c r="A515" s="4" t="s">
        <v>574</v>
      </c>
      <c r="B515">
        <f t="shared" ref="B515:B578" si="8">MONTH(A515)</f>
        <v>1</v>
      </c>
      <c r="C515" s="2" t="s">
        <v>63</v>
      </c>
      <c r="D515" s="2" t="s">
        <v>852</v>
      </c>
      <c r="E515" s="7">
        <v>93.47</v>
      </c>
      <c r="F515" s="2">
        <v>1</v>
      </c>
      <c r="G515" s="7">
        <v>219.62</v>
      </c>
      <c r="H515" s="2" t="s">
        <v>672</v>
      </c>
      <c r="I515" s="2" t="s">
        <v>15</v>
      </c>
      <c r="J515" s="2" t="s">
        <v>25</v>
      </c>
      <c r="K515" s="2" t="s">
        <v>17</v>
      </c>
      <c r="L515" s="7">
        <f>Table3[[#This Row],[Revenue]]-Table3[[#This Row],[Ad Spend]]</f>
        <v>126.15</v>
      </c>
      <c r="M515" s="11">
        <v>111.31</v>
      </c>
    </row>
    <row r="516" spans="1:13" ht="15.75" customHeight="1" x14ac:dyDescent="0.3">
      <c r="A516" s="4" t="s">
        <v>574</v>
      </c>
      <c r="B516">
        <f t="shared" si="8"/>
        <v>1</v>
      </c>
      <c r="C516" s="2" t="s">
        <v>19</v>
      </c>
      <c r="D516" s="2" t="s">
        <v>853</v>
      </c>
      <c r="E516" s="7">
        <v>115.25</v>
      </c>
      <c r="F516" s="2">
        <v>8</v>
      </c>
      <c r="G516" s="7">
        <v>251.61</v>
      </c>
      <c r="H516" s="2" t="s">
        <v>854</v>
      </c>
      <c r="I516" s="2" t="s">
        <v>15</v>
      </c>
      <c r="J516" s="2" t="s">
        <v>87</v>
      </c>
      <c r="K516" s="2" t="s">
        <v>17</v>
      </c>
      <c r="L516" s="7">
        <f>Table3[[#This Row],[Revenue]]-Table3[[#This Row],[Ad Spend]]</f>
        <v>136.36000000000001</v>
      </c>
      <c r="M516" s="11">
        <v>146.06</v>
      </c>
    </row>
    <row r="517" spans="1:13" ht="15.75" customHeight="1" x14ac:dyDescent="0.3">
      <c r="A517" s="4" t="s">
        <v>643</v>
      </c>
      <c r="B517">
        <f t="shared" si="8"/>
        <v>2</v>
      </c>
      <c r="C517" s="2" t="s">
        <v>63</v>
      </c>
      <c r="D517" s="2" t="s">
        <v>704</v>
      </c>
      <c r="E517" s="7">
        <v>64.78</v>
      </c>
      <c r="F517" s="2">
        <v>2</v>
      </c>
      <c r="G517" s="7">
        <v>63.59</v>
      </c>
      <c r="H517" s="2" t="s">
        <v>49</v>
      </c>
      <c r="I517" s="2" t="s">
        <v>35</v>
      </c>
      <c r="J517" s="2" t="s">
        <v>36</v>
      </c>
      <c r="K517" s="2" t="s">
        <v>17</v>
      </c>
      <c r="L517" s="7">
        <f>Table3[[#This Row],[Revenue]]-Table3[[#This Row],[Ad Spend]]</f>
        <v>-1.1899999999999977</v>
      </c>
      <c r="M517" s="11">
        <v>123</v>
      </c>
    </row>
    <row r="518" spans="1:13" ht="15.75" customHeight="1" x14ac:dyDescent="0.3">
      <c r="A518" s="4" t="s">
        <v>836</v>
      </c>
      <c r="B518">
        <f t="shared" si="8"/>
        <v>11</v>
      </c>
      <c r="C518" s="2" t="s">
        <v>19</v>
      </c>
      <c r="D518" s="2" t="s">
        <v>855</v>
      </c>
      <c r="E518" s="7">
        <v>81.040000000000006</v>
      </c>
      <c r="F518" s="2">
        <v>0</v>
      </c>
      <c r="G518" s="7">
        <v>317.07</v>
      </c>
      <c r="H518" s="2" t="s">
        <v>856</v>
      </c>
      <c r="I518" s="2" t="s">
        <v>29</v>
      </c>
      <c r="J518" s="2" t="s">
        <v>25</v>
      </c>
      <c r="K518" s="2" t="s">
        <v>46</v>
      </c>
      <c r="L518" s="7">
        <f>Table3[[#This Row],[Revenue]]-Table3[[#This Row],[Ad Spend]]</f>
        <v>236.02999999999997</v>
      </c>
      <c r="M518" s="11">
        <v>140.63999999999999</v>
      </c>
    </row>
    <row r="519" spans="1:13" ht="15.75" customHeight="1" x14ac:dyDescent="0.3">
      <c r="A519" s="4" t="s">
        <v>421</v>
      </c>
      <c r="B519">
        <f t="shared" si="8"/>
        <v>11</v>
      </c>
      <c r="C519" s="2" t="s">
        <v>32</v>
      </c>
      <c r="D519" s="2" t="s">
        <v>15</v>
      </c>
      <c r="E519" s="7">
        <v>129.31</v>
      </c>
      <c r="F519" s="2">
        <v>6</v>
      </c>
      <c r="G519" s="7">
        <v>356.68</v>
      </c>
      <c r="H519" s="2" t="s">
        <v>803</v>
      </c>
      <c r="I519" s="2" t="s">
        <v>15</v>
      </c>
      <c r="J519" s="2" t="s">
        <v>16</v>
      </c>
      <c r="K519" s="2" t="s">
        <v>17</v>
      </c>
      <c r="L519" s="7">
        <f>Table3[[#This Row],[Revenue]]-Table3[[#This Row],[Ad Spend]]</f>
        <v>227.37</v>
      </c>
      <c r="M519" s="11">
        <v>92.43</v>
      </c>
    </row>
    <row r="520" spans="1:13" ht="15.75" customHeight="1" x14ac:dyDescent="0.3">
      <c r="A520" s="4" t="s">
        <v>295</v>
      </c>
      <c r="B520">
        <f t="shared" si="8"/>
        <v>12</v>
      </c>
      <c r="C520" s="2" t="s">
        <v>19</v>
      </c>
      <c r="D520" s="2" t="s">
        <v>857</v>
      </c>
      <c r="E520" s="7">
        <v>64.83</v>
      </c>
      <c r="F520" s="2">
        <v>5</v>
      </c>
      <c r="G520" s="7">
        <v>332.85</v>
      </c>
      <c r="H520" s="2" t="s">
        <v>858</v>
      </c>
      <c r="I520" s="2" t="s">
        <v>15</v>
      </c>
      <c r="J520" s="2" t="s">
        <v>53</v>
      </c>
      <c r="K520" s="2" t="s">
        <v>17</v>
      </c>
      <c r="L520" s="7">
        <f>Table3[[#This Row],[Revenue]]-Table3[[#This Row],[Ad Spend]]</f>
        <v>268.02000000000004</v>
      </c>
      <c r="M520" s="11">
        <v>172.29</v>
      </c>
    </row>
    <row r="521" spans="1:13" ht="15.75" customHeight="1" x14ac:dyDescent="0.3">
      <c r="A521" s="4" t="s">
        <v>164</v>
      </c>
      <c r="B521">
        <f t="shared" si="8"/>
        <v>2</v>
      </c>
      <c r="C521" s="2" t="s">
        <v>12</v>
      </c>
      <c r="D521" s="2" t="s">
        <v>859</v>
      </c>
      <c r="E521" s="7">
        <v>68.3</v>
      </c>
      <c r="F521" s="2">
        <v>4</v>
      </c>
      <c r="G521" s="7">
        <v>476.69</v>
      </c>
      <c r="H521" s="2" t="s">
        <v>432</v>
      </c>
      <c r="I521" s="2" t="s">
        <v>35</v>
      </c>
      <c r="J521" s="2" t="s">
        <v>25</v>
      </c>
      <c r="K521" s="2" t="s">
        <v>17</v>
      </c>
      <c r="L521" s="7">
        <f>Table3[[#This Row],[Revenue]]-Table3[[#This Row],[Ad Spend]]</f>
        <v>408.39</v>
      </c>
      <c r="M521" s="11">
        <v>170.37</v>
      </c>
    </row>
    <row r="522" spans="1:13" ht="15.75" customHeight="1" x14ac:dyDescent="0.3">
      <c r="A522" s="4" t="s">
        <v>247</v>
      </c>
      <c r="B522">
        <f t="shared" si="8"/>
        <v>3</v>
      </c>
      <c r="C522" s="2" t="s">
        <v>12</v>
      </c>
      <c r="D522" s="2" t="s">
        <v>563</v>
      </c>
      <c r="E522" s="7">
        <v>91.91</v>
      </c>
      <c r="F522" s="2">
        <v>5</v>
      </c>
      <c r="G522" s="7">
        <v>357.91</v>
      </c>
      <c r="H522" s="2" t="s">
        <v>397</v>
      </c>
      <c r="I522" s="2" t="s">
        <v>15</v>
      </c>
      <c r="J522" s="2" t="s">
        <v>87</v>
      </c>
      <c r="K522" s="2" t="s">
        <v>17</v>
      </c>
      <c r="L522" s="7">
        <f>Table3[[#This Row],[Revenue]]-Table3[[#This Row],[Ad Spend]]</f>
        <v>266</v>
      </c>
      <c r="M522" s="11">
        <v>135.35</v>
      </c>
    </row>
    <row r="523" spans="1:13" ht="15.75" customHeight="1" x14ac:dyDescent="0.3">
      <c r="A523" s="4" t="s">
        <v>409</v>
      </c>
      <c r="B523">
        <f t="shared" si="8"/>
        <v>11</v>
      </c>
      <c r="C523" s="2" t="s">
        <v>32</v>
      </c>
      <c r="D523" s="2" t="s">
        <v>860</v>
      </c>
      <c r="E523" s="7">
        <v>128.63999999999999</v>
      </c>
      <c r="F523" s="2">
        <v>5</v>
      </c>
      <c r="G523" s="7">
        <v>409.92</v>
      </c>
      <c r="H523" s="2" t="s">
        <v>861</v>
      </c>
      <c r="I523" s="2" t="s">
        <v>35</v>
      </c>
      <c r="J523" s="2" t="s">
        <v>87</v>
      </c>
      <c r="K523" s="2" t="s">
        <v>17</v>
      </c>
      <c r="L523" s="7">
        <f>Table3[[#This Row],[Revenue]]-Table3[[#This Row],[Ad Spend]]</f>
        <v>281.28000000000003</v>
      </c>
      <c r="M523" s="11">
        <v>124.48</v>
      </c>
    </row>
    <row r="524" spans="1:13" ht="15.75" customHeight="1" x14ac:dyDescent="0.3">
      <c r="A524" s="4" t="s">
        <v>280</v>
      </c>
      <c r="B524">
        <f t="shared" si="8"/>
        <v>2</v>
      </c>
      <c r="C524" s="2" t="s">
        <v>12</v>
      </c>
      <c r="D524" s="2" t="s">
        <v>486</v>
      </c>
      <c r="E524" s="7">
        <v>119.45</v>
      </c>
      <c r="F524" s="2">
        <v>1</v>
      </c>
      <c r="G524" s="7">
        <v>419.14</v>
      </c>
      <c r="H524" s="2" t="s">
        <v>529</v>
      </c>
      <c r="I524" s="2" t="s">
        <v>35</v>
      </c>
      <c r="J524" s="2" t="s">
        <v>30</v>
      </c>
      <c r="K524" s="2" t="s">
        <v>17</v>
      </c>
      <c r="L524" s="7">
        <f>Table3[[#This Row],[Revenue]]-Table3[[#This Row],[Ad Spend]]</f>
        <v>299.69</v>
      </c>
      <c r="M524" s="11">
        <v>145.5</v>
      </c>
    </row>
    <row r="525" spans="1:13" ht="15.75" customHeight="1" x14ac:dyDescent="0.3">
      <c r="A525" s="4" t="s">
        <v>189</v>
      </c>
      <c r="B525">
        <f t="shared" si="8"/>
        <v>2</v>
      </c>
      <c r="C525" s="2" t="s">
        <v>19</v>
      </c>
      <c r="D525" s="2" t="s">
        <v>862</v>
      </c>
      <c r="E525" s="7">
        <v>91.7</v>
      </c>
      <c r="F525" s="2">
        <v>4</v>
      </c>
      <c r="G525" s="7">
        <v>450.84</v>
      </c>
      <c r="H525" s="2" t="s">
        <v>24</v>
      </c>
      <c r="I525" s="2" t="s">
        <v>29</v>
      </c>
      <c r="J525" s="2" t="s">
        <v>25</v>
      </c>
      <c r="K525" s="2" t="s">
        <v>17</v>
      </c>
      <c r="L525" s="7">
        <f>Table3[[#This Row],[Revenue]]-Table3[[#This Row],[Ad Spend]]</f>
        <v>359.14</v>
      </c>
      <c r="M525" s="11">
        <v>143.78</v>
      </c>
    </row>
    <row r="526" spans="1:13" ht="15.75" customHeight="1" x14ac:dyDescent="0.3">
      <c r="A526" s="4" t="s">
        <v>438</v>
      </c>
      <c r="B526">
        <f t="shared" si="8"/>
        <v>4</v>
      </c>
      <c r="C526" s="2" t="s">
        <v>63</v>
      </c>
      <c r="D526" s="2" t="s">
        <v>863</v>
      </c>
      <c r="E526" s="7">
        <v>28.71</v>
      </c>
      <c r="F526" s="2">
        <v>5</v>
      </c>
      <c r="G526" s="7">
        <v>213.58</v>
      </c>
      <c r="H526" s="2" t="s">
        <v>864</v>
      </c>
      <c r="I526" s="2" t="s">
        <v>15</v>
      </c>
      <c r="J526" s="2" t="s">
        <v>87</v>
      </c>
      <c r="K526" s="2" t="s">
        <v>17</v>
      </c>
      <c r="L526" s="7">
        <f>Table3[[#This Row],[Revenue]]-Table3[[#This Row],[Ad Spend]]</f>
        <v>184.87</v>
      </c>
      <c r="M526" s="11">
        <v>150.58000000000001</v>
      </c>
    </row>
    <row r="527" spans="1:13" ht="15.75" customHeight="1" x14ac:dyDescent="0.3">
      <c r="A527" s="4" t="s">
        <v>673</v>
      </c>
      <c r="B527">
        <f t="shared" si="8"/>
        <v>12</v>
      </c>
      <c r="C527" s="2" t="s">
        <v>32</v>
      </c>
      <c r="D527" s="2" t="s">
        <v>865</v>
      </c>
      <c r="E527" s="7">
        <v>41.16</v>
      </c>
      <c r="F527" s="2">
        <v>3</v>
      </c>
      <c r="G527" s="7">
        <v>303.89</v>
      </c>
      <c r="H527" s="2" t="s">
        <v>866</v>
      </c>
      <c r="I527" s="2" t="s">
        <v>15</v>
      </c>
      <c r="J527" s="2" t="s">
        <v>36</v>
      </c>
      <c r="K527" s="2" t="s">
        <v>17</v>
      </c>
      <c r="L527" s="7">
        <f>Table3[[#This Row],[Revenue]]-Table3[[#This Row],[Ad Spend]]</f>
        <v>262.73</v>
      </c>
      <c r="M527" s="11">
        <v>130.84</v>
      </c>
    </row>
    <row r="528" spans="1:13" ht="15.75" customHeight="1" x14ac:dyDescent="0.3">
      <c r="A528" s="4" t="s">
        <v>353</v>
      </c>
      <c r="B528">
        <f t="shared" si="8"/>
        <v>1</v>
      </c>
      <c r="C528" s="2" t="s">
        <v>12</v>
      </c>
      <c r="D528" s="2" t="s">
        <v>407</v>
      </c>
      <c r="E528" s="7">
        <v>121.05</v>
      </c>
      <c r="F528" s="2">
        <v>1</v>
      </c>
      <c r="G528" s="7">
        <v>119.74</v>
      </c>
      <c r="H528" s="2" t="s">
        <v>489</v>
      </c>
      <c r="I528" s="2" t="s">
        <v>29</v>
      </c>
      <c r="J528" s="2" t="s">
        <v>36</v>
      </c>
      <c r="K528" s="2" t="s">
        <v>17</v>
      </c>
      <c r="L528" s="7">
        <f>Table3[[#This Row],[Revenue]]-Table3[[#This Row],[Ad Spend]]</f>
        <v>-1.3100000000000023</v>
      </c>
      <c r="M528" s="11">
        <v>145.47999999999999</v>
      </c>
    </row>
    <row r="529" spans="1:13" ht="15.75" customHeight="1" x14ac:dyDescent="0.3">
      <c r="A529" s="4" t="s">
        <v>322</v>
      </c>
      <c r="B529">
        <f t="shared" si="8"/>
        <v>11</v>
      </c>
      <c r="C529" s="2" t="s">
        <v>63</v>
      </c>
      <c r="D529" s="2" t="s">
        <v>435</v>
      </c>
      <c r="E529" s="7">
        <v>101.65</v>
      </c>
      <c r="F529" s="2">
        <v>2</v>
      </c>
      <c r="G529" s="7">
        <v>453.42</v>
      </c>
      <c r="H529" s="2" t="s">
        <v>28</v>
      </c>
      <c r="I529" s="2" t="s">
        <v>35</v>
      </c>
      <c r="J529" s="2" t="s">
        <v>25</v>
      </c>
      <c r="K529" s="2" t="s">
        <v>17</v>
      </c>
      <c r="L529" s="7">
        <f>Table3[[#This Row],[Revenue]]-Table3[[#This Row],[Ad Spend]]</f>
        <v>351.77</v>
      </c>
      <c r="M529" s="11">
        <v>140.84</v>
      </c>
    </row>
    <row r="530" spans="1:13" ht="15.75" customHeight="1" x14ac:dyDescent="0.3">
      <c r="A530" s="4" t="s">
        <v>496</v>
      </c>
      <c r="B530">
        <f t="shared" si="8"/>
        <v>1</v>
      </c>
      <c r="C530" s="2" t="s">
        <v>32</v>
      </c>
      <c r="D530" s="2" t="s">
        <v>867</v>
      </c>
      <c r="E530" s="7">
        <v>91.58</v>
      </c>
      <c r="F530" s="2">
        <v>10</v>
      </c>
      <c r="G530" s="7">
        <v>403.63</v>
      </c>
      <c r="H530" s="2" t="s">
        <v>61</v>
      </c>
      <c r="I530" s="2" t="s">
        <v>29</v>
      </c>
      <c r="J530" s="2" t="s">
        <v>30</v>
      </c>
      <c r="K530" s="2" t="s">
        <v>17</v>
      </c>
      <c r="L530" s="7">
        <f>Table3[[#This Row],[Revenue]]-Table3[[#This Row],[Ad Spend]]</f>
        <v>312.05</v>
      </c>
      <c r="M530" s="11">
        <v>142.15</v>
      </c>
    </row>
    <row r="531" spans="1:13" ht="15.75" customHeight="1" x14ac:dyDescent="0.3">
      <c r="A531" s="4" t="s">
        <v>522</v>
      </c>
      <c r="B531">
        <f t="shared" si="8"/>
        <v>1</v>
      </c>
      <c r="C531" s="2" t="s">
        <v>12</v>
      </c>
      <c r="D531" s="2" t="s">
        <v>572</v>
      </c>
      <c r="E531" s="7">
        <v>124.18</v>
      </c>
      <c r="F531" s="2">
        <v>0</v>
      </c>
      <c r="G531" s="7">
        <v>480.1</v>
      </c>
      <c r="H531" s="2" t="s">
        <v>225</v>
      </c>
      <c r="I531" s="2" t="s">
        <v>15</v>
      </c>
      <c r="J531" s="2" t="s">
        <v>25</v>
      </c>
      <c r="K531" s="2" t="s">
        <v>46</v>
      </c>
      <c r="L531" s="7">
        <f>Table3[[#This Row],[Revenue]]-Table3[[#This Row],[Ad Spend]]</f>
        <v>355.92</v>
      </c>
      <c r="M531" s="11">
        <v>122.68</v>
      </c>
    </row>
    <row r="532" spans="1:13" ht="15.75" customHeight="1" x14ac:dyDescent="0.3">
      <c r="A532" s="4" t="s">
        <v>463</v>
      </c>
      <c r="B532">
        <f t="shared" si="8"/>
        <v>3</v>
      </c>
      <c r="C532" s="2" t="s">
        <v>32</v>
      </c>
      <c r="D532" s="2" t="s">
        <v>868</v>
      </c>
      <c r="E532" s="7">
        <v>112.75</v>
      </c>
      <c r="F532" s="2">
        <v>7</v>
      </c>
      <c r="G532" s="7">
        <v>211.18</v>
      </c>
      <c r="H532" s="2" t="s">
        <v>469</v>
      </c>
      <c r="I532" s="2" t="s">
        <v>29</v>
      </c>
      <c r="J532" s="2" t="s">
        <v>25</v>
      </c>
      <c r="K532" s="2" t="s">
        <v>17</v>
      </c>
      <c r="L532" s="7">
        <f>Table3[[#This Row],[Revenue]]-Table3[[#This Row],[Ad Spend]]</f>
        <v>98.43</v>
      </c>
      <c r="M532" s="11">
        <v>114.82</v>
      </c>
    </row>
    <row r="533" spans="1:13" ht="15.75" customHeight="1" x14ac:dyDescent="0.3">
      <c r="A533" s="4" t="s">
        <v>448</v>
      </c>
      <c r="B533">
        <f t="shared" si="8"/>
        <v>12</v>
      </c>
      <c r="C533" s="2" t="s">
        <v>12</v>
      </c>
      <c r="D533" s="2" t="s">
        <v>869</v>
      </c>
      <c r="E533" s="7">
        <v>107.49</v>
      </c>
      <c r="F533" s="2">
        <v>6</v>
      </c>
      <c r="G533" s="7">
        <v>231.74</v>
      </c>
      <c r="H533" s="2" t="s">
        <v>781</v>
      </c>
      <c r="I533" s="2" t="s">
        <v>29</v>
      </c>
      <c r="J533" s="2" t="s">
        <v>16</v>
      </c>
      <c r="K533" s="2" t="s">
        <v>17</v>
      </c>
      <c r="L533" s="7">
        <f>Table3[[#This Row],[Revenue]]-Table3[[#This Row],[Ad Spend]]</f>
        <v>124.25000000000001</v>
      </c>
      <c r="M533" s="11">
        <v>108.21</v>
      </c>
    </row>
    <row r="534" spans="1:13" ht="15.75" customHeight="1" x14ac:dyDescent="0.3">
      <c r="A534" s="4" t="s">
        <v>404</v>
      </c>
      <c r="B534">
        <f t="shared" si="8"/>
        <v>3</v>
      </c>
      <c r="C534" s="2" t="s">
        <v>19</v>
      </c>
      <c r="D534" s="2" t="s">
        <v>857</v>
      </c>
      <c r="E534" s="7">
        <v>91.42</v>
      </c>
      <c r="F534" s="2">
        <v>7</v>
      </c>
      <c r="G534" s="7">
        <v>43.45</v>
      </c>
      <c r="H534" s="2" t="s">
        <v>61</v>
      </c>
      <c r="I534" s="2" t="s">
        <v>35</v>
      </c>
      <c r="J534" s="2" t="s">
        <v>25</v>
      </c>
      <c r="K534" s="2" t="s">
        <v>17</v>
      </c>
      <c r="L534" s="7">
        <f>Table3[[#This Row],[Revenue]]-Table3[[#This Row],[Ad Spend]]</f>
        <v>-47.97</v>
      </c>
      <c r="M534" s="11">
        <v>143.38</v>
      </c>
    </row>
    <row r="535" spans="1:13" ht="15.75" customHeight="1" x14ac:dyDescent="0.3">
      <c r="A535" s="4" t="s">
        <v>202</v>
      </c>
      <c r="B535">
        <f t="shared" si="8"/>
        <v>3</v>
      </c>
      <c r="C535" s="2" t="s">
        <v>19</v>
      </c>
      <c r="D535" s="2" t="s">
        <v>870</v>
      </c>
      <c r="E535" s="7">
        <v>61.47</v>
      </c>
      <c r="F535" s="2">
        <v>2</v>
      </c>
      <c r="G535" s="7">
        <v>189.06</v>
      </c>
      <c r="H535" s="2" t="s">
        <v>401</v>
      </c>
      <c r="I535" s="2" t="s">
        <v>29</v>
      </c>
      <c r="J535" s="2" t="s">
        <v>36</v>
      </c>
      <c r="K535" s="2" t="s">
        <v>17</v>
      </c>
      <c r="L535" s="7">
        <f>Table3[[#This Row],[Revenue]]-Table3[[#This Row],[Ad Spend]]</f>
        <v>127.59</v>
      </c>
      <c r="M535" s="11">
        <v>141.11000000000001</v>
      </c>
    </row>
    <row r="536" spans="1:13" ht="15.75" customHeight="1" x14ac:dyDescent="0.3">
      <c r="A536" s="4" t="s">
        <v>269</v>
      </c>
      <c r="B536">
        <f t="shared" si="8"/>
        <v>12</v>
      </c>
      <c r="C536" s="2" t="s">
        <v>63</v>
      </c>
      <c r="D536" s="2" t="s">
        <v>195</v>
      </c>
      <c r="E536" s="7">
        <v>21.24</v>
      </c>
      <c r="F536" s="2">
        <v>1</v>
      </c>
      <c r="G536" s="7">
        <v>396.24</v>
      </c>
      <c r="H536" s="2" t="s">
        <v>871</v>
      </c>
      <c r="I536" s="2" t="s">
        <v>29</v>
      </c>
      <c r="J536" s="2" t="s">
        <v>87</v>
      </c>
      <c r="K536" s="2" t="s">
        <v>17</v>
      </c>
      <c r="L536" s="7">
        <f>Table3[[#This Row],[Revenue]]-Table3[[#This Row],[Ad Spend]]</f>
        <v>375</v>
      </c>
      <c r="M536" s="11">
        <v>178.31</v>
      </c>
    </row>
    <row r="537" spans="1:13" ht="15.75" customHeight="1" x14ac:dyDescent="0.3">
      <c r="A537" s="4" t="s">
        <v>164</v>
      </c>
      <c r="B537">
        <f t="shared" si="8"/>
        <v>2</v>
      </c>
      <c r="C537" s="2" t="s">
        <v>32</v>
      </c>
      <c r="D537" s="2" t="s">
        <v>872</v>
      </c>
      <c r="E537" s="7">
        <v>131.29</v>
      </c>
      <c r="F537" s="2">
        <v>5</v>
      </c>
      <c r="G537" s="7">
        <v>142.52000000000001</v>
      </c>
      <c r="H537" s="2" t="s">
        <v>158</v>
      </c>
      <c r="I537" s="2" t="s">
        <v>35</v>
      </c>
      <c r="J537" s="2" t="s">
        <v>25</v>
      </c>
      <c r="K537" s="2" t="s">
        <v>17</v>
      </c>
      <c r="L537" s="7">
        <f>Table3[[#This Row],[Revenue]]-Table3[[#This Row],[Ad Spend]]</f>
        <v>11.230000000000018</v>
      </c>
      <c r="M537" s="11">
        <v>125.56</v>
      </c>
    </row>
    <row r="538" spans="1:13" ht="15.75" customHeight="1" x14ac:dyDescent="0.3">
      <c r="A538" s="4" t="s">
        <v>527</v>
      </c>
      <c r="B538">
        <f t="shared" si="8"/>
        <v>1</v>
      </c>
      <c r="C538" s="2" t="s">
        <v>19</v>
      </c>
      <c r="D538" s="2" t="s">
        <v>682</v>
      </c>
      <c r="E538" s="7">
        <v>44.07</v>
      </c>
      <c r="F538" s="2">
        <v>4</v>
      </c>
      <c r="G538" s="7">
        <v>260.62</v>
      </c>
      <c r="H538" s="2" t="s">
        <v>447</v>
      </c>
      <c r="I538" s="2" t="s">
        <v>29</v>
      </c>
      <c r="J538" s="2" t="s">
        <v>36</v>
      </c>
      <c r="K538" s="2" t="s">
        <v>17</v>
      </c>
      <c r="L538" s="7">
        <f>Table3[[#This Row],[Revenue]]-Table3[[#This Row],[Ad Spend]]</f>
        <v>216.55</v>
      </c>
      <c r="M538" s="11">
        <v>163.4</v>
      </c>
    </row>
    <row r="539" spans="1:13" ht="15.75" customHeight="1" x14ac:dyDescent="0.3">
      <c r="A539" s="4" t="s">
        <v>108</v>
      </c>
      <c r="B539">
        <f t="shared" si="8"/>
        <v>3</v>
      </c>
      <c r="C539" s="2" t="s">
        <v>32</v>
      </c>
      <c r="D539" s="2" t="s">
        <v>873</v>
      </c>
      <c r="E539" s="7">
        <v>147.06</v>
      </c>
      <c r="F539" s="2">
        <v>4</v>
      </c>
      <c r="G539" s="7">
        <v>103.18</v>
      </c>
      <c r="H539" s="2" t="s">
        <v>474</v>
      </c>
      <c r="I539" s="2" t="s">
        <v>29</v>
      </c>
      <c r="J539" s="2" t="s">
        <v>25</v>
      </c>
      <c r="K539" s="2" t="s">
        <v>17</v>
      </c>
      <c r="L539" s="7">
        <f>Table3[[#This Row],[Revenue]]-Table3[[#This Row],[Ad Spend]]</f>
        <v>-43.879999999999995</v>
      </c>
      <c r="M539" s="11">
        <v>108.24</v>
      </c>
    </row>
    <row r="540" spans="1:13" ht="15.75" customHeight="1" x14ac:dyDescent="0.3">
      <c r="A540" s="4" t="s">
        <v>673</v>
      </c>
      <c r="B540">
        <f t="shared" si="8"/>
        <v>12</v>
      </c>
      <c r="C540" s="2" t="s">
        <v>19</v>
      </c>
      <c r="D540" s="2" t="s">
        <v>874</v>
      </c>
      <c r="E540" s="7">
        <v>114.63</v>
      </c>
      <c r="F540" s="2">
        <v>2</v>
      </c>
      <c r="G540" s="7">
        <v>294.69</v>
      </c>
      <c r="H540" s="2" t="s">
        <v>279</v>
      </c>
      <c r="I540" s="2" t="s">
        <v>15</v>
      </c>
      <c r="J540" s="2" t="s">
        <v>30</v>
      </c>
      <c r="K540" s="2" t="s">
        <v>17</v>
      </c>
      <c r="L540" s="7">
        <f>Table3[[#This Row],[Revenue]]-Table3[[#This Row],[Ad Spend]]</f>
        <v>180.06</v>
      </c>
      <c r="M540" s="11">
        <v>133.63999999999999</v>
      </c>
    </row>
    <row r="541" spans="1:13" ht="15.75" customHeight="1" x14ac:dyDescent="0.3">
      <c r="A541" s="4" t="s">
        <v>875</v>
      </c>
      <c r="B541">
        <f t="shared" si="8"/>
        <v>12</v>
      </c>
      <c r="C541" s="2" t="s">
        <v>19</v>
      </c>
      <c r="D541" s="2" t="s">
        <v>318</v>
      </c>
      <c r="E541" s="7">
        <v>56.93</v>
      </c>
      <c r="F541" s="2">
        <v>6</v>
      </c>
      <c r="G541" s="7">
        <v>393.37</v>
      </c>
      <c r="H541" s="2" t="s">
        <v>186</v>
      </c>
      <c r="I541" s="2" t="s">
        <v>15</v>
      </c>
      <c r="J541" s="2" t="s">
        <v>36</v>
      </c>
      <c r="K541" s="2" t="s">
        <v>17</v>
      </c>
      <c r="L541" s="7">
        <f>Table3[[#This Row],[Revenue]]-Table3[[#This Row],[Ad Spend]]</f>
        <v>336.44</v>
      </c>
      <c r="M541" s="11">
        <v>121.1</v>
      </c>
    </row>
    <row r="542" spans="1:13" ht="15.75" customHeight="1" x14ac:dyDescent="0.3">
      <c r="A542" s="4" t="s">
        <v>527</v>
      </c>
      <c r="B542">
        <f t="shared" si="8"/>
        <v>1</v>
      </c>
      <c r="C542" s="2" t="s">
        <v>12</v>
      </c>
      <c r="D542" s="2" t="s">
        <v>737</v>
      </c>
      <c r="E542" s="7">
        <v>114.47</v>
      </c>
      <c r="F542" s="2">
        <v>0</v>
      </c>
      <c r="G542" s="7">
        <v>59.18</v>
      </c>
      <c r="H542" s="2" t="s">
        <v>876</v>
      </c>
      <c r="I542" s="2" t="s">
        <v>15</v>
      </c>
      <c r="J542" s="2" t="s">
        <v>36</v>
      </c>
      <c r="K542" s="2" t="s">
        <v>46</v>
      </c>
      <c r="L542" s="7">
        <f>Table3[[#This Row],[Revenue]]-Table3[[#This Row],[Ad Spend]]</f>
        <v>-55.29</v>
      </c>
      <c r="M542" s="11">
        <v>121.78</v>
      </c>
    </row>
    <row r="543" spans="1:13" ht="15.75" customHeight="1" x14ac:dyDescent="0.3">
      <c r="A543" s="4" t="s">
        <v>723</v>
      </c>
      <c r="B543">
        <f t="shared" si="8"/>
        <v>12</v>
      </c>
      <c r="C543" s="2" t="s">
        <v>32</v>
      </c>
      <c r="D543" s="2" t="s">
        <v>760</v>
      </c>
      <c r="E543" s="7">
        <v>116.25</v>
      </c>
      <c r="F543" s="2">
        <v>1</v>
      </c>
      <c r="G543" s="7">
        <v>205.68</v>
      </c>
      <c r="H543" s="2" t="s">
        <v>96</v>
      </c>
      <c r="I543" s="2" t="s">
        <v>35</v>
      </c>
      <c r="J543" s="2" t="s">
        <v>16</v>
      </c>
      <c r="K543" s="2" t="s">
        <v>17</v>
      </c>
      <c r="L543" s="7">
        <f>Table3[[#This Row],[Revenue]]-Table3[[#This Row],[Ad Spend]]</f>
        <v>89.43</v>
      </c>
      <c r="M543" s="11">
        <v>136.16999999999999</v>
      </c>
    </row>
    <row r="544" spans="1:13" ht="15.75" customHeight="1" x14ac:dyDescent="0.3">
      <c r="A544" s="4" t="s">
        <v>850</v>
      </c>
      <c r="B544">
        <f t="shared" si="8"/>
        <v>11</v>
      </c>
      <c r="C544" s="2" t="s">
        <v>32</v>
      </c>
      <c r="D544" s="2" t="s">
        <v>877</v>
      </c>
      <c r="E544" s="7">
        <v>78.11</v>
      </c>
      <c r="F544" s="2">
        <v>4</v>
      </c>
      <c r="G544" s="7">
        <v>228.55</v>
      </c>
      <c r="H544" s="2" t="s">
        <v>104</v>
      </c>
      <c r="I544" s="2" t="s">
        <v>15</v>
      </c>
      <c r="J544" s="2" t="s">
        <v>87</v>
      </c>
      <c r="K544" s="2" t="s">
        <v>17</v>
      </c>
      <c r="L544" s="7">
        <f>Table3[[#This Row],[Revenue]]-Table3[[#This Row],[Ad Spend]]</f>
        <v>150.44</v>
      </c>
      <c r="M544" s="11">
        <v>124.11</v>
      </c>
    </row>
    <row r="545" spans="1:13" ht="15.75" customHeight="1" x14ac:dyDescent="0.3">
      <c r="A545" s="4" t="s">
        <v>589</v>
      </c>
      <c r="B545">
        <f t="shared" si="8"/>
        <v>12</v>
      </c>
      <c r="C545" s="2" t="s">
        <v>12</v>
      </c>
      <c r="D545" s="2" t="s">
        <v>878</v>
      </c>
      <c r="E545" s="7">
        <v>123.69</v>
      </c>
      <c r="F545" s="2">
        <v>8</v>
      </c>
      <c r="G545" s="7">
        <v>328.53</v>
      </c>
      <c r="H545" s="2" t="s">
        <v>879</v>
      </c>
      <c r="I545" s="2" t="s">
        <v>15</v>
      </c>
      <c r="J545" s="2" t="s">
        <v>25</v>
      </c>
      <c r="K545" s="2" t="s">
        <v>17</v>
      </c>
      <c r="L545" s="7">
        <f>Table3[[#This Row],[Revenue]]-Table3[[#This Row],[Ad Spend]]</f>
        <v>204.83999999999997</v>
      </c>
      <c r="M545" s="11">
        <v>139.66</v>
      </c>
    </row>
    <row r="546" spans="1:13" ht="15.75" customHeight="1" x14ac:dyDescent="0.3">
      <c r="A546" s="4" t="s">
        <v>496</v>
      </c>
      <c r="B546">
        <f t="shared" si="8"/>
        <v>1</v>
      </c>
      <c r="C546" s="2" t="s">
        <v>63</v>
      </c>
      <c r="D546" s="2" t="s">
        <v>880</v>
      </c>
      <c r="E546" s="7">
        <v>138.57</v>
      </c>
      <c r="F546" s="2">
        <v>9</v>
      </c>
      <c r="G546" s="7">
        <v>42.32</v>
      </c>
      <c r="H546" s="2" t="s">
        <v>881</v>
      </c>
      <c r="I546" s="2" t="s">
        <v>35</v>
      </c>
      <c r="J546" s="2" t="s">
        <v>87</v>
      </c>
      <c r="K546" s="2" t="s">
        <v>17</v>
      </c>
      <c r="L546" s="7">
        <f>Table3[[#This Row],[Revenue]]-Table3[[#This Row],[Ad Spend]]</f>
        <v>-96.25</v>
      </c>
      <c r="M546" s="11">
        <v>40.19</v>
      </c>
    </row>
    <row r="547" spans="1:13" ht="15.75" customHeight="1" x14ac:dyDescent="0.3">
      <c r="A547" s="4" t="s">
        <v>649</v>
      </c>
      <c r="B547">
        <f t="shared" si="8"/>
        <v>1</v>
      </c>
      <c r="C547" s="2" t="s">
        <v>32</v>
      </c>
      <c r="D547" s="2" t="s">
        <v>632</v>
      </c>
      <c r="E547" s="7">
        <v>115.17</v>
      </c>
      <c r="F547" s="2">
        <v>0</v>
      </c>
      <c r="G547" s="7">
        <v>229.41</v>
      </c>
      <c r="H547" s="2" t="s">
        <v>225</v>
      </c>
      <c r="I547" s="2" t="s">
        <v>35</v>
      </c>
      <c r="J547" s="2" t="s">
        <v>30</v>
      </c>
      <c r="K547" s="2" t="s">
        <v>46</v>
      </c>
      <c r="L547" s="7">
        <f>Table3[[#This Row],[Revenue]]-Table3[[#This Row],[Ad Spend]]</f>
        <v>114.24</v>
      </c>
      <c r="M547" s="11">
        <v>124.52</v>
      </c>
    </row>
    <row r="548" spans="1:13" ht="15.75" customHeight="1" x14ac:dyDescent="0.3">
      <c r="A548" s="4" t="s">
        <v>283</v>
      </c>
      <c r="B548">
        <f t="shared" si="8"/>
        <v>11</v>
      </c>
      <c r="C548" s="2" t="s">
        <v>19</v>
      </c>
      <c r="D548" s="2" t="s">
        <v>20</v>
      </c>
      <c r="E548" s="7">
        <v>36.64</v>
      </c>
      <c r="F548" s="2">
        <v>3</v>
      </c>
      <c r="G548" s="7">
        <v>370.25</v>
      </c>
      <c r="H548" s="2" t="s">
        <v>49</v>
      </c>
      <c r="I548" s="2" t="s">
        <v>29</v>
      </c>
      <c r="J548" s="2" t="s">
        <v>25</v>
      </c>
      <c r="K548" s="2" t="s">
        <v>17</v>
      </c>
      <c r="L548" s="7">
        <f>Table3[[#This Row],[Revenue]]-Table3[[#This Row],[Ad Spend]]</f>
        <v>333.61</v>
      </c>
      <c r="M548" s="11">
        <v>125.05</v>
      </c>
    </row>
    <row r="549" spans="1:13" ht="15.75" customHeight="1" x14ac:dyDescent="0.3">
      <c r="A549" s="4" t="s">
        <v>356</v>
      </c>
      <c r="B549">
        <f t="shared" si="8"/>
        <v>3</v>
      </c>
      <c r="C549" s="2" t="s">
        <v>19</v>
      </c>
      <c r="D549" s="2" t="s">
        <v>882</v>
      </c>
      <c r="E549" s="7">
        <v>19.62</v>
      </c>
      <c r="F549" s="2">
        <v>8</v>
      </c>
      <c r="G549" s="7">
        <v>104.3</v>
      </c>
      <c r="H549" s="2" t="s">
        <v>52</v>
      </c>
      <c r="I549" s="2" t="s">
        <v>29</v>
      </c>
      <c r="J549" s="2" t="s">
        <v>30</v>
      </c>
      <c r="K549" s="2" t="s">
        <v>17</v>
      </c>
      <c r="L549" s="7">
        <f>Table3[[#This Row],[Revenue]]-Table3[[#This Row],[Ad Spend]]</f>
        <v>84.679999999999993</v>
      </c>
      <c r="M549" s="11">
        <v>125.69</v>
      </c>
    </row>
    <row r="550" spans="1:13" ht="15.75" customHeight="1" x14ac:dyDescent="0.3">
      <c r="A550" s="4" t="s">
        <v>483</v>
      </c>
      <c r="B550">
        <f t="shared" si="8"/>
        <v>4</v>
      </c>
      <c r="C550" s="2" t="s">
        <v>19</v>
      </c>
      <c r="D550" s="2" t="s">
        <v>883</v>
      </c>
      <c r="E550" s="7">
        <v>15.03</v>
      </c>
      <c r="F550" s="2">
        <v>8</v>
      </c>
      <c r="G550" s="7">
        <v>433.28</v>
      </c>
      <c r="H550" s="2" t="s">
        <v>884</v>
      </c>
      <c r="I550" s="2" t="s">
        <v>35</v>
      </c>
      <c r="J550" s="2" t="s">
        <v>30</v>
      </c>
      <c r="K550" s="2" t="s">
        <v>17</v>
      </c>
      <c r="L550" s="7">
        <f>Table3[[#This Row],[Revenue]]-Table3[[#This Row],[Ad Spend]]</f>
        <v>418.25</v>
      </c>
      <c r="M550" s="11">
        <v>190.74</v>
      </c>
    </row>
    <row r="551" spans="1:13" ht="15.75" customHeight="1" x14ac:dyDescent="0.3">
      <c r="A551" s="4" t="s">
        <v>162</v>
      </c>
      <c r="B551">
        <f t="shared" si="8"/>
        <v>4</v>
      </c>
      <c r="C551" s="2" t="s">
        <v>32</v>
      </c>
      <c r="D551" s="2" t="s">
        <v>885</v>
      </c>
      <c r="E551" s="7">
        <v>103.79</v>
      </c>
      <c r="F551" s="2">
        <v>8</v>
      </c>
      <c r="G551" s="7">
        <v>220.79</v>
      </c>
      <c r="H551" s="2" t="s">
        <v>586</v>
      </c>
      <c r="I551" s="2" t="s">
        <v>15</v>
      </c>
      <c r="J551" s="2" t="s">
        <v>25</v>
      </c>
      <c r="K551" s="2" t="s">
        <v>17</v>
      </c>
      <c r="L551" s="7">
        <f>Table3[[#This Row],[Revenue]]-Table3[[#This Row],[Ad Spend]]</f>
        <v>116.99999999999999</v>
      </c>
      <c r="M551" s="11">
        <v>113.54</v>
      </c>
    </row>
    <row r="552" spans="1:13" ht="15.75" customHeight="1" x14ac:dyDescent="0.3">
      <c r="A552" s="4" t="s">
        <v>324</v>
      </c>
      <c r="B552">
        <f t="shared" si="8"/>
        <v>3</v>
      </c>
      <c r="C552" s="2" t="s">
        <v>32</v>
      </c>
      <c r="D552" s="2" t="s">
        <v>886</v>
      </c>
      <c r="E552" s="7">
        <v>89.64</v>
      </c>
      <c r="F552" s="2">
        <v>3</v>
      </c>
      <c r="G552" s="7">
        <v>207.78</v>
      </c>
      <c r="H552" s="2" t="s">
        <v>887</v>
      </c>
      <c r="I552" s="2" t="s">
        <v>15</v>
      </c>
      <c r="J552" s="2" t="s">
        <v>30</v>
      </c>
      <c r="K552" s="2" t="s">
        <v>17</v>
      </c>
      <c r="L552" s="7">
        <f>Table3[[#This Row],[Revenue]]-Table3[[#This Row],[Ad Spend]]</f>
        <v>118.14</v>
      </c>
      <c r="M552" s="11">
        <v>113.33</v>
      </c>
    </row>
    <row r="553" spans="1:13" ht="15.75" customHeight="1" x14ac:dyDescent="0.3">
      <c r="A553" s="4" t="s">
        <v>353</v>
      </c>
      <c r="B553">
        <f t="shared" si="8"/>
        <v>1</v>
      </c>
      <c r="C553" s="2" t="s">
        <v>63</v>
      </c>
      <c r="D553" s="2" t="s">
        <v>817</v>
      </c>
      <c r="E553" s="7">
        <v>11.79</v>
      </c>
      <c r="F553" s="2">
        <v>3</v>
      </c>
      <c r="G553" s="7">
        <v>470.14</v>
      </c>
      <c r="H553" s="2" t="s">
        <v>888</v>
      </c>
      <c r="I553" s="2" t="s">
        <v>15</v>
      </c>
      <c r="J553" s="2" t="s">
        <v>36</v>
      </c>
      <c r="K553" s="2" t="s">
        <v>17</v>
      </c>
      <c r="L553" s="7">
        <f>Table3[[#This Row],[Revenue]]-Table3[[#This Row],[Ad Spend]]</f>
        <v>458.34999999999997</v>
      </c>
      <c r="M553" s="11">
        <v>212.46</v>
      </c>
    </row>
    <row r="554" spans="1:13" ht="15.75" customHeight="1" x14ac:dyDescent="0.3">
      <c r="A554" s="4" t="s">
        <v>656</v>
      </c>
      <c r="B554">
        <f t="shared" si="8"/>
        <v>4</v>
      </c>
      <c r="C554" s="2" t="s">
        <v>32</v>
      </c>
      <c r="D554" s="2" t="s">
        <v>889</v>
      </c>
      <c r="E554" s="7">
        <v>32.909999999999997</v>
      </c>
      <c r="F554" s="2">
        <v>1</v>
      </c>
      <c r="G554" s="7">
        <v>225.31</v>
      </c>
      <c r="H554" s="2" t="s">
        <v>866</v>
      </c>
      <c r="I554" s="2" t="s">
        <v>35</v>
      </c>
      <c r="J554" s="2" t="s">
        <v>36</v>
      </c>
      <c r="K554" s="2" t="s">
        <v>17</v>
      </c>
      <c r="L554" s="7">
        <f>Table3[[#This Row],[Revenue]]-Table3[[#This Row],[Ad Spend]]</f>
        <v>192.4</v>
      </c>
      <c r="M554" s="11">
        <v>124.23</v>
      </c>
    </row>
    <row r="555" spans="1:13" ht="15.75" customHeight="1" x14ac:dyDescent="0.3">
      <c r="A555" s="4" t="s">
        <v>79</v>
      </c>
      <c r="B555">
        <f t="shared" si="8"/>
        <v>11</v>
      </c>
      <c r="C555" s="2" t="s">
        <v>32</v>
      </c>
      <c r="D555" s="2" t="s">
        <v>435</v>
      </c>
      <c r="E555" s="7">
        <v>94.74</v>
      </c>
      <c r="F555" s="2">
        <v>6</v>
      </c>
      <c r="G555" s="7">
        <v>31.88</v>
      </c>
      <c r="H555" s="2" t="s">
        <v>276</v>
      </c>
      <c r="I555" s="2" t="s">
        <v>29</v>
      </c>
      <c r="J555" s="2" t="s">
        <v>87</v>
      </c>
      <c r="K555" s="2" t="s">
        <v>17</v>
      </c>
      <c r="L555" s="7">
        <f>Table3[[#This Row],[Revenue]]-Table3[[#This Row],[Ad Spend]]</f>
        <v>-62.86</v>
      </c>
      <c r="M555" s="11">
        <v>58.22</v>
      </c>
    </row>
    <row r="556" spans="1:13" ht="15.75" customHeight="1" x14ac:dyDescent="0.3">
      <c r="A556" s="4" t="s">
        <v>755</v>
      </c>
      <c r="B556">
        <f t="shared" si="8"/>
        <v>2</v>
      </c>
      <c r="C556" s="2" t="s">
        <v>12</v>
      </c>
      <c r="D556" s="2" t="s">
        <v>890</v>
      </c>
      <c r="E556" s="7">
        <v>125.5</v>
      </c>
      <c r="F556" s="2">
        <v>9</v>
      </c>
      <c r="G556" s="7">
        <v>456.97</v>
      </c>
      <c r="H556" s="2" t="s">
        <v>166</v>
      </c>
      <c r="I556" s="2" t="s">
        <v>29</v>
      </c>
      <c r="J556" s="2" t="s">
        <v>30</v>
      </c>
      <c r="K556" s="2" t="s">
        <v>17</v>
      </c>
      <c r="L556" s="7">
        <f>Table3[[#This Row],[Revenue]]-Table3[[#This Row],[Ad Spend]]</f>
        <v>331.47</v>
      </c>
      <c r="M556" s="11">
        <v>135.01</v>
      </c>
    </row>
    <row r="557" spans="1:13" ht="15.75" customHeight="1" x14ac:dyDescent="0.3">
      <c r="A557" s="4" t="s">
        <v>522</v>
      </c>
      <c r="B557">
        <f t="shared" si="8"/>
        <v>1</v>
      </c>
      <c r="C557" s="2" t="s">
        <v>19</v>
      </c>
      <c r="D557" s="2" t="s">
        <v>891</v>
      </c>
      <c r="E557" s="7">
        <v>48.71</v>
      </c>
      <c r="F557" s="2">
        <v>5</v>
      </c>
      <c r="G557" s="7">
        <v>404.04</v>
      </c>
      <c r="H557" s="2" t="s">
        <v>667</v>
      </c>
      <c r="I557" s="2" t="s">
        <v>29</v>
      </c>
      <c r="J557" s="2" t="s">
        <v>25</v>
      </c>
      <c r="K557" s="2" t="s">
        <v>17</v>
      </c>
      <c r="L557" s="7">
        <f>Table3[[#This Row],[Revenue]]-Table3[[#This Row],[Ad Spend]]</f>
        <v>355.33000000000004</v>
      </c>
      <c r="M557" s="11">
        <v>157.22999999999999</v>
      </c>
    </row>
    <row r="558" spans="1:13" ht="15.75" customHeight="1" x14ac:dyDescent="0.3">
      <c r="A558" s="4" t="s">
        <v>499</v>
      </c>
      <c r="B558">
        <f t="shared" si="8"/>
        <v>4</v>
      </c>
      <c r="C558" s="2" t="s">
        <v>32</v>
      </c>
      <c r="D558" s="2" t="s">
        <v>892</v>
      </c>
      <c r="E558" s="7">
        <v>88.02</v>
      </c>
      <c r="F558" s="2">
        <v>10</v>
      </c>
      <c r="G558" s="7">
        <v>208.21</v>
      </c>
      <c r="H558" s="2" t="s">
        <v>161</v>
      </c>
      <c r="I558" s="2" t="s">
        <v>15</v>
      </c>
      <c r="J558" s="2" t="s">
        <v>25</v>
      </c>
      <c r="K558" s="2" t="s">
        <v>17</v>
      </c>
      <c r="L558" s="7">
        <f>Table3[[#This Row],[Revenue]]-Table3[[#This Row],[Ad Spend]]</f>
        <v>120.19000000000001</v>
      </c>
      <c r="M558" s="11">
        <v>119.23</v>
      </c>
    </row>
    <row r="559" spans="1:13" ht="15.75" customHeight="1" x14ac:dyDescent="0.3">
      <c r="A559" s="4" t="s">
        <v>11</v>
      </c>
      <c r="B559">
        <f t="shared" si="8"/>
        <v>1</v>
      </c>
      <c r="C559" s="2" t="s">
        <v>63</v>
      </c>
      <c r="D559" s="2" t="s">
        <v>893</v>
      </c>
      <c r="E559" s="7">
        <v>88.16</v>
      </c>
      <c r="F559" s="2">
        <v>9</v>
      </c>
      <c r="G559" s="7">
        <v>350.25</v>
      </c>
      <c r="H559" s="2" t="s">
        <v>49</v>
      </c>
      <c r="I559" s="2" t="s">
        <v>29</v>
      </c>
      <c r="J559" s="2" t="s">
        <v>36</v>
      </c>
      <c r="K559" s="2" t="s">
        <v>17</v>
      </c>
      <c r="L559" s="7">
        <f>Table3[[#This Row],[Revenue]]-Table3[[#This Row],[Ad Spend]]</f>
        <v>262.09000000000003</v>
      </c>
      <c r="M559" s="11">
        <v>123.82</v>
      </c>
    </row>
    <row r="560" spans="1:13" ht="15.75" customHeight="1" x14ac:dyDescent="0.3">
      <c r="A560" s="4" t="s">
        <v>595</v>
      </c>
      <c r="B560">
        <f t="shared" si="8"/>
        <v>3</v>
      </c>
      <c r="C560" s="2" t="s">
        <v>12</v>
      </c>
      <c r="D560" s="2" t="s">
        <v>344</v>
      </c>
      <c r="E560" s="7">
        <v>119.36</v>
      </c>
      <c r="F560" s="2">
        <v>8</v>
      </c>
      <c r="G560" s="7">
        <v>323.61</v>
      </c>
      <c r="H560" s="2" t="s">
        <v>28</v>
      </c>
      <c r="I560" s="2" t="s">
        <v>29</v>
      </c>
      <c r="J560" s="2" t="s">
        <v>36</v>
      </c>
      <c r="K560" s="2" t="s">
        <v>17</v>
      </c>
      <c r="L560" s="7">
        <f>Table3[[#This Row],[Revenue]]-Table3[[#This Row],[Ad Spend]]</f>
        <v>204.25</v>
      </c>
      <c r="M560" s="11">
        <v>142.71</v>
      </c>
    </row>
    <row r="561" spans="1:13" ht="15.75" customHeight="1" x14ac:dyDescent="0.3">
      <c r="A561" s="4" t="s">
        <v>579</v>
      </c>
      <c r="B561">
        <f t="shared" si="8"/>
        <v>1</v>
      </c>
      <c r="C561" s="2" t="s">
        <v>19</v>
      </c>
      <c r="D561" s="2" t="s">
        <v>601</v>
      </c>
      <c r="E561" s="7">
        <v>118.68</v>
      </c>
      <c r="F561" s="2">
        <v>1</v>
      </c>
      <c r="G561" s="7">
        <v>498.49</v>
      </c>
      <c r="H561" s="2" t="s">
        <v>372</v>
      </c>
      <c r="I561" s="2" t="s">
        <v>15</v>
      </c>
      <c r="J561" s="2" t="s">
        <v>25</v>
      </c>
      <c r="K561" s="2" t="s">
        <v>17</v>
      </c>
      <c r="L561" s="7">
        <f>Table3[[#This Row],[Revenue]]-Table3[[#This Row],[Ad Spend]]</f>
        <v>379.81</v>
      </c>
      <c r="M561" s="11">
        <v>117.25</v>
      </c>
    </row>
    <row r="562" spans="1:13" ht="15.75" customHeight="1" x14ac:dyDescent="0.3">
      <c r="A562" s="4" t="s">
        <v>37</v>
      </c>
      <c r="B562">
        <f t="shared" si="8"/>
        <v>12</v>
      </c>
      <c r="C562" s="2" t="s">
        <v>32</v>
      </c>
      <c r="D562" s="2" t="s">
        <v>894</v>
      </c>
      <c r="E562" s="7">
        <v>90.46</v>
      </c>
      <c r="F562" s="2">
        <v>3</v>
      </c>
      <c r="G562" s="7">
        <v>338.79</v>
      </c>
      <c r="H562" s="2" t="s">
        <v>401</v>
      </c>
      <c r="I562" s="2" t="s">
        <v>35</v>
      </c>
      <c r="J562" s="2" t="s">
        <v>30</v>
      </c>
      <c r="K562" s="2" t="s">
        <v>17</v>
      </c>
      <c r="L562" s="7">
        <f>Table3[[#This Row],[Revenue]]-Table3[[#This Row],[Ad Spend]]</f>
        <v>248.33000000000004</v>
      </c>
      <c r="M562" s="11">
        <v>131.47</v>
      </c>
    </row>
    <row r="563" spans="1:13" ht="15.75" customHeight="1" x14ac:dyDescent="0.3">
      <c r="A563" s="4" t="s">
        <v>338</v>
      </c>
      <c r="B563">
        <f t="shared" si="8"/>
        <v>4</v>
      </c>
      <c r="C563" s="2" t="s">
        <v>63</v>
      </c>
      <c r="D563" s="2" t="s">
        <v>867</v>
      </c>
      <c r="E563" s="7">
        <v>83.51</v>
      </c>
      <c r="F563" s="2">
        <v>6</v>
      </c>
      <c r="G563" s="7">
        <v>50.97</v>
      </c>
      <c r="H563" s="2" t="s">
        <v>225</v>
      </c>
      <c r="I563" s="2" t="s">
        <v>35</v>
      </c>
      <c r="J563" s="2" t="s">
        <v>30</v>
      </c>
      <c r="K563" s="2" t="s">
        <v>17</v>
      </c>
      <c r="L563" s="7">
        <f>Table3[[#This Row],[Revenue]]-Table3[[#This Row],[Ad Spend]]</f>
        <v>-32.540000000000006</v>
      </c>
      <c r="M563" s="11">
        <v>121.39</v>
      </c>
    </row>
    <row r="564" spans="1:13" ht="15.75" customHeight="1" x14ac:dyDescent="0.3">
      <c r="A564" s="4" t="s">
        <v>129</v>
      </c>
      <c r="B564">
        <f t="shared" si="8"/>
        <v>1</v>
      </c>
      <c r="C564" s="2" t="s">
        <v>63</v>
      </c>
      <c r="D564" s="2" t="s">
        <v>895</v>
      </c>
      <c r="E564" s="7">
        <v>97.24</v>
      </c>
      <c r="F564" s="2">
        <v>9</v>
      </c>
      <c r="G564" s="7">
        <v>480.02</v>
      </c>
      <c r="H564" s="2" t="s">
        <v>28</v>
      </c>
      <c r="I564" s="2" t="s">
        <v>35</v>
      </c>
      <c r="J564" s="2" t="s">
        <v>25</v>
      </c>
      <c r="K564" s="2" t="s">
        <v>17</v>
      </c>
      <c r="L564" s="7">
        <f>Table3[[#This Row],[Revenue]]-Table3[[#This Row],[Ad Spend]]</f>
        <v>382.78</v>
      </c>
      <c r="M564" s="11">
        <v>139.41</v>
      </c>
    </row>
    <row r="565" spans="1:13" ht="15.75" customHeight="1" x14ac:dyDescent="0.3">
      <c r="A565" s="4" t="s">
        <v>191</v>
      </c>
      <c r="B565">
        <f t="shared" si="8"/>
        <v>11</v>
      </c>
      <c r="C565" s="2" t="s">
        <v>32</v>
      </c>
      <c r="D565" s="2" t="s">
        <v>896</v>
      </c>
      <c r="E565" s="7">
        <v>116.08</v>
      </c>
      <c r="F565" s="2">
        <v>1</v>
      </c>
      <c r="G565" s="7">
        <v>251.01</v>
      </c>
      <c r="H565" s="2" t="s">
        <v>174</v>
      </c>
      <c r="I565" s="2" t="s">
        <v>29</v>
      </c>
      <c r="J565" s="2" t="s">
        <v>16</v>
      </c>
      <c r="K565" s="2" t="s">
        <v>17</v>
      </c>
      <c r="L565" s="7">
        <f>Table3[[#This Row],[Revenue]]-Table3[[#This Row],[Ad Spend]]</f>
        <v>134.93</v>
      </c>
      <c r="M565" s="11">
        <v>103.77</v>
      </c>
    </row>
    <row r="566" spans="1:13" ht="15.75" customHeight="1" x14ac:dyDescent="0.3">
      <c r="A566" s="4" t="s">
        <v>696</v>
      </c>
      <c r="B566">
        <f t="shared" si="8"/>
        <v>1</v>
      </c>
      <c r="C566" s="2" t="s">
        <v>63</v>
      </c>
      <c r="D566" s="2" t="s">
        <v>686</v>
      </c>
      <c r="E566" s="7">
        <v>24.58</v>
      </c>
      <c r="F566" s="2">
        <v>4</v>
      </c>
      <c r="G566" s="7">
        <v>207.3</v>
      </c>
      <c r="H566" s="2" t="s">
        <v>897</v>
      </c>
      <c r="I566" s="2" t="s">
        <v>29</v>
      </c>
      <c r="J566" s="2" t="s">
        <v>25</v>
      </c>
      <c r="K566" s="2" t="s">
        <v>17</v>
      </c>
      <c r="L566" s="7">
        <f>Table3[[#This Row],[Revenue]]-Table3[[#This Row],[Ad Spend]]</f>
        <v>182.72000000000003</v>
      </c>
      <c r="M566" s="11">
        <v>100.54</v>
      </c>
    </row>
    <row r="567" spans="1:13" ht="15.75" customHeight="1" x14ac:dyDescent="0.3">
      <c r="A567" s="4" t="s">
        <v>438</v>
      </c>
      <c r="B567">
        <f t="shared" si="8"/>
        <v>4</v>
      </c>
      <c r="C567" s="2" t="s">
        <v>12</v>
      </c>
      <c r="D567" s="2" t="s">
        <v>176</v>
      </c>
      <c r="E567" s="7">
        <v>85.45</v>
      </c>
      <c r="F567" s="2">
        <v>6</v>
      </c>
      <c r="G567" s="7">
        <v>475.68</v>
      </c>
      <c r="H567" s="2" t="s">
        <v>147</v>
      </c>
      <c r="I567" s="2" t="s">
        <v>35</v>
      </c>
      <c r="J567" s="2" t="s">
        <v>30</v>
      </c>
      <c r="K567" s="2" t="s">
        <v>17</v>
      </c>
      <c r="L567" s="7">
        <f>Table3[[#This Row],[Revenue]]-Table3[[#This Row],[Ad Spend]]</f>
        <v>390.23</v>
      </c>
      <c r="M567" s="11">
        <v>144.08000000000001</v>
      </c>
    </row>
    <row r="568" spans="1:13" ht="15.75" customHeight="1" x14ac:dyDescent="0.3">
      <c r="A568" s="4" t="s">
        <v>271</v>
      </c>
      <c r="B568">
        <f t="shared" si="8"/>
        <v>1</v>
      </c>
      <c r="C568" s="2" t="s">
        <v>12</v>
      </c>
      <c r="D568" s="2" t="s">
        <v>898</v>
      </c>
      <c r="E568" s="7">
        <v>122.31</v>
      </c>
      <c r="F568" s="2">
        <v>2</v>
      </c>
      <c r="G568" s="7">
        <v>22.52</v>
      </c>
      <c r="H568" s="2" t="s">
        <v>119</v>
      </c>
      <c r="I568" s="2" t="s">
        <v>35</v>
      </c>
      <c r="J568" s="2" t="s">
        <v>36</v>
      </c>
      <c r="K568" s="2" t="s">
        <v>17</v>
      </c>
      <c r="L568" s="7">
        <f>Table3[[#This Row],[Revenue]]-Table3[[#This Row],[Ad Spend]]</f>
        <v>-99.79</v>
      </c>
      <c r="M568" s="11">
        <v>113.24</v>
      </c>
    </row>
    <row r="569" spans="1:13" ht="15.75" customHeight="1" x14ac:dyDescent="0.3">
      <c r="A569" s="4" t="s">
        <v>438</v>
      </c>
      <c r="B569">
        <f t="shared" si="8"/>
        <v>4</v>
      </c>
      <c r="C569" s="2" t="s">
        <v>19</v>
      </c>
      <c r="D569" s="2" t="s">
        <v>899</v>
      </c>
      <c r="E569" s="7">
        <v>66.61</v>
      </c>
      <c r="F569" s="2">
        <v>10</v>
      </c>
      <c r="G569" s="7">
        <v>354.41</v>
      </c>
      <c r="H569" s="2" t="s">
        <v>128</v>
      </c>
      <c r="I569" s="2" t="s">
        <v>15</v>
      </c>
      <c r="J569" s="2" t="s">
        <v>36</v>
      </c>
      <c r="K569" s="2" t="s">
        <v>17</v>
      </c>
      <c r="L569" s="7">
        <f>Table3[[#This Row],[Revenue]]-Table3[[#This Row],[Ad Spend]]</f>
        <v>287.8</v>
      </c>
      <c r="M569" s="11">
        <v>119.58</v>
      </c>
    </row>
    <row r="570" spans="1:13" ht="15.75" customHeight="1" x14ac:dyDescent="0.3">
      <c r="A570" s="4" t="s">
        <v>252</v>
      </c>
      <c r="B570">
        <f t="shared" si="8"/>
        <v>11</v>
      </c>
      <c r="C570" s="2" t="s">
        <v>32</v>
      </c>
      <c r="D570" s="2" t="s">
        <v>255</v>
      </c>
      <c r="E570" s="7">
        <v>63.23</v>
      </c>
      <c r="F570" s="2">
        <v>6</v>
      </c>
      <c r="G570" s="7">
        <v>72.77</v>
      </c>
      <c r="H570" s="2" t="s">
        <v>900</v>
      </c>
      <c r="I570" s="2" t="s">
        <v>15</v>
      </c>
      <c r="J570" s="2" t="s">
        <v>30</v>
      </c>
      <c r="K570" s="2" t="s">
        <v>17</v>
      </c>
      <c r="L570" s="7">
        <f>Table3[[#This Row],[Revenue]]-Table3[[#This Row],[Ad Spend]]</f>
        <v>9.5399999999999991</v>
      </c>
      <c r="M570" s="11">
        <v>96.76</v>
      </c>
    </row>
    <row r="571" spans="1:13" ht="15.75" customHeight="1" x14ac:dyDescent="0.3">
      <c r="A571" s="4" t="s">
        <v>287</v>
      </c>
      <c r="B571">
        <f t="shared" si="8"/>
        <v>2</v>
      </c>
      <c r="C571" s="2" t="s">
        <v>63</v>
      </c>
      <c r="D571" s="2" t="s">
        <v>890</v>
      </c>
      <c r="E571" s="7">
        <v>68.25</v>
      </c>
      <c r="F571" s="2">
        <v>2</v>
      </c>
      <c r="G571" s="7">
        <v>61.76</v>
      </c>
      <c r="H571" s="2" t="s">
        <v>901</v>
      </c>
      <c r="I571" s="2" t="s">
        <v>29</v>
      </c>
      <c r="J571" s="2" t="s">
        <v>16</v>
      </c>
      <c r="K571" s="2" t="s">
        <v>17</v>
      </c>
      <c r="L571" s="7">
        <f>Table3[[#This Row],[Revenue]]-Table3[[#This Row],[Ad Spend]]</f>
        <v>-6.490000000000002</v>
      </c>
      <c r="M571" s="11">
        <v>122.46</v>
      </c>
    </row>
    <row r="572" spans="1:13" ht="15.75" customHeight="1" x14ac:dyDescent="0.3">
      <c r="A572" s="4" t="s">
        <v>280</v>
      </c>
      <c r="B572">
        <f t="shared" si="8"/>
        <v>2</v>
      </c>
      <c r="C572" s="2" t="s">
        <v>63</v>
      </c>
      <c r="D572" s="2" t="s">
        <v>902</v>
      </c>
      <c r="E572" s="7">
        <v>86.51</v>
      </c>
      <c r="F572" s="2">
        <v>9</v>
      </c>
      <c r="G572" s="7">
        <v>223.53</v>
      </c>
      <c r="H572" s="2" t="s">
        <v>903</v>
      </c>
      <c r="I572" s="2" t="s">
        <v>29</v>
      </c>
      <c r="J572" s="2" t="s">
        <v>87</v>
      </c>
      <c r="K572" s="2" t="s">
        <v>17</v>
      </c>
      <c r="L572" s="7">
        <f>Table3[[#This Row],[Revenue]]-Table3[[#This Row],[Ad Spend]]</f>
        <v>137.01999999999998</v>
      </c>
      <c r="M572" s="11">
        <v>152.37</v>
      </c>
    </row>
    <row r="573" spans="1:13" ht="15.75" customHeight="1" x14ac:dyDescent="0.3">
      <c r="A573" s="4" t="s">
        <v>31</v>
      </c>
      <c r="B573">
        <f t="shared" si="8"/>
        <v>1</v>
      </c>
      <c r="C573" s="2" t="s">
        <v>12</v>
      </c>
      <c r="D573" s="2" t="s">
        <v>431</v>
      </c>
      <c r="E573" s="7">
        <v>52.81</v>
      </c>
      <c r="F573" s="2">
        <v>8</v>
      </c>
      <c r="G573" s="7">
        <v>85.62</v>
      </c>
      <c r="H573" s="2" t="s">
        <v>198</v>
      </c>
      <c r="I573" s="2" t="s">
        <v>15</v>
      </c>
      <c r="J573" s="2" t="s">
        <v>25</v>
      </c>
      <c r="K573" s="2" t="s">
        <v>17</v>
      </c>
      <c r="L573" s="7">
        <f>Table3[[#This Row],[Revenue]]-Table3[[#This Row],[Ad Spend]]</f>
        <v>32.81</v>
      </c>
      <c r="M573" s="11">
        <v>116.07</v>
      </c>
    </row>
    <row r="574" spans="1:13" ht="15.75" customHeight="1" x14ac:dyDescent="0.3">
      <c r="A574" s="4" t="s">
        <v>502</v>
      </c>
      <c r="B574">
        <f t="shared" si="8"/>
        <v>12</v>
      </c>
      <c r="C574" s="2" t="s">
        <v>63</v>
      </c>
      <c r="D574" s="2" t="s">
        <v>518</v>
      </c>
      <c r="E574" s="7">
        <v>89.8</v>
      </c>
      <c r="F574" s="2">
        <v>10</v>
      </c>
      <c r="G574" s="7">
        <v>376.12</v>
      </c>
      <c r="H574" s="2" t="s">
        <v>70</v>
      </c>
      <c r="I574" s="2" t="s">
        <v>35</v>
      </c>
      <c r="J574" s="2" t="s">
        <v>30</v>
      </c>
      <c r="K574" s="2" t="s">
        <v>17</v>
      </c>
      <c r="L574" s="7">
        <f>Table3[[#This Row],[Revenue]]-Table3[[#This Row],[Ad Spend]]</f>
        <v>286.32</v>
      </c>
      <c r="M574" s="11">
        <v>78.8</v>
      </c>
    </row>
    <row r="575" spans="1:13" ht="15.75" customHeight="1" x14ac:dyDescent="0.3">
      <c r="A575" s="4" t="s">
        <v>74</v>
      </c>
      <c r="B575">
        <f t="shared" si="8"/>
        <v>11</v>
      </c>
      <c r="C575" s="2" t="s">
        <v>12</v>
      </c>
      <c r="D575" s="2" t="s">
        <v>853</v>
      </c>
      <c r="E575" s="7">
        <v>49.72</v>
      </c>
      <c r="F575" s="2">
        <v>9</v>
      </c>
      <c r="G575" s="7">
        <v>154.94</v>
      </c>
      <c r="H575" s="2" t="s">
        <v>96</v>
      </c>
      <c r="I575" s="2" t="s">
        <v>29</v>
      </c>
      <c r="J575" s="2" t="s">
        <v>25</v>
      </c>
      <c r="K575" s="2" t="s">
        <v>17</v>
      </c>
      <c r="L575" s="7">
        <f>Table3[[#This Row],[Revenue]]-Table3[[#This Row],[Ad Spend]]</f>
        <v>105.22</v>
      </c>
      <c r="M575" s="11">
        <v>133.34</v>
      </c>
    </row>
    <row r="576" spans="1:13" ht="15.75" customHeight="1" x14ac:dyDescent="0.3">
      <c r="A576" s="4" t="s">
        <v>31</v>
      </c>
      <c r="B576">
        <f t="shared" si="8"/>
        <v>1</v>
      </c>
      <c r="C576" s="2" t="s">
        <v>63</v>
      </c>
      <c r="D576" s="2" t="s">
        <v>904</v>
      </c>
      <c r="E576" s="7">
        <v>75.34</v>
      </c>
      <c r="F576" s="2">
        <v>4</v>
      </c>
      <c r="G576" s="7">
        <v>108.05</v>
      </c>
      <c r="H576" s="2" t="s">
        <v>567</v>
      </c>
      <c r="I576" s="2" t="s">
        <v>35</v>
      </c>
      <c r="J576" s="2" t="s">
        <v>36</v>
      </c>
      <c r="K576" s="2" t="s">
        <v>17</v>
      </c>
      <c r="L576" s="7">
        <f>Table3[[#This Row],[Revenue]]-Table3[[#This Row],[Ad Spend]]</f>
        <v>32.709999999999994</v>
      </c>
      <c r="M576" s="11">
        <v>126.92</v>
      </c>
    </row>
    <row r="577" spans="1:13" ht="15.75" customHeight="1" x14ac:dyDescent="0.3">
      <c r="A577" s="4" t="s">
        <v>40</v>
      </c>
      <c r="B577">
        <f t="shared" si="8"/>
        <v>3</v>
      </c>
      <c r="C577" s="2" t="s">
        <v>63</v>
      </c>
      <c r="D577" s="2" t="s">
        <v>547</v>
      </c>
      <c r="E577" s="7">
        <v>100.28</v>
      </c>
      <c r="F577" s="2">
        <v>10</v>
      </c>
      <c r="G577" s="7">
        <v>371.42</v>
      </c>
      <c r="H577" s="2" t="s">
        <v>510</v>
      </c>
      <c r="I577" s="2" t="s">
        <v>35</v>
      </c>
      <c r="J577" s="2" t="s">
        <v>36</v>
      </c>
      <c r="K577" s="2" t="s">
        <v>17</v>
      </c>
      <c r="L577" s="7">
        <f>Table3[[#This Row],[Revenue]]-Table3[[#This Row],[Ad Spend]]</f>
        <v>271.14</v>
      </c>
      <c r="M577" s="11">
        <v>155.15</v>
      </c>
    </row>
    <row r="578" spans="1:13" ht="15.75" customHeight="1" x14ac:dyDescent="0.3">
      <c r="A578" s="4" t="s">
        <v>18</v>
      </c>
      <c r="B578">
        <f t="shared" si="8"/>
        <v>3</v>
      </c>
      <c r="C578" s="2" t="s">
        <v>32</v>
      </c>
      <c r="D578" s="2" t="s">
        <v>905</v>
      </c>
      <c r="E578" s="7">
        <v>33.119999999999997</v>
      </c>
      <c r="F578" s="2">
        <v>5</v>
      </c>
      <c r="G578" s="7">
        <v>379.44</v>
      </c>
      <c r="H578" s="2" t="s">
        <v>364</v>
      </c>
      <c r="I578" s="2" t="s">
        <v>35</v>
      </c>
      <c r="J578" s="2" t="s">
        <v>25</v>
      </c>
      <c r="K578" s="2" t="s">
        <v>17</v>
      </c>
      <c r="L578" s="7">
        <f>Table3[[#This Row],[Revenue]]-Table3[[#This Row],[Ad Spend]]</f>
        <v>346.32</v>
      </c>
      <c r="M578" s="11">
        <v>129.41</v>
      </c>
    </row>
    <row r="579" spans="1:13" ht="15.75" customHeight="1" x14ac:dyDescent="0.3">
      <c r="A579" s="4" t="s">
        <v>595</v>
      </c>
      <c r="B579">
        <f t="shared" ref="B579:B642" si="9">MONTH(A579)</f>
        <v>3</v>
      </c>
      <c r="C579" s="2" t="s">
        <v>63</v>
      </c>
      <c r="D579" s="2" t="s">
        <v>846</v>
      </c>
      <c r="E579" s="7">
        <v>105.89</v>
      </c>
      <c r="F579" s="2">
        <v>8</v>
      </c>
      <c r="G579" s="7">
        <v>276.13</v>
      </c>
      <c r="H579" s="2" t="s">
        <v>225</v>
      </c>
      <c r="I579" s="2" t="s">
        <v>35</v>
      </c>
      <c r="J579" s="2" t="s">
        <v>30</v>
      </c>
      <c r="K579" s="2" t="s">
        <v>17</v>
      </c>
      <c r="L579" s="7">
        <f>Table3[[#This Row],[Revenue]]-Table3[[#This Row],[Ad Spend]]</f>
        <v>170.24</v>
      </c>
      <c r="M579" s="11">
        <v>126.66</v>
      </c>
    </row>
    <row r="580" spans="1:13" ht="15.75" customHeight="1" x14ac:dyDescent="0.3">
      <c r="A580" s="4" t="s">
        <v>504</v>
      </c>
      <c r="B580">
        <f t="shared" si="9"/>
        <v>12</v>
      </c>
      <c r="C580" s="2" t="s">
        <v>63</v>
      </c>
      <c r="D580" s="2" t="s">
        <v>660</v>
      </c>
      <c r="E580" s="7">
        <v>36.54</v>
      </c>
      <c r="F580" s="2">
        <v>7</v>
      </c>
      <c r="G580" s="7">
        <v>318.33999999999997</v>
      </c>
      <c r="H580" s="2" t="s">
        <v>78</v>
      </c>
      <c r="I580" s="2" t="s">
        <v>35</v>
      </c>
      <c r="J580" s="2" t="s">
        <v>30</v>
      </c>
      <c r="K580" s="2" t="s">
        <v>17</v>
      </c>
      <c r="L580" s="7">
        <f>Table3[[#This Row],[Revenue]]-Table3[[#This Row],[Ad Spend]]</f>
        <v>281.79999999999995</v>
      </c>
      <c r="M580" s="11">
        <v>148.13999999999999</v>
      </c>
    </row>
    <row r="581" spans="1:13" ht="15.75" customHeight="1" x14ac:dyDescent="0.3">
      <c r="A581" s="4" t="s">
        <v>850</v>
      </c>
      <c r="B581">
        <f t="shared" si="9"/>
        <v>11</v>
      </c>
      <c r="C581" s="2" t="s">
        <v>63</v>
      </c>
      <c r="D581" s="2" t="s">
        <v>906</v>
      </c>
      <c r="E581" s="7">
        <v>98.42</v>
      </c>
      <c r="F581" s="2">
        <v>9</v>
      </c>
      <c r="G581" s="7">
        <v>411.03</v>
      </c>
      <c r="H581" s="2" t="s">
        <v>759</v>
      </c>
      <c r="I581" s="2" t="s">
        <v>35</v>
      </c>
      <c r="J581" s="2" t="s">
        <v>30</v>
      </c>
      <c r="K581" s="2" t="s">
        <v>17</v>
      </c>
      <c r="L581" s="7">
        <f>Table3[[#This Row],[Revenue]]-Table3[[#This Row],[Ad Spend]]</f>
        <v>312.60999999999996</v>
      </c>
      <c r="M581" s="11">
        <v>120.6</v>
      </c>
    </row>
    <row r="582" spans="1:13" ht="15.75" customHeight="1" x14ac:dyDescent="0.3">
      <c r="A582" s="4" t="s">
        <v>79</v>
      </c>
      <c r="B582">
        <f t="shared" si="9"/>
        <v>11</v>
      </c>
      <c r="C582" s="2" t="s">
        <v>12</v>
      </c>
      <c r="D582" s="2" t="s">
        <v>687</v>
      </c>
      <c r="E582" s="7">
        <v>80.510000000000005</v>
      </c>
      <c r="F582" s="2">
        <v>1</v>
      </c>
      <c r="G582" s="7">
        <v>212.62</v>
      </c>
      <c r="H582" s="2" t="s">
        <v>586</v>
      </c>
      <c r="I582" s="2" t="s">
        <v>35</v>
      </c>
      <c r="J582" s="2" t="s">
        <v>30</v>
      </c>
      <c r="K582" s="2" t="s">
        <v>17</v>
      </c>
      <c r="L582" s="7">
        <f>Table3[[#This Row],[Revenue]]-Table3[[#This Row],[Ad Spend]]</f>
        <v>132.11000000000001</v>
      </c>
      <c r="M582" s="11">
        <v>110.14</v>
      </c>
    </row>
    <row r="583" spans="1:13" ht="15.75" customHeight="1" x14ac:dyDescent="0.3">
      <c r="A583" s="4" t="s">
        <v>511</v>
      </c>
      <c r="B583">
        <f t="shared" si="9"/>
        <v>12</v>
      </c>
      <c r="C583" s="2" t="s">
        <v>19</v>
      </c>
      <c r="D583" s="2" t="s">
        <v>190</v>
      </c>
      <c r="E583" s="7">
        <v>6.66</v>
      </c>
      <c r="F583" s="2">
        <v>0</v>
      </c>
      <c r="G583" s="7">
        <v>169.84</v>
      </c>
      <c r="H583" s="2" t="s">
        <v>907</v>
      </c>
      <c r="I583" s="2" t="s">
        <v>29</v>
      </c>
      <c r="J583" s="2" t="s">
        <v>87</v>
      </c>
      <c r="K583" s="2" t="s">
        <v>46</v>
      </c>
      <c r="L583" s="7">
        <f>Table3[[#This Row],[Revenue]]-Table3[[#This Row],[Ad Spend]]</f>
        <v>163.18</v>
      </c>
      <c r="M583" s="11">
        <v>140.16</v>
      </c>
    </row>
    <row r="584" spans="1:13" ht="15.75" customHeight="1" x14ac:dyDescent="0.3">
      <c r="A584" s="4" t="s">
        <v>191</v>
      </c>
      <c r="B584">
        <f t="shared" si="9"/>
        <v>11</v>
      </c>
      <c r="C584" s="2" t="s">
        <v>32</v>
      </c>
      <c r="D584" s="2" t="s">
        <v>845</v>
      </c>
      <c r="E584" s="7">
        <v>13.63</v>
      </c>
      <c r="F584" s="2">
        <v>2</v>
      </c>
      <c r="G584" s="7">
        <v>306.72000000000003</v>
      </c>
      <c r="H584" s="2" t="s">
        <v>549</v>
      </c>
      <c r="I584" s="2" t="s">
        <v>15</v>
      </c>
      <c r="J584" s="2" t="s">
        <v>16</v>
      </c>
      <c r="K584" s="2" t="s">
        <v>17</v>
      </c>
      <c r="L584" s="7">
        <f>Table3[[#This Row],[Revenue]]-Table3[[#This Row],[Ad Spend]]</f>
        <v>293.09000000000003</v>
      </c>
      <c r="M584" s="11">
        <v>106.47</v>
      </c>
    </row>
    <row r="585" spans="1:13" ht="15.75" customHeight="1" x14ac:dyDescent="0.3">
      <c r="A585" s="4" t="s">
        <v>131</v>
      </c>
      <c r="B585">
        <f t="shared" si="9"/>
        <v>11</v>
      </c>
      <c r="C585" s="2" t="s">
        <v>12</v>
      </c>
      <c r="D585" s="2" t="s">
        <v>908</v>
      </c>
      <c r="E585" s="7">
        <v>11.04</v>
      </c>
      <c r="F585" s="2">
        <v>0</v>
      </c>
      <c r="G585" s="7">
        <v>382.88</v>
      </c>
      <c r="H585" s="2" t="s">
        <v>394</v>
      </c>
      <c r="I585" s="2" t="s">
        <v>15</v>
      </c>
      <c r="J585" s="2" t="s">
        <v>30</v>
      </c>
      <c r="K585" s="2" t="s">
        <v>46</v>
      </c>
      <c r="L585" s="7">
        <f>Table3[[#This Row],[Revenue]]-Table3[[#This Row],[Ad Spend]]</f>
        <v>371.84</v>
      </c>
      <c r="M585" s="11">
        <v>129.1</v>
      </c>
    </row>
    <row r="586" spans="1:13" ht="15.75" customHeight="1" x14ac:dyDescent="0.3">
      <c r="A586" s="4" t="s">
        <v>472</v>
      </c>
      <c r="B586">
        <f t="shared" si="9"/>
        <v>4</v>
      </c>
      <c r="C586" s="2" t="s">
        <v>63</v>
      </c>
      <c r="D586" s="2" t="s">
        <v>804</v>
      </c>
      <c r="E586" s="7">
        <v>63.87</v>
      </c>
      <c r="F586" s="2">
        <v>0</v>
      </c>
      <c r="G586" s="7">
        <v>209.92</v>
      </c>
      <c r="H586" s="2" t="s">
        <v>155</v>
      </c>
      <c r="I586" s="2" t="s">
        <v>35</v>
      </c>
      <c r="J586" s="2" t="s">
        <v>53</v>
      </c>
      <c r="K586" s="2" t="s">
        <v>46</v>
      </c>
      <c r="L586" s="7">
        <f>Table3[[#This Row],[Revenue]]-Table3[[#This Row],[Ad Spend]]</f>
        <v>146.04999999999998</v>
      </c>
      <c r="M586" s="11">
        <v>161.91</v>
      </c>
    </row>
    <row r="587" spans="1:13" ht="15.75" customHeight="1" x14ac:dyDescent="0.3">
      <c r="A587" s="4" t="s">
        <v>208</v>
      </c>
      <c r="B587">
        <f t="shared" si="9"/>
        <v>11</v>
      </c>
      <c r="C587" s="2" t="s">
        <v>19</v>
      </c>
      <c r="D587" s="2" t="s">
        <v>909</v>
      </c>
      <c r="E587" s="7">
        <v>73.599999999999994</v>
      </c>
      <c r="F587" s="2">
        <v>7</v>
      </c>
      <c r="G587" s="7">
        <v>229.62</v>
      </c>
      <c r="H587" s="2" t="s">
        <v>910</v>
      </c>
      <c r="I587" s="2" t="s">
        <v>15</v>
      </c>
      <c r="J587" s="2" t="s">
        <v>25</v>
      </c>
      <c r="K587" s="2" t="s">
        <v>17</v>
      </c>
      <c r="L587" s="7">
        <f>Table3[[#This Row],[Revenue]]-Table3[[#This Row],[Ad Spend]]</f>
        <v>156.02000000000001</v>
      </c>
      <c r="M587" s="11">
        <v>116.86</v>
      </c>
    </row>
    <row r="588" spans="1:13" ht="15.75" customHeight="1" x14ac:dyDescent="0.3">
      <c r="A588" s="4" t="s">
        <v>194</v>
      </c>
      <c r="B588">
        <f t="shared" si="9"/>
        <v>11</v>
      </c>
      <c r="C588" s="2" t="s">
        <v>12</v>
      </c>
      <c r="D588" s="2" t="s">
        <v>872</v>
      </c>
      <c r="E588" s="7">
        <v>129.53</v>
      </c>
      <c r="F588" s="2">
        <v>7</v>
      </c>
      <c r="G588" s="7">
        <v>254.94</v>
      </c>
      <c r="H588" s="2" t="s">
        <v>911</v>
      </c>
      <c r="I588" s="2" t="s">
        <v>35</v>
      </c>
      <c r="J588" s="2" t="s">
        <v>30</v>
      </c>
      <c r="K588" s="2" t="s">
        <v>17</v>
      </c>
      <c r="L588" s="7">
        <f>Table3[[#This Row],[Revenue]]-Table3[[#This Row],[Ad Spend]]</f>
        <v>125.41</v>
      </c>
      <c r="M588" s="11">
        <v>129.97999999999999</v>
      </c>
    </row>
    <row r="589" spans="1:13" ht="15.75" customHeight="1" x14ac:dyDescent="0.3">
      <c r="A589" s="4" t="s">
        <v>159</v>
      </c>
      <c r="B589">
        <f t="shared" si="9"/>
        <v>2</v>
      </c>
      <c r="C589" s="2" t="s">
        <v>63</v>
      </c>
      <c r="D589" s="2" t="s">
        <v>912</v>
      </c>
      <c r="E589" s="7">
        <v>36.119999999999997</v>
      </c>
      <c r="F589" s="2">
        <v>6</v>
      </c>
      <c r="G589" s="7">
        <v>397.59</v>
      </c>
      <c r="H589" s="2" t="s">
        <v>913</v>
      </c>
      <c r="I589" s="2" t="s">
        <v>29</v>
      </c>
      <c r="J589" s="2" t="s">
        <v>25</v>
      </c>
      <c r="K589" s="2" t="s">
        <v>17</v>
      </c>
      <c r="L589" s="7">
        <f>Table3[[#This Row],[Revenue]]-Table3[[#This Row],[Ad Spend]]</f>
        <v>361.46999999999997</v>
      </c>
      <c r="M589" s="11">
        <v>133.36000000000001</v>
      </c>
    </row>
    <row r="590" spans="1:13" ht="15.75" customHeight="1" x14ac:dyDescent="0.3">
      <c r="A590" s="4" t="s">
        <v>914</v>
      </c>
      <c r="B590">
        <f t="shared" si="9"/>
        <v>11</v>
      </c>
      <c r="C590" s="2" t="s">
        <v>32</v>
      </c>
      <c r="D590" s="2" t="s">
        <v>296</v>
      </c>
      <c r="E590" s="7">
        <v>20.96</v>
      </c>
      <c r="F590" s="2">
        <v>7</v>
      </c>
      <c r="G590" s="7">
        <v>395.55</v>
      </c>
      <c r="H590" s="2" t="s">
        <v>818</v>
      </c>
      <c r="I590" s="2" t="s">
        <v>29</v>
      </c>
      <c r="J590" s="2" t="s">
        <v>87</v>
      </c>
      <c r="K590" s="2" t="s">
        <v>17</v>
      </c>
      <c r="L590" s="7">
        <f>Table3[[#This Row],[Revenue]]-Table3[[#This Row],[Ad Spend]]</f>
        <v>374.59000000000003</v>
      </c>
      <c r="M590" s="11">
        <v>142.83000000000001</v>
      </c>
    </row>
    <row r="591" spans="1:13" ht="15.75" customHeight="1" x14ac:dyDescent="0.3">
      <c r="A591" s="4" t="s">
        <v>142</v>
      </c>
      <c r="B591">
        <f t="shared" si="9"/>
        <v>12</v>
      </c>
      <c r="C591" s="2" t="s">
        <v>12</v>
      </c>
      <c r="D591" s="2" t="s">
        <v>915</v>
      </c>
      <c r="E591" s="7">
        <v>125.09</v>
      </c>
      <c r="F591" s="2">
        <v>10</v>
      </c>
      <c r="G591" s="7">
        <v>51.47</v>
      </c>
      <c r="H591" s="2" t="s">
        <v>186</v>
      </c>
      <c r="I591" s="2" t="s">
        <v>35</v>
      </c>
      <c r="J591" s="2" t="s">
        <v>36</v>
      </c>
      <c r="K591" s="2" t="s">
        <v>17</v>
      </c>
      <c r="L591" s="7">
        <f>Table3[[#This Row],[Revenue]]-Table3[[#This Row],[Ad Spend]]</f>
        <v>-73.62</v>
      </c>
      <c r="M591" s="11">
        <v>127</v>
      </c>
    </row>
    <row r="592" spans="1:13" ht="15.75" customHeight="1" x14ac:dyDescent="0.3">
      <c r="A592" s="4" t="s">
        <v>515</v>
      </c>
      <c r="B592">
        <f t="shared" si="9"/>
        <v>3</v>
      </c>
      <c r="C592" s="2" t="s">
        <v>19</v>
      </c>
      <c r="D592" s="2" t="s">
        <v>916</v>
      </c>
      <c r="E592" s="7">
        <v>23.27</v>
      </c>
      <c r="F592" s="2">
        <v>0</v>
      </c>
      <c r="G592" s="7">
        <v>475.04</v>
      </c>
      <c r="H592" s="2" t="s">
        <v>917</v>
      </c>
      <c r="I592" s="2" t="s">
        <v>15</v>
      </c>
      <c r="J592" s="2" t="s">
        <v>53</v>
      </c>
      <c r="K592" s="2" t="s">
        <v>46</v>
      </c>
      <c r="L592" s="7">
        <f>Table3[[#This Row],[Revenue]]-Table3[[#This Row],[Ad Spend]]</f>
        <v>451.77000000000004</v>
      </c>
      <c r="M592" s="11">
        <v>128.66</v>
      </c>
    </row>
    <row r="593" spans="1:13" ht="15.75" customHeight="1" x14ac:dyDescent="0.3">
      <c r="A593" s="4" t="s">
        <v>71</v>
      </c>
      <c r="B593">
        <f t="shared" si="9"/>
        <v>12</v>
      </c>
      <c r="C593" s="2" t="s">
        <v>19</v>
      </c>
      <c r="D593" s="2" t="s">
        <v>455</v>
      </c>
      <c r="E593" s="7">
        <v>81.430000000000007</v>
      </c>
      <c r="F593" s="2">
        <v>6</v>
      </c>
      <c r="G593" s="7">
        <v>432.88</v>
      </c>
      <c r="H593" s="2" t="s">
        <v>86</v>
      </c>
      <c r="I593" s="2" t="s">
        <v>29</v>
      </c>
      <c r="J593" s="2" t="s">
        <v>30</v>
      </c>
      <c r="K593" s="2" t="s">
        <v>17</v>
      </c>
      <c r="L593" s="7">
        <f>Table3[[#This Row],[Revenue]]-Table3[[#This Row],[Ad Spend]]</f>
        <v>351.45</v>
      </c>
      <c r="M593" s="11">
        <v>112.11</v>
      </c>
    </row>
    <row r="594" spans="1:13" ht="15.75" customHeight="1" x14ac:dyDescent="0.3">
      <c r="A594" s="4" t="s">
        <v>918</v>
      </c>
      <c r="B594">
        <f t="shared" si="9"/>
        <v>2</v>
      </c>
      <c r="C594" s="2" t="s">
        <v>19</v>
      </c>
      <c r="D594" s="2" t="s">
        <v>596</v>
      </c>
      <c r="E594" s="7">
        <v>127.8</v>
      </c>
      <c r="F594" s="2">
        <v>2</v>
      </c>
      <c r="G594" s="7">
        <v>335.19</v>
      </c>
      <c r="H594" s="2" t="s">
        <v>879</v>
      </c>
      <c r="I594" s="2" t="s">
        <v>15</v>
      </c>
      <c r="J594" s="2" t="s">
        <v>53</v>
      </c>
      <c r="K594" s="2" t="s">
        <v>17</v>
      </c>
      <c r="L594" s="7">
        <f>Table3[[#This Row],[Revenue]]-Table3[[#This Row],[Ad Spend]]</f>
        <v>207.39</v>
      </c>
      <c r="M594" s="11">
        <v>145.53</v>
      </c>
    </row>
    <row r="595" spans="1:13" ht="15.75" customHeight="1" x14ac:dyDescent="0.3">
      <c r="A595" s="4" t="s">
        <v>133</v>
      </c>
      <c r="B595">
        <f t="shared" si="9"/>
        <v>3</v>
      </c>
      <c r="C595" s="2" t="s">
        <v>12</v>
      </c>
      <c r="D595" s="2" t="s">
        <v>83</v>
      </c>
      <c r="E595" s="7">
        <v>72.91</v>
      </c>
      <c r="F595" s="2">
        <v>5</v>
      </c>
      <c r="G595" s="7">
        <v>176.46</v>
      </c>
      <c r="H595" s="2" t="s">
        <v>811</v>
      </c>
      <c r="I595" s="2" t="s">
        <v>35</v>
      </c>
      <c r="J595" s="2" t="s">
        <v>87</v>
      </c>
      <c r="K595" s="2" t="s">
        <v>17</v>
      </c>
      <c r="L595" s="7">
        <f>Table3[[#This Row],[Revenue]]-Table3[[#This Row],[Ad Spend]]</f>
        <v>103.55000000000001</v>
      </c>
      <c r="M595" s="11">
        <v>150.22999999999999</v>
      </c>
    </row>
    <row r="596" spans="1:13" ht="15.75" customHeight="1" x14ac:dyDescent="0.3">
      <c r="A596" s="4" t="s">
        <v>189</v>
      </c>
      <c r="B596">
        <f t="shared" si="9"/>
        <v>2</v>
      </c>
      <c r="C596" s="2" t="s">
        <v>32</v>
      </c>
      <c r="D596" s="2" t="s">
        <v>919</v>
      </c>
      <c r="E596" s="7">
        <v>77.84</v>
      </c>
      <c r="F596" s="2">
        <v>7</v>
      </c>
      <c r="G596" s="7">
        <v>346.14</v>
      </c>
      <c r="H596" s="2" t="s">
        <v>413</v>
      </c>
      <c r="I596" s="2" t="s">
        <v>35</v>
      </c>
      <c r="J596" s="2" t="s">
        <v>30</v>
      </c>
      <c r="K596" s="2" t="s">
        <v>17</v>
      </c>
      <c r="L596" s="7">
        <f>Table3[[#This Row],[Revenue]]-Table3[[#This Row],[Ad Spend]]</f>
        <v>268.29999999999995</v>
      </c>
      <c r="M596" s="11">
        <v>123.31</v>
      </c>
    </row>
    <row r="597" spans="1:13" ht="15.75" customHeight="1" x14ac:dyDescent="0.3">
      <c r="A597" s="4" t="s">
        <v>59</v>
      </c>
      <c r="B597">
        <f t="shared" si="9"/>
        <v>3</v>
      </c>
      <c r="C597" s="2" t="s">
        <v>32</v>
      </c>
      <c r="D597" s="2" t="s">
        <v>920</v>
      </c>
      <c r="E597" s="7">
        <v>146.43</v>
      </c>
      <c r="F597" s="2">
        <v>0</v>
      </c>
      <c r="G597" s="7">
        <v>139.97</v>
      </c>
      <c r="H597" s="2" t="s">
        <v>921</v>
      </c>
      <c r="I597" s="2" t="s">
        <v>29</v>
      </c>
      <c r="J597" s="2" t="s">
        <v>30</v>
      </c>
      <c r="K597" s="2" t="s">
        <v>46</v>
      </c>
      <c r="L597" s="7">
        <f>Table3[[#This Row],[Revenue]]-Table3[[#This Row],[Ad Spend]]</f>
        <v>-6.460000000000008</v>
      </c>
      <c r="M597" s="11">
        <v>126.83</v>
      </c>
    </row>
    <row r="598" spans="1:13" ht="15.75" customHeight="1" x14ac:dyDescent="0.3">
      <c r="A598" s="4" t="s">
        <v>105</v>
      </c>
      <c r="B598">
        <f t="shared" si="9"/>
        <v>1</v>
      </c>
      <c r="C598" s="2" t="s">
        <v>19</v>
      </c>
      <c r="D598" s="2" t="s">
        <v>922</v>
      </c>
      <c r="E598" s="7">
        <v>104.37</v>
      </c>
      <c r="F598" s="2">
        <v>6</v>
      </c>
      <c r="G598" s="7">
        <v>298.73</v>
      </c>
      <c r="H598" s="2" t="s">
        <v>923</v>
      </c>
      <c r="I598" s="2" t="s">
        <v>15</v>
      </c>
      <c r="J598" s="2" t="s">
        <v>30</v>
      </c>
      <c r="K598" s="2" t="s">
        <v>17</v>
      </c>
      <c r="L598" s="7">
        <f>Table3[[#This Row],[Revenue]]-Table3[[#This Row],[Ad Spend]]</f>
        <v>194.36</v>
      </c>
      <c r="M598" s="11">
        <v>141.51</v>
      </c>
    </row>
    <row r="599" spans="1:13" ht="15.75" customHeight="1" x14ac:dyDescent="0.3">
      <c r="A599" s="4" t="s">
        <v>421</v>
      </c>
      <c r="B599">
        <f t="shared" si="9"/>
        <v>11</v>
      </c>
      <c r="C599" s="2" t="s">
        <v>12</v>
      </c>
      <c r="D599" s="2" t="s">
        <v>924</v>
      </c>
      <c r="E599" s="7">
        <v>54.33</v>
      </c>
      <c r="F599" s="2">
        <v>2</v>
      </c>
      <c r="G599" s="7">
        <v>428.81</v>
      </c>
      <c r="H599" s="2" t="s">
        <v>386</v>
      </c>
      <c r="I599" s="2" t="s">
        <v>15</v>
      </c>
      <c r="J599" s="2" t="s">
        <v>16</v>
      </c>
      <c r="K599" s="2" t="s">
        <v>17</v>
      </c>
      <c r="L599" s="7">
        <f>Table3[[#This Row],[Revenue]]-Table3[[#This Row],[Ad Spend]]</f>
        <v>374.48</v>
      </c>
      <c r="M599" s="11">
        <v>151.84</v>
      </c>
    </row>
    <row r="600" spans="1:13" ht="15.75" customHeight="1" x14ac:dyDescent="0.3">
      <c r="A600" s="4" t="s">
        <v>76</v>
      </c>
      <c r="B600">
        <f t="shared" si="9"/>
        <v>1</v>
      </c>
      <c r="C600" s="2" t="s">
        <v>32</v>
      </c>
      <c r="D600" s="2" t="s">
        <v>378</v>
      </c>
      <c r="E600" s="7">
        <v>89.74</v>
      </c>
      <c r="F600" s="2">
        <v>0</v>
      </c>
      <c r="G600" s="7">
        <v>222.81</v>
      </c>
      <c r="H600" s="2" t="s">
        <v>78</v>
      </c>
      <c r="I600" s="2" t="s">
        <v>15</v>
      </c>
      <c r="J600" s="2" t="s">
        <v>87</v>
      </c>
      <c r="K600" s="2" t="s">
        <v>46</v>
      </c>
      <c r="L600" s="7">
        <f>Table3[[#This Row],[Revenue]]-Table3[[#This Row],[Ad Spend]]</f>
        <v>133.07</v>
      </c>
      <c r="M600" s="11">
        <v>154.02000000000001</v>
      </c>
    </row>
    <row r="601" spans="1:13" ht="15.75" customHeight="1" x14ac:dyDescent="0.3">
      <c r="A601" s="4" t="s">
        <v>68</v>
      </c>
      <c r="B601">
        <f t="shared" si="9"/>
        <v>4</v>
      </c>
      <c r="C601" s="2" t="s">
        <v>32</v>
      </c>
      <c r="D601" s="2" t="s">
        <v>350</v>
      </c>
      <c r="E601" s="7">
        <v>21.48</v>
      </c>
      <c r="F601" s="2">
        <v>2</v>
      </c>
      <c r="G601" s="7">
        <v>236.83</v>
      </c>
      <c r="H601" s="2" t="s">
        <v>101</v>
      </c>
      <c r="I601" s="2" t="s">
        <v>35</v>
      </c>
      <c r="J601" s="2" t="s">
        <v>25</v>
      </c>
      <c r="K601" s="2" t="s">
        <v>17</v>
      </c>
      <c r="L601" s="7">
        <f>Table3[[#This Row],[Revenue]]-Table3[[#This Row],[Ad Spend]]</f>
        <v>215.35000000000002</v>
      </c>
      <c r="M601" s="11">
        <v>124.8</v>
      </c>
    </row>
    <row r="602" spans="1:13" ht="15.75" customHeight="1" x14ac:dyDescent="0.3">
      <c r="A602" s="4" t="s">
        <v>511</v>
      </c>
      <c r="B602">
        <f t="shared" si="9"/>
        <v>12</v>
      </c>
      <c r="C602" s="2" t="s">
        <v>19</v>
      </c>
      <c r="D602" s="2" t="s">
        <v>925</v>
      </c>
      <c r="E602" s="7">
        <v>36.1</v>
      </c>
      <c r="F602" s="2">
        <v>8</v>
      </c>
      <c r="G602" s="7">
        <v>127.25</v>
      </c>
      <c r="H602" s="2" t="s">
        <v>926</v>
      </c>
      <c r="I602" s="2" t="s">
        <v>35</v>
      </c>
      <c r="J602" s="2" t="s">
        <v>25</v>
      </c>
      <c r="K602" s="2" t="s">
        <v>17</v>
      </c>
      <c r="L602" s="7">
        <f>Table3[[#This Row],[Revenue]]-Table3[[#This Row],[Ad Spend]]</f>
        <v>91.15</v>
      </c>
      <c r="M602" s="11">
        <v>72.180000000000007</v>
      </c>
    </row>
    <row r="603" spans="1:13" ht="15.75" customHeight="1" x14ac:dyDescent="0.3">
      <c r="A603" s="4" t="s">
        <v>79</v>
      </c>
      <c r="B603">
        <f t="shared" si="9"/>
        <v>11</v>
      </c>
      <c r="C603" s="2" t="s">
        <v>19</v>
      </c>
      <c r="D603" s="2" t="s">
        <v>927</v>
      </c>
      <c r="E603" s="7">
        <v>83.5</v>
      </c>
      <c r="F603" s="2">
        <v>3</v>
      </c>
      <c r="G603" s="7">
        <v>124.85</v>
      </c>
      <c r="H603" s="2" t="s">
        <v>138</v>
      </c>
      <c r="I603" s="2" t="s">
        <v>35</v>
      </c>
      <c r="J603" s="2" t="s">
        <v>25</v>
      </c>
      <c r="K603" s="2" t="s">
        <v>17</v>
      </c>
      <c r="L603" s="7">
        <f>Table3[[#This Row],[Revenue]]-Table3[[#This Row],[Ad Spend]]</f>
        <v>41.349999999999994</v>
      </c>
      <c r="M603" s="11">
        <v>134.94999999999999</v>
      </c>
    </row>
    <row r="604" spans="1:13" ht="15.75" customHeight="1" x14ac:dyDescent="0.3">
      <c r="A604" s="4" t="s">
        <v>322</v>
      </c>
      <c r="B604">
        <f t="shared" si="9"/>
        <v>11</v>
      </c>
      <c r="C604" s="2" t="s">
        <v>63</v>
      </c>
      <c r="D604" s="2" t="s">
        <v>69</v>
      </c>
      <c r="E604" s="7">
        <v>27.7</v>
      </c>
      <c r="F604" s="2">
        <v>4</v>
      </c>
      <c r="G604" s="7">
        <v>369.39</v>
      </c>
      <c r="H604" s="2" t="s">
        <v>928</v>
      </c>
      <c r="I604" s="2" t="s">
        <v>35</v>
      </c>
      <c r="J604" s="2" t="s">
        <v>30</v>
      </c>
      <c r="K604" s="2" t="s">
        <v>17</v>
      </c>
      <c r="L604" s="7">
        <f>Table3[[#This Row],[Revenue]]-Table3[[#This Row],[Ad Spend]]</f>
        <v>341.69</v>
      </c>
      <c r="M604" s="11">
        <v>177.08</v>
      </c>
    </row>
    <row r="605" spans="1:13" ht="15.75" customHeight="1" x14ac:dyDescent="0.3">
      <c r="A605" s="4" t="s">
        <v>59</v>
      </c>
      <c r="B605">
        <f t="shared" si="9"/>
        <v>3</v>
      </c>
      <c r="C605" s="2" t="s">
        <v>63</v>
      </c>
      <c r="D605" s="2" t="s">
        <v>358</v>
      </c>
      <c r="E605" s="7">
        <v>37.46</v>
      </c>
      <c r="F605" s="2">
        <v>0</v>
      </c>
      <c r="G605" s="7">
        <v>275.29000000000002</v>
      </c>
      <c r="H605" s="2" t="s">
        <v>903</v>
      </c>
      <c r="I605" s="2" t="s">
        <v>15</v>
      </c>
      <c r="J605" s="2" t="s">
        <v>16</v>
      </c>
      <c r="K605" s="2" t="s">
        <v>46</v>
      </c>
      <c r="L605" s="7">
        <f>Table3[[#This Row],[Revenue]]-Table3[[#This Row],[Ad Spend]]</f>
        <v>237.83</v>
      </c>
      <c r="M605" s="11">
        <v>153.16</v>
      </c>
    </row>
    <row r="606" spans="1:13" ht="15.75" customHeight="1" x14ac:dyDescent="0.3">
      <c r="A606" s="4" t="s">
        <v>519</v>
      </c>
      <c r="B606">
        <f t="shared" si="9"/>
        <v>4</v>
      </c>
      <c r="C606" s="2" t="s">
        <v>19</v>
      </c>
      <c r="D606" s="2" t="s">
        <v>929</v>
      </c>
      <c r="E606" s="7">
        <v>101.76</v>
      </c>
      <c r="F606" s="2">
        <v>4</v>
      </c>
      <c r="G606" s="7">
        <v>480.57</v>
      </c>
      <c r="H606" s="2" t="s">
        <v>681</v>
      </c>
      <c r="I606" s="2" t="s">
        <v>29</v>
      </c>
      <c r="J606" s="2" t="s">
        <v>87</v>
      </c>
      <c r="K606" s="2" t="s">
        <v>17</v>
      </c>
      <c r="L606" s="7">
        <f>Table3[[#This Row],[Revenue]]-Table3[[#This Row],[Ad Spend]]</f>
        <v>378.81</v>
      </c>
      <c r="M606" s="11">
        <v>154.30000000000001</v>
      </c>
    </row>
    <row r="607" spans="1:13" ht="15.75" customHeight="1" x14ac:dyDescent="0.3">
      <c r="A607" s="4" t="s">
        <v>252</v>
      </c>
      <c r="B607">
        <f t="shared" si="9"/>
        <v>11</v>
      </c>
      <c r="C607" s="2" t="s">
        <v>12</v>
      </c>
      <c r="D607" s="2" t="s">
        <v>930</v>
      </c>
      <c r="E607" s="7">
        <v>69.7</v>
      </c>
      <c r="F607" s="2">
        <v>4</v>
      </c>
      <c r="G607" s="7">
        <v>84.77</v>
      </c>
      <c r="H607" s="2" t="s">
        <v>235</v>
      </c>
      <c r="I607" s="2" t="s">
        <v>29</v>
      </c>
      <c r="J607" s="2" t="s">
        <v>30</v>
      </c>
      <c r="K607" s="2" t="s">
        <v>17</v>
      </c>
      <c r="L607" s="7">
        <f>Table3[[#This Row],[Revenue]]-Table3[[#This Row],[Ad Spend]]</f>
        <v>15.069999999999993</v>
      </c>
      <c r="M607" s="11">
        <v>128.04</v>
      </c>
    </row>
    <row r="608" spans="1:13" ht="15.75" customHeight="1" x14ac:dyDescent="0.3">
      <c r="A608" s="4" t="s">
        <v>753</v>
      </c>
      <c r="B608">
        <f t="shared" si="9"/>
        <v>11</v>
      </c>
      <c r="C608" s="2" t="s">
        <v>19</v>
      </c>
      <c r="D608" s="2" t="s">
        <v>931</v>
      </c>
      <c r="E608" s="7">
        <v>138.11000000000001</v>
      </c>
      <c r="F608" s="2">
        <v>0</v>
      </c>
      <c r="G608" s="7">
        <v>375.92</v>
      </c>
      <c r="H608" s="2" t="s">
        <v>112</v>
      </c>
      <c r="I608" s="2" t="s">
        <v>29</v>
      </c>
      <c r="J608" s="2" t="s">
        <v>36</v>
      </c>
      <c r="K608" s="2" t="s">
        <v>46</v>
      </c>
      <c r="L608" s="7">
        <f>Table3[[#This Row],[Revenue]]-Table3[[#This Row],[Ad Spend]]</f>
        <v>237.81</v>
      </c>
      <c r="M608" s="11">
        <v>118.99</v>
      </c>
    </row>
    <row r="609" spans="1:13" ht="15.75" customHeight="1" x14ac:dyDescent="0.3">
      <c r="A609" s="4" t="s">
        <v>287</v>
      </c>
      <c r="B609">
        <f t="shared" si="9"/>
        <v>2</v>
      </c>
      <c r="C609" s="2" t="s">
        <v>12</v>
      </c>
      <c r="D609" s="2" t="s">
        <v>548</v>
      </c>
      <c r="E609" s="7">
        <v>16.440000000000001</v>
      </c>
      <c r="F609" s="2">
        <v>8</v>
      </c>
      <c r="G609" s="7">
        <v>460.98</v>
      </c>
      <c r="H609" s="2" t="s">
        <v>61</v>
      </c>
      <c r="I609" s="2" t="s">
        <v>15</v>
      </c>
      <c r="J609" s="2" t="s">
        <v>30</v>
      </c>
      <c r="K609" s="2" t="s">
        <v>17</v>
      </c>
      <c r="L609" s="7">
        <f>Table3[[#This Row],[Revenue]]-Table3[[#This Row],[Ad Spend]]</f>
        <v>444.54</v>
      </c>
      <c r="M609" s="11">
        <v>138.79</v>
      </c>
    </row>
    <row r="610" spans="1:13" ht="15.75" customHeight="1" x14ac:dyDescent="0.3">
      <c r="A610" s="4" t="s">
        <v>71</v>
      </c>
      <c r="B610">
        <f t="shared" si="9"/>
        <v>12</v>
      </c>
      <c r="C610" s="2" t="s">
        <v>63</v>
      </c>
      <c r="D610" s="2" t="s">
        <v>894</v>
      </c>
      <c r="E610" s="7">
        <v>28.63</v>
      </c>
      <c r="F610" s="2">
        <v>8</v>
      </c>
      <c r="G610" s="7">
        <v>27.36</v>
      </c>
      <c r="H610" s="2" t="s">
        <v>695</v>
      </c>
      <c r="I610" s="2" t="s">
        <v>29</v>
      </c>
      <c r="J610" s="2" t="s">
        <v>30</v>
      </c>
      <c r="K610" s="2" t="s">
        <v>17</v>
      </c>
      <c r="L610" s="7">
        <f>Table3[[#This Row],[Revenue]]-Table3[[#This Row],[Ad Spend]]</f>
        <v>-1.2699999999999996</v>
      </c>
      <c r="M610" s="11">
        <v>130.59</v>
      </c>
    </row>
    <row r="611" spans="1:13" ht="15.75" customHeight="1" x14ac:dyDescent="0.3">
      <c r="A611" s="4" t="s">
        <v>312</v>
      </c>
      <c r="B611">
        <f t="shared" si="9"/>
        <v>3</v>
      </c>
      <c r="C611" s="2" t="s">
        <v>19</v>
      </c>
      <c r="D611" s="2" t="s">
        <v>932</v>
      </c>
      <c r="E611" s="7">
        <v>49.62</v>
      </c>
      <c r="F611" s="2">
        <v>8</v>
      </c>
      <c r="G611" s="7">
        <v>83.55</v>
      </c>
      <c r="H611" s="2" t="s">
        <v>933</v>
      </c>
      <c r="I611" s="2" t="s">
        <v>35</v>
      </c>
      <c r="J611" s="2" t="s">
        <v>25</v>
      </c>
      <c r="K611" s="2" t="s">
        <v>17</v>
      </c>
      <c r="L611" s="7">
        <f>Table3[[#This Row],[Revenue]]-Table3[[#This Row],[Ad Spend]]</f>
        <v>33.93</v>
      </c>
      <c r="M611" s="11">
        <v>109.23</v>
      </c>
    </row>
    <row r="612" spans="1:13" ht="15.75" customHeight="1" x14ac:dyDescent="0.3">
      <c r="A612" s="4" t="s">
        <v>47</v>
      </c>
      <c r="B612">
        <f t="shared" si="9"/>
        <v>12</v>
      </c>
      <c r="C612" s="2" t="s">
        <v>63</v>
      </c>
      <c r="D612" s="2" t="s">
        <v>934</v>
      </c>
      <c r="E612" s="7">
        <v>26.98</v>
      </c>
      <c r="F612" s="2">
        <v>5</v>
      </c>
      <c r="G612" s="7">
        <v>143.66</v>
      </c>
      <c r="H612" s="2" t="s">
        <v>174</v>
      </c>
      <c r="I612" s="2" t="s">
        <v>15</v>
      </c>
      <c r="J612" s="2" t="s">
        <v>53</v>
      </c>
      <c r="K612" s="2" t="s">
        <v>17</v>
      </c>
      <c r="L612" s="7">
        <f>Table3[[#This Row],[Revenue]]-Table3[[#This Row],[Ad Spend]]</f>
        <v>116.67999999999999</v>
      </c>
      <c r="M612" s="11">
        <v>102.38</v>
      </c>
    </row>
    <row r="613" spans="1:13" ht="15.75" customHeight="1" x14ac:dyDescent="0.3">
      <c r="A613" s="4" t="s">
        <v>91</v>
      </c>
      <c r="B613">
        <f t="shared" si="9"/>
        <v>3</v>
      </c>
      <c r="C613" s="2" t="s">
        <v>19</v>
      </c>
      <c r="D613" s="2" t="s">
        <v>935</v>
      </c>
      <c r="E613" s="7">
        <v>34.94</v>
      </c>
      <c r="F613" s="2">
        <v>4</v>
      </c>
      <c r="G613" s="7">
        <v>74.430000000000007</v>
      </c>
      <c r="H613" s="2" t="s">
        <v>705</v>
      </c>
      <c r="I613" s="2" t="s">
        <v>29</v>
      </c>
      <c r="J613" s="2" t="s">
        <v>87</v>
      </c>
      <c r="K613" s="2" t="s">
        <v>17</v>
      </c>
      <c r="L613" s="7">
        <f>Table3[[#This Row],[Revenue]]-Table3[[#This Row],[Ad Spend]]</f>
        <v>39.490000000000009</v>
      </c>
      <c r="M613" s="11">
        <v>130.07</v>
      </c>
    </row>
    <row r="614" spans="1:13" ht="15.75" customHeight="1" x14ac:dyDescent="0.3">
      <c r="A614" s="4" t="s">
        <v>205</v>
      </c>
      <c r="B614">
        <f t="shared" si="9"/>
        <v>2</v>
      </c>
      <c r="C614" s="2" t="s">
        <v>19</v>
      </c>
      <c r="D614" s="2" t="s">
        <v>790</v>
      </c>
      <c r="E614" s="7">
        <v>64.94</v>
      </c>
      <c r="F614" s="2">
        <v>8</v>
      </c>
      <c r="G614" s="7">
        <v>435.86</v>
      </c>
      <c r="H614" s="2" t="s">
        <v>936</v>
      </c>
      <c r="I614" s="2" t="s">
        <v>29</v>
      </c>
      <c r="J614" s="2" t="s">
        <v>87</v>
      </c>
      <c r="K614" s="2" t="s">
        <v>17</v>
      </c>
      <c r="L614" s="7">
        <f>Table3[[#This Row],[Revenue]]-Table3[[#This Row],[Ad Spend]]</f>
        <v>370.92</v>
      </c>
      <c r="M614" s="11">
        <v>172.84</v>
      </c>
    </row>
    <row r="615" spans="1:13" ht="15.75" customHeight="1" x14ac:dyDescent="0.3">
      <c r="A615" s="4" t="s">
        <v>875</v>
      </c>
      <c r="B615">
        <f t="shared" si="9"/>
        <v>12</v>
      </c>
      <c r="C615" s="2" t="s">
        <v>19</v>
      </c>
      <c r="D615" s="2" t="s">
        <v>937</v>
      </c>
      <c r="E615" s="7">
        <v>108.26</v>
      </c>
      <c r="F615" s="2">
        <v>4</v>
      </c>
      <c r="G615" s="7">
        <v>141.94999999999999</v>
      </c>
      <c r="H615" s="2" t="s">
        <v>152</v>
      </c>
      <c r="I615" s="2" t="s">
        <v>15</v>
      </c>
      <c r="J615" s="2" t="s">
        <v>25</v>
      </c>
      <c r="K615" s="2" t="s">
        <v>17</v>
      </c>
      <c r="L615" s="7">
        <f>Table3[[#This Row],[Revenue]]-Table3[[#This Row],[Ad Spend]]</f>
        <v>33.689999999999984</v>
      </c>
      <c r="M615" s="11">
        <v>104.34</v>
      </c>
    </row>
    <row r="616" spans="1:13" ht="15.75" customHeight="1" x14ac:dyDescent="0.3">
      <c r="A616" s="4" t="s">
        <v>515</v>
      </c>
      <c r="B616">
        <f t="shared" si="9"/>
        <v>3</v>
      </c>
      <c r="C616" s="2" t="s">
        <v>63</v>
      </c>
      <c r="D616" s="2" t="s">
        <v>435</v>
      </c>
      <c r="E616" s="7">
        <v>8.4600000000000009</v>
      </c>
      <c r="F616" s="2">
        <v>6</v>
      </c>
      <c r="G616" s="7">
        <v>351.4</v>
      </c>
      <c r="H616" s="2" t="s">
        <v>489</v>
      </c>
      <c r="I616" s="2" t="s">
        <v>15</v>
      </c>
      <c r="J616" s="2" t="s">
        <v>16</v>
      </c>
      <c r="K616" s="2" t="s">
        <v>17</v>
      </c>
      <c r="L616" s="7">
        <f>Table3[[#This Row],[Revenue]]-Table3[[#This Row],[Ad Spend]]</f>
        <v>342.94</v>
      </c>
      <c r="M616" s="11">
        <v>146.55000000000001</v>
      </c>
    </row>
    <row r="617" spans="1:13" ht="15.75" customHeight="1" x14ac:dyDescent="0.3">
      <c r="A617" s="4" t="s">
        <v>433</v>
      </c>
      <c r="B617">
        <f t="shared" si="9"/>
        <v>1</v>
      </c>
      <c r="C617" s="2" t="s">
        <v>32</v>
      </c>
      <c r="D617" s="2" t="s">
        <v>938</v>
      </c>
      <c r="E617" s="7">
        <v>76.33</v>
      </c>
      <c r="F617" s="2">
        <v>3</v>
      </c>
      <c r="G617" s="7">
        <v>42.38</v>
      </c>
      <c r="H617" s="2" t="s">
        <v>939</v>
      </c>
      <c r="I617" s="2" t="s">
        <v>15</v>
      </c>
      <c r="J617" s="2" t="s">
        <v>30</v>
      </c>
      <c r="K617" s="2" t="s">
        <v>17</v>
      </c>
      <c r="L617" s="7">
        <f>Table3[[#This Row],[Revenue]]-Table3[[#This Row],[Ad Spend]]</f>
        <v>-33.949999999999996</v>
      </c>
      <c r="M617" s="11">
        <v>115.81</v>
      </c>
    </row>
    <row r="618" spans="1:13" ht="15.75" customHeight="1" x14ac:dyDescent="0.3">
      <c r="A618" s="4" t="s">
        <v>208</v>
      </c>
      <c r="B618">
        <f t="shared" si="9"/>
        <v>11</v>
      </c>
      <c r="C618" s="2" t="s">
        <v>63</v>
      </c>
      <c r="D618" s="2" t="s">
        <v>940</v>
      </c>
      <c r="E618" s="7">
        <v>97.85</v>
      </c>
      <c r="F618" s="2">
        <v>7</v>
      </c>
      <c r="G618" s="7">
        <v>285.60000000000002</v>
      </c>
      <c r="H618" s="2" t="s">
        <v>941</v>
      </c>
      <c r="I618" s="2" t="s">
        <v>35</v>
      </c>
      <c r="J618" s="2" t="s">
        <v>25</v>
      </c>
      <c r="K618" s="2" t="s">
        <v>17</v>
      </c>
      <c r="L618" s="7">
        <f>Table3[[#This Row],[Revenue]]-Table3[[#This Row],[Ad Spend]]</f>
        <v>187.75000000000003</v>
      </c>
      <c r="M618" s="11">
        <v>166.38</v>
      </c>
    </row>
    <row r="619" spans="1:13" ht="15.75" customHeight="1" x14ac:dyDescent="0.3">
      <c r="A619" s="4" t="s">
        <v>94</v>
      </c>
      <c r="B619">
        <f t="shared" si="9"/>
        <v>1</v>
      </c>
      <c r="C619" s="2" t="s">
        <v>63</v>
      </c>
      <c r="D619" s="2" t="s">
        <v>942</v>
      </c>
      <c r="E619" s="7">
        <v>99.18</v>
      </c>
      <c r="F619" s="2">
        <v>5</v>
      </c>
      <c r="G619" s="7">
        <v>56.92</v>
      </c>
      <c r="H619" s="2" t="s">
        <v>721</v>
      </c>
      <c r="I619" s="2" t="s">
        <v>29</v>
      </c>
      <c r="J619" s="2" t="s">
        <v>30</v>
      </c>
      <c r="K619" s="2" t="s">
        <v>17</v>
      </c>
      <c r="L619" s="7">
        <f>Table3[[#This Row],[Revenue]]-Table3[[#This Row],[Ad Spend]]</f>
        <v>-42.260000000000005</v>
      </c>
      <c r="M619" s="11">
        <v>95.6</v>
      </c>
    </row>
    <row r="620" spans="1:13" ht="15.75" customHeight="1" x14ac:dyDescent="0.3">
      <c r="A620" s="4" t="s">
        <v>236</v>
      </c>
      <c r="B620">
        <f t="shared" si="9"/>
        <v>4</v>
      </c>
      <c r="C620" s="2" t="s">
        <v>32</v>
      </c>
      <c r="D620" s="2" t="s">
        <v>450</v>
      </c>
      <c r="E620" s="7">
        <v>89.88</v>
      </c>
      <c r="F620" s="2">
        <v>7</v>
      </c>
      <c r="G620" s="7">
        <v>390.98</v>
      </c>
      <c r="H620" s="2" t="s">
        <v>568</v>
      </c>
      <c r="I620" s="2" t="s">
        <v>15</v>
      </c>
      <c r="J620" s="2" t="s">
        <v>36</v>
      </c>
      <c r="K620" s="2" t="s">
        <v>17</v>
      </c>
      <c r="L620" s="7">
        <f>Table3[[#This Row],[Revenue]]-Table3[[#This Row],[Ad Spend]]</f>
        <v>301.10000000000002</v>
      </c>
      <c r="M620" s="11">
        <v>114.37</v>
      </c>
    </row>
    <row r="621" spans="1:13" ht="15.75" customHeight="1" x14ac:dyDescent="0.3">
      <c r="A621" s="4" t="s">
        <v>483</v>
      </c>
      <c r="B621">
        <f t="shared" si="9"/>
        <v>4</v>
      </c>
      <c r="C621" s="2" t="s">
        <v>32</v>
      </c>
      <c r="D621" s="2" t="s">
        <v>943</v>
      </c>
      <c r="E621" s="7">
        <v>79.25</v>
      </c>
      <c r="F621" s="2">
        <v>6</v>
      </c>
      <c r="G621" s="7">
        <v>62.46</v>
      </c>
      <c r="H621" s="2" t="s">
        <v>944</v>
      </c>
      <c r="I621" s="2" t="s">
        <v>29</v>
      </c>
      <c r="J621" s="2" t="s">
        <v>30</v>
      </c>
      <c r="K621" s="2" t="s">
        <v>17</v>
      </c>
      <c r="L621" s="7">
        <f>Table3[[#This Row],[Revenue]]-Table3[[#This Row],[Ad Spend]]</f>
        <v>-16.79</v>
      </c>
      <c r="M621" s="11">
        <v>45.95</v>
      </c>
    </row>
    <row r="622" spans="1:13" ht="15.75" customHeight="1" x14ac:dyDescent="0.3">
      <c r="A622" s="4" t="s">
        <v>353</v>
      </c>
      <c r="B622">
        <f t="shared" si="9"/>
        <v>1</v>
      </c>
      <c r="C622" s="2" t="s">
        <v>32</v>
      </c>
      <c r="D622" s="2" t="s">
        <v>945</v>
      </c>
      <c r="E622" s="7">
        <v>142.22</v>
      </c>
      <c r="F622" s="2">
        <v>8</v>
      </c>
      <c r="G622" s="7">
        <v>291.12</v>
      </c>
      <c r="H622" s="2" t="s">
        <v>441</v>
      </c>
      <c r="I622" s="2" t="s">
        <v>15</v>
      </c>
      <c r="J622" s="2" t="s">
        <v>25</v>
      </c>
      <c r="K622" s="2" t="s">
        <v>17</v>
      </c>
      <c r="L622" s="7">
        <f>Table3[[#This Row],[Revenue]]-Table3[[#This Row],[Ad Spend]]</f>
        <v>148.9</v>
      </c>
      <c r="M622" s="11">
        <v>108.64</v>
      </c>
    </row>
    <row r="623" spans="1:13" ht="15.75" customHeight="1" x14ac:dyDescent="0.3">
      <c r="A623" s="4" t="s">
        <v>433</v>
      </c>
      <c r="B623">
        <f t="shared" si="9"/>
        <v>1</v>
      </c>
      <c r="C623" s="2" t="s">
        <v>63</v>
      </c>
      <c r="D623" s="2" t="s">
        <v>622</v>
      </c>
      <c r="E623" s="7">
        <v>147.63999999999999</v>
      </c>
      <c r="F623" s="2">
        <v>7</v>
      </c>
      <c r="G623" s="7">
        <v>295.74</v>
      </c>
      <c r="H623" s="2" t="s">
        <v>827</v>
      </c>
      <c r="I623" s="2" t="s">
        <v>29</v>
      </c>
      <c r="J623" s="2" t="s">
        <v>53</v>
      </c>
      <c r="K623" s="2" t="s">
        <v>17</v>
      </c>
      <c r="L623" s="7">
        <f>Table3[[#This Row],[Revenue]]-Table3[[#This Row],[Ad Spend]]</f>
        <v>148.10000000000002</v>
      </c>
      <c r="M623" s="11">
        <v>89.52</v>
      </c>
    </row>
    <row r="624" spans="1:13" ht="15.75" customHeight="1" x14ac:dyDescent="0.3">
      <c r="A624" s="4" t="s">
        <v>946</v>
      </c>
      <c r="B624">
        <f t="shared" si="9"/>
        <v>12</v>
      </c>
      <c r="C624" s="2" t="s">
        <v>19</v>
      </c>
      <c r="D624" s="2" t="s">
        <v>815</v>
      </c>
      <c r="E624" s="7">
        <v>85.58</v>
      </c>
      <c r="F624" s="2">
        <v>5</v>
      </c>
      <c r="G624" s="7">
        <v>416.94</v>
      </c>
      <c r="H624" s="2" t="s">
        <v>367</v>
      </c>
      <c r="I624" s="2" t="s">
        <v>29</v>
      </c>
      <c r="J624" s="2" t="s">
        <v>36</v>
      </c>
      <c r="K624" s="2" t="s">
        <v>17</v>
      </c>
      <c r="L624" s="7">
        <f>Table3[[#This Row],[Revenue]]-Table3[[#This Row],[Ad Spend]]</f>
        <v>331.36</v>
      </c>
      <c r="M624" s="11">
        <v>171.31</v>
      </c>
    </row>
    <row r="625" spans="1:13" ht="15.75" customHeight="1" x14ac:dyDescent="0.3">
      <c r="A625" s="4" t="s">
        <v>812</v>
      </c>
      <c r="B625">
        <f t="shared" si="9"/>
        <v>12</v>
      </c>
      <c r="C625" s="2" t="s">
        <v>19</v>
      </c>
      <c r="D625" s="2" t="s">
        <v>92</v>
      </c>
      <c r="E625" s="7">
        <v>24.19</v>
      </c>
      <c r="F625" s="2">
        <v>7</v>
      </c>
      <c r="G625" s="7">
        <v>368.82</v>
      </c>
      <c r="H625" s="2" t="s">
        <v>166</v>
      </c>
      <c r="I625" s="2" t="s">
        <v>15</v>
      </c>
      <c r="J625" s="2" t="s">
        <v>30</v>
      </c>
      <c r="K625" s="2" t="s">
        <v>17</v>
      </c>
      <c r="L625" s="7">
        <f>Table3[[#This Row],[Revenue]]-Table3[[#This Row],[Ad Spend]]</f>
        <v>344.63</v>
      </c>
      <c r="M625" s="11">
        <v>136.94</v>
      </c>
    </row>
    <row r="626" spans="1:13" ht="15.75" customHeight="1" x14ac:dyDescent="0.3">
      <c r="A626" s="4" t="s">
        <v>320</v>
      </c>
      <c r="B626">
        <f t="shared" si="9"/>
        <v>4</v>
      </c>
      <c r="C626" s="2" t="s">
        <v>19</v>
      </c>
      <c r="D626" s="2" t="s">
        <v>57</v>
      </c>
      <c r="E626" s="7">
        <v>38.58</v>
      </c>
      <c r="F626" s="2">
        <v>4</v>
      </c>
      <c r="G626" s="7">
        <v>126.55</v>
      </c>
      <c r="H626" s="2" t="s">
        <v>614</v>
      </c>
      <c r="I626" s="2" t="s">
        <v>35</v>
      </c>
      <c r="J626" s="2" t="s">
        <v>25</v>
      </c>
      <c r="K626" s="2" t="s">
        <v>17</v>
      </c>
      <c r="L626" s="7">
        <f>Table3[[#This Row],[Revenue]]-Table3[[#This Row],[Ad Spend]]</f>
        <v>87.97</v>
      </c>
      <c r="M626" s="11">
        <v>49.68</v>
      </c>
    </row>
    <row r="627" spans="1:13" ht="15.75" customHeight="1" x14ac:dyDescent="0.3">
      <c r="A627" s="4" t="s">
        <v>230</v>
      </c>
      <c r="B627">
        <f t="shared" si="9"/>
        <v>1</v>
      </c>
      <c r="C627" s="2" t="s">
        <v>63</v>
      </c>
      <c r="D627" s="2" t="s">
        <v>396</v>
      </c>
      <c r="E627" s="7">
        <v>76.95</v>
      </c>
      <c r="F627" s="2">
        <v>6</v>
      </c>
      <c r="G627" s="7">
        <v>35.56</v>
      </c>
      <c r="H627" s="2" t="s">
        <v>198</v>
      </c>
      <c r="I627" s="2" t="s">
        <v>15</v>
      </c>
      <c r="J627" s="2" t="s">
        <v>53</v>
      </c>
      <c r="K627" s="2" t="s">
        <v>17</v>
      </c>
      <c r="L627" s="7">
        <f>Table3[[#This Row],[Revenue]]-Table3[[#This Row],[Ad Spend]]</f>
        <v>-41.39</v>
      </c>
      <c r="M627" s="11">
        <v>116.33</v>
      </c>
    </row>
    <row r="628" spans="1:13" ht="15.75" customHeight="1" x14ac:dyDescent="0.3">
      <c r="A628" s="4" t="s">
        <v>97</v>
      </c>
      <c r="B628">
        <f t="shared" si="9"/>
        <v>12</v>
      </c>
      <c r="C628" s="2" t="s">
        <v>63</v>
      </c>
      <c r="D628" s="2" t="s">
        <v>947</v>
      </c>
      <c r="E628" s="7">
        <v>135.47999999999999</v>
      </c>
      <c r="F628" s="2">
        <v>4</v>
      </c>
      <c r="G628" s="7">
        <v>73.08</v>
      </c>
      <c r="H628" s="2" t="s">
        <v>229</v>
      </c>
      <c r="I628" s="2" t="s">
        <v>29</v>
      </c>
      <c r="J628" s="2" t="s">
        <v>53</v>
      </c>
      <c r="K628" s="2" t="s">
        <v>17</v>
      </c>
      <c r="L628" s="7">
        <f>Table3[[#This Row],[Revenue]]-Table3[[#This Row],[Ad Spend]]</f>
        <v>-62.399999999999991</v>
      </c>
      <c r="M628" s="11">
        <v>102.45</v>
      </c>
    </row>
    <row r="629" spans="1:13" ht="15.75" customHeight="1" x14ac:dyDescent="0.3">
      <c r="A629" s="4" t="s">
        <v>428</v>
      </c>
      <c r="B629">
        <f t="shared" si="9"/>
        <v>3</v>
      </c>
      <c r="C629" s="2" t="s">
        <v>12</v>
      </c>
      <c r="D629" s="2" t="s">
        <v>948</v>
      </c>
      <c r="E629" s="7">
        <v>110.78</v>
      </c>
      <c r="F629" s="2">
        <v>6</v>
      </c>
      <c r="G629" s="7">
        <v>379.84</v>
      </c>
      <c r="H629" s="2" t="s">
        <v>949</v>
      </c>
      <c r="I629" s="2" t="s">
        <v>35</v>
      </c>
      <c r="J629" s="2" t="s">
        <v>36</v>
      </c>
      <c r="K629" s="2" t="s">
        <v>17</v>
      </c>
      <c r="L629" s="7">
        <f>Table3[[#This Row],[Revenue]]-Table3[[#This Row],[Ad Spend]]</f>
        <v>269.05999999999995</v>
      </c>
      <c r="M629" s="11">
        <v>144.77000000000001</v>
      </c>
    </row>
    <row r="630" spans="1:13" ht="15.75" customHeight="1" x14ac:dyDescent="0.3">
      <c r="A630" s="4" t="s">
        <v>402</v>
      </c>
      <c r="B630">
        <f t="shared" si="9"/>
        <v>3</v>
      </c>
      <c r="C630" s="2" t="s">
        <v>63</v>
      </c>
      <c r="D630" s="2" t="s">
        <v>950</v>
      </c>
      <c r="E630" s="7">
        <v>146.26</v>
      </c>
      <c r="F630" s="2">
        <v>3</v>
      </c>
      <c r="G630" s="7">
        <v>130.46</v>
      </c>
      <c r="H630" s="2" t="s">
        <v>104</v>
      </c>
      <c r="I630" s="2" t="s">
        <v>35</v>
      </c>
      <c r="J630" s="2" t="s">
        <v>87</v>
      </c>
      <c r="K630" s="2" t="s">
        <v>17</v>
      </c>
      <c r="L630" s="7">
        <f>Table3[[#This Row],[Revenue]]-Table3[[#This Row],[Ad Spend]]</f>
        <v>-15.799999999999983</v>
      </c>
      <c r="M630" s="11">
        <v>119.44</v>
      </c>
    </row>
    <row r="631" spans="1:13" ht="15.75" customHeight="1" x14ac:dyDescent="0.3">
      <c r="A631" s="4" t="s">
        <v>951</v>
      </c>
      <c r="B631">
        <f t="shared" si="9"/>
        <v>12</v>
      </c>
      <c r="C631" s="2" t="s">
        <v>63</v>
      </c>
      <c r="D631" s="2" t="s">
        <v>952</v>
      </c>
      <c r="E631" s="7">
        <v>78.13</v>
      </c>
      <c r="F631" s="2">
        <v>0</v>
      </c>
      <c r="G631" s="7">
        <v>315.92</v>
      </c>
      <c r="H631" s="2" t="s">
        <v>833</v>
      </c>
      <c r="I631" s="2" t="s">
        <v>29</v>
      </c>
      <c r="J631" s="2" t="s">
        <v>16</v>
      </c>
      <c r="K631" s="2" t="s">
        <v>46</v>
      </c>
      <c r="L631" s="7">
        <f>Table3[[#This Row],[Revenue]]-Table3[[#This Row],[Ad Spend]]</f>
        <v>237.79000000000002</v>
      </c>
      <c r="M631" s="11">
        <v>120.83</v>
      </c>
    </row>
    <row r="632" spans="1:13" ht="15.75" customHeight="1" x14ac:dyDescent="0.3">
      <c r="A632" s="4" t="s">
        <v>610</v>
      </c>
      <c r="B632">
        <f t="shared" si="9"/>
        <v>11</v>
      </c>
      <c r="C632" s="2" t="s">
        <v>19</v>
      </c>
      <c r="D632" s="2" t="s">
        <v>953</v>
      </c>
      <c r="E632" s="7">
        <v>51.73</v>
      </c>
      <c r="F632" s="2">
        <v>10</v>
      </c>
      <c r="G632" s="7">
        <v>90.47</v>
      </c>
      <c r="H632" s="2" t="s">
        <v>101</v>
      </c>
      <c r="I632" s="2" t="s">
        <v>29</v>
      </c>
      <c r="J632" s="2" t="s">
        <v>87</v>
      </c>
      <c r="K632" s="2" t="s">
        <v>17</v>
      </c>
      <c r="L632" s="7">
        <f>Table3[[#This Row],[Revenue]]-Table3[[#This Row],[Ad Spend]]</f>
        <v>38.74</v>
      </c>
      <c r="M632" s="11">
        <v>125.74</v>
      </c>
    </row>
    <row r="633" spans="1:13" ht="15.75" customHeight="1" x14ac:dyDescent="0.3">
      <c r="A633" s="4" t="s">
        <v>139</v>
      </c>
      <c r="B633">
        <f t="shared" si="9"/>
        <v>12</v>
      </c>
      <c r="C633" s="2" t="s">
        <v>63</v>
      </c>
      <c r="D633" s="2" t="s">
        <v>954</v>
      </c>
      <c r="E633" s="7">
        <v>127.41</v>
      </c>
      <c r="F633" s="2">
        <v>7</v>
      </c>
      <c r="G633" s="7">
        <v>87.07</v>
      </c>
      <c r="H633" s="2" t="s">
        <v>471</v>
      </c>
      <c r="I633" s="2" t="s">
        <v>29</v>
      </c>
      <c r="J633" s="2" t="s">
        <v>25</v>
      </c>
      <c r="K633" s="2" t="s">
        <v>17</v>
      </c>
      <c r="L633" s="7">
        <f>Table3[[#This Row],[Revenue]]-Table3[[#This Row],[Ad Spend]]</f>
        <v>-40.340000000000003</v>
      </c>
      <c r="M633" s="11">
        <v>126.09</v>
      </c>
    </row>
    <row r="634" spans="1:13" ht="15.75" customHeight="1" x14ac:dyDescent="0.3">
      <c r="A634" s="4" t="s">
        <v>515</v>
      </c>
      <c r="B634">
        <f t="shared" si="9"/>
        <v>3</v>
      </c>
      <c r="C634" s="2" t="s">
        <v>12</v>
      </c>
      <c r="D634" s="2" t="s">
        <v>955</v>
      </c>
      <c r="E634" s="7">
        <v>99.56</v>
      </c>
      <c r="F634" s="2">
        <v>5</v>
      </c>
      <c r="G634" s="7">
        <v>367.73</v>
      </c>
      <c r="H634" s="2" t="s">
        <v>956</v>
      </c>
      <c r="I634" s="2" t="s">
        <v>15</v>
      </c>
      <c r="J634" s="2" t="s">
        <v>30</v>
      </c>
      <c r="K634" s="2" t="s">
        <v>17</v>
      </c>
      <c r="L634" s="7">
        <f>Table3[[#This Row],[Revenue]]-Table3[[#This Row],[Ad Spend]]</f>
        <v>268.17</v>
      </c>
      <c r="M634" s="11">
        <v>100.42</v>
      </c>
    </row>
    <row r="635" spans="1:13" ht="15.75" customHeight="1" x14ac:dyDescent="0.3">
      <c r="A635" s="4" t="s">
        <v>753</v>
      </c>
      <c r="B635">
        <f t="shared" si="9"/>
        <v>11</v>
      </c>
      <c r="C635" s="2" t="s">
        <v>63</v>
      </c>
      <c r="D635" s="2" t="s">
        <v>536</v>
      </c>
      <c r="E635" s="7">
        <v>149.32</v>
      </c>
      <c r="F635" s="2">
        <v>6</v>
      </c>
      <c r="G635" s="7">
        <v>109.78</v>
      </c>
      <c r="H635" s="2" t="s">
        <v>751</v>
      </c>
      <c r="I635" s="2" t="s">
        <v>15</v>
      </c>
      <c r="J635" s="2" t="s">
        <v>30</v>
      </c>
      <c r="K635" s="2" t="s">
        <v>17</v>
      </c>
      <c r="L635" s="7">
        <f>Table3[[#This Row],[Revenue]]-Table3[[#This Row],[Ad Spend]]</f>
        <v>-39.539999999999992</v>
      </c>
      <c r="M635" s="11">
        <v>116.16</v>
      </c>
    </row>
    <row r="636" spans="1:13" ht="15.75" customHeight="1" x14ac:dyDescent="0.3">
      <c r="A636" s="4" t="s">
        <v>755</v>
      </c>
      <c r="B636">
        <f t="shared" si="9"/>
        <v>2</v>
      </c>
      <c r="C636" s="2" t="s">
        <v>63</v>
      </c>
      <c r="D636" s="2" t="s">
        <v>957</v>
      </c>
      <c r="E636" s="7">
        <v>99.57</v>
      </c>
      <c r="F636" s="2">
        <v>7</v>
      </c>
      <c r="G636" s="7">
        <v>137.75</v>
      </c>
      <c r="H636" s="2" t="s">
        <v>235</v>
      </c>
      <c r="I636" s="2" t="s">
        <v>15</v>
      </c>
      <c r="J636" s="2" t="s">
        <v>53</v>
      </c>
      <c r="K636" s="2" t="s">
        <v>17</v>
      </c>
      <c r="L636" s="7">
        <f>Table3[[#This Row],[Revenue]]-Table3[[#This Row],[Ad Spend]]</f>
        <v>38.180000000000007</v>
      </c>
      <c r="M636" s="11">
        <v>124.5</v>
      </c>
    </row>
    <row r="637" spans="1:13" ht="15.75" customHeight="1" x14ac:dyDescent="0.3">
      <c r="A637" s="4" t="s">
        <v>47</v>
      </c>
      <c r="B637">
        <f t="shared" si="9"/>
        <v>12</v>
      </c>
      <c r="C637" s="2" t="s">
        <v>12</v>
      </c>
      <c r="D637" s="2" t="s">
        <v>60</v>
      </c>
      <c r="E637" s="7">
        <v>88.62</v>
      </c>
      <c r="F637" s="2">
        <v>9</v>
      </c>
      <c r="G637" s="7">
        <v>203.94</v>
      </c>
      <c r="H637" s="2" t="s">
        <v>781</v>
      </c>
      <c r="I637" s="2" t="s">
        <v>35</v>
      </c>
      <c r="J637" s="2" t="s">
        <v>25</v>
      </c>
      <c r="K637" s="2" t="s">
        <v>17</v>
      </c>
      <c r="L637" s="7">
        <f>Table3[[#This Row],[Revenue]]-Table3[[#This Row],[Ad Spend]]</f>
        <v>115.32</v>
      </c>
      <c r="M637" s="11">
        <v>112.56</v>
      </c>
    </row>
    <row r="638" spans="1:13" ht="15.75" customHeight="1" x14ac:dyDescent="0.3">
      <c r="A638" s="4" t="s">
        <v>459</v>
      </c>
      <c r="B638">
        <f t="shared" si="9"/>
        <v>4</v>
      </c>
      <c r="C638" s="2" t="s">
        <v>63</v>
      </c>
      <c r="D638" s="2" t="s">
        <v>852</v>
      </c>
      <c r="E638" s="7">
        <v>54.16</v>
      </c>
      <c r="F638" s="2">
        <v>8</v>
      </c>
      <c r="G638" s="7">
        <v>251</v>
      </c>
      <c r="H638" s="2" t="s">
        <v>237</v>
      </c>
      <c r="I638" s="2" t="s">
        <v>15</v>
      </c>
      <c r="J638" s="2" t="s">
        <v>25</v>
      </c>
      <c r="K638" s="2" t="s">
        <v>17</v>
      </c>
      <c r="L638" s="7">
        <f>Table3[[#This Row],[Revenue]]-Table3[[#This Row],[Ad Spend]]</f>
        <v>196.84</v>
      </c>
      <c r="M638" s="11">
        <v>143.31</v>
      </c>
    </row>
    <row r="639" spans="1:13" ht="15.75" customHeight="1" x14ac:dyDescent="0.3">
      <c r="A639" s="4" t="s">
        <v>214</v>
      </c>
      <c r="B639">
        <f t="shared" si="9"/>
        <v>3</v>
      </c>
      <c r="C639" s="2" t="s">
        <v>32</v>
      </c>
      <c r="D639" s="2" t="s">
        <v>740</v>
      </c>
      <c r="E639" s="7">
        <v>93.79</v>
      </c>
      <c r="F639" s="2">
        <v>7</v>
      </c>
      <c r="G639" s="7">
        <v>330.17</v>
      </c>
      <c r="H639" s="2" t="s">
        <v>28</v>
      </c>
      <c r="I639" s="2" t="s">
        <v>29</v>
      </c>
      <c r="J639" s="2" t="s">
        <v>30</v>
      </c>
      <c r="K639" s="2" t="s">
        <v>17</v>
      </c>
      <c r="L639" s="7">
        <f>Table3[[#This Row],[Revenue]]-Table3[[#This Row],[Ad Spend]]</f>
        <v>236.38</v>
      </c>
      <c r="M639" s="11">
        <v>137.41999999999999</v>
      </c>
    </row>
    <row r="640" spans="1:13" ht="15.75" customHeight="1" x14ac:dyDescent="0.3">
      <c r="A640" s="4" t="s">
        <v>31</v>
      </c>
      <c r="B640">
        <f t="shared" si="9"/>
        <v>1</v>
      </c>
      <c r="C640" s="2" t="s">
        <v>32</v>
      </c>
      <c r="D640" s="2" t="s">
        <v>445</v>
      </c>
      <c r="E640" s="7">
        <v>134.69</v>
      </c>
      <c r="F640" s="2">
        <v>10</v>
      </c>
      <c r="G640" s="7">
        <v>201.99</v>
      </c>
      <c r="H640" s="2" t="s">
        <v>907</v>
      </c>
      <c r="I640" s="2" t="s">
        <v>29</v>
      </c>
      <c r="J640" s="2" t="s">
        <v>25</v>
      </c>
      <c r="K640" s="2" t="s">
        <v>17</v>
      </c>
      <c r="L640" s="7">
        <f>Table3[[#This Row],[Revenue]]-Table3[[#This Row],[Ad Spend]]</f>
        <v>67.300000000000011</v>
      </c>
      <c r="M640" s="11">
        <v>140.16999999999999</v>
      </c>
    </row>
    <row r="641" spans="1:13" ht="15.75" customHeight="1" x14ac:dyDescent="0.3">
      <c r="A641" s="4" t="s">
        <v>181</v>
      </c>
      <c r="B641">
        <f t="shared" si="9"/>
        <v>11</v>
      </c>
      <c r="C641" s="2" t="s">
        <v>19</v>
      </c>
      <c r="D641" s="2" t="s">
        <v>336</v>
      </c>
      <c r="E641" s="7">
        <v>81.760000000000005</v>
      </c>
      <c r="F641" s="2">
        <v>0</v>
      </c>
      <c r="G641" s="7">
        <v>265.45</v>
      </c>
      <c r="H641" s="2" t="s">
        <v>535</v>
      </c>
      <c r="I641" s="2" t="s">
        <v>29</v>
      </c>
      <c r="J641" s="2" t="s">
        <v>25</v>
      </c>
      <c r="K641" s="2" t="s">
        <v>46</v>
      </c>
      <c r="L641" s="7">
        <f>Table3[[#This Row],[Revenue]]-Table3[[#This Row],[Ad Spend]]</f>
        <v>183.69</v>
      </c>
      <c r="M641" s="11">
        <v>120.13</v>
      </c>
    </row>
    <row r="642" spans="1:13" ht="15.75" customHeight="1" x14ac:dyDescent="0.3">
      <c r="A642" s="4" t="s">
        <v>428</v>
      </c>
      <c r="B642">
        <f t="shared" si="9"/>
        <v>3</v>
      </c>
      <c r="C642" s="2" t="s">
        <v>32</v>
      </c>
      <c r="D642" s="2" t="s">
        <v>958</v>
      </c>
      <c r="E642" s="7">
        <v>23.97</v>
      </c>
      <c r="F642" s="2">
        <v>2</v>
      </c>
      <c r="G642" s="7">
        <v>370.71</v>
      </c>
      <c r="H642" s="2" t="s">
        <v>372</v>
      </c>
      <c r="I642" s="2" t="s">
        <v>35</v>
      </c>
      <c r="J642" s="2" t="s">
        <v>25</v>
      </c>
      <c r="K642" s="2" t="s">
        <v>17</v>
      </c>
      <c r="L642" s="7">
        <f>Table3[[#This Row],[Revenue]]-Table3[[#This Row],[Ad Spend]]</f>
        <v>346.74</v>
      </c>
      <c r="M642" s="11">
        <v>111.96</v>
      </c>
    </row>
    <row r="643" spans="1:13" ht="15.75" customHeight="1" x14ac:dyDescent="0.3">
      <c r="A643" s="4" t="s">
        <v>562</v>
      </c>
      <c r="B643">
        <f t="shared" ref="B643:B706" si="10">MONTH(A643)</f>
        <v>2</v>
      </c>
      <c r="C643" s="2" t="s">
        <v>63</v>
      </c>
      <c r="D643" s="2" t="s">
        <v>959</v>
      </c>
      <c r="E643" s="7">
        <v>50.02</v>
      </c>
      <c r="F643" s="2">
        <v>4</v>
      </c>
      <c r="G643" s="7">
        <v>214.62</v>
      </c>
      <c r="H643" s="2" t="s">
        <v>960</v>
      </c>
      <c r="I643" s="2" t="s">
        <v>15</v>
      </c>
      <c r="J643" s="2" t="s">
        <v>87</v>
      </c>
      <c r="K643" s="2" t="s">
        <v>17</v>
      </c>
      <c r="L643" s="7">
        <f>Table3[[#This Row],[Revenue]]-Table3[[#This Row],[Ad Spend]]</f>
        <v>164.6</v>
      </c>
      <c r="M643" s="11">
        <v>117.5</v>
      </c>
    </row>
    <row r="644" spans="1:13" ht="15.75" customHeight="1" x14ac:dyDescent="0.3">
      <c r="A644" s="4" t="s">
        <v>387</v>
      </c>
      <c r="B644">
        <f t="shared" si="10"/>
        <v>2</v>
      </c>
      <c r="C644" s="2" t="s">
        <v>19</v>
      </c>
      <c r="D644" s="2" t="s">
        <v>431</v>
      </c>
      <c r="E644" s="7">
        <v>35.26</v>
      </c>
      <c r="F644" s="2">
        <v>6</v>
      </c>
      <c r="G644" s="7">
        <v>148.36000000000001</v>
      </c>
      <c r="H644" s="2" t="s">
        <v>14</v>
      </c>
      <c r="I644" s="2" t="s">
        <v>15</v>
      </c>
      <c r="J644" s="2" t="s">
        <v>16</v>
      </c>
      <c r="K644" s="2" t="s">
        <v>17</v>
      </c>
      <c r="L644" s="7">
        <f>Table3[[#This Row],[Revenue]]-Table3[[#This Row],[Ad Spend]]</f>
        <v>113.10000000000002</v>
      </c>
      <c r="M644" s="11">
        <v>122.1</v>
      </c>
    </row>
    <row r="645" spans="1:13" ht="15.75" customHeight="1" x14ac:dyDescent="0.3">
      <c r="A645" s="4" t="s">
        <v>261</v>
      </c>
      <c r="B645">
        <f t="shared" si="10"/>
        <v>10</v>
      </c>
      <c r="C645" s="2" t="s">
        <v>12</v>
      </c>
      <c r="D645" s="2" t="s">
        <v>41</v>
      </c>
      <c r="E645" s="7">
        <v>107.41</v>
      </c>
      <c r="F645" s="2">
        <v>6</v>
      </c>
      <c r="G645" s="7">
        <v>102.83</v>
      </c>
      <c r="H645" s="2" t="s">
        <v>961</v>
      </c>
      <c r="I645" s="2" t="s">
        <v>29</v>
      </c>
      <c r="J645" s="2" t="s">
        <v>16</v>
      </c>
      <c r="K645" s="2" t="s">
        <v>17</v>
      </c>
      <c r="L645" s="7">
        <f>Table3[[#This Row],[Revenue]]-Table3[[#This Row],[Ad Spend]]</f>
        <v>-4.5799999999999983</v>
      </c>
      <c r="M645" s="11">
        <v>64.55</v>
      </c>
    </row>
    <row r="646" spans="1:13" ht="15.75" customHeight="1" x14ac:dyDescent="0.3">
      <c r="A646" s="4" t="s">
        <v>258</v>
      </c>
      <c r="B646">
        <f t="shared" si="10"/>
        <v>2</v>
      </c>
      <c r="C646" s="2" t="s">
        <v>63</v>
      </c>
      <c r="D646" s="2" t="s">
        <v>962</v>
      </c>
      <c r="E646" s="7">
        <v>98.23</v>
      </c>
      <c r="F646" s="2">
        <v>10</v>
      </c>
      <c r="G646" s="7">
        <v>147.97999999999999</v>
      </c>
      <c r="H646" s="2" t="s">
        <v>820</v>
      </c>
      <c r="I646" s="2" t="s">
        <v>35</v>
      </c>
      <c r="J646" s="2" t="s">
        <v>30</v>
      </c>
      <c r="K646" s="2" t="s">
        <v>17</v>
      </c>
      <c r="L646" s="7">
        <f>Table3[[#This Row],[Revenue]]-Table3[[#This Row],[Ad Spend]]</f>
        <v>49.749999999999986</v>
      </c>
      <c r="M646" s="11">
        <v>119.11</v>
      </c>
    </row>
    <row r="647" spans="1:13" ht="15.75" customHeight="1" x14ac:dyDescent="0.3">
      <c r="A647" s="4" t="s">
        <v>946</v>
      </c>
      <c r="B647">
        <f t="shared" si="10"/>
        <v>12</v>
      </c>
      <c r="C647" s="2" t="s">
        <v>12</v>
      </c>
      <c r="D647" s="2" t="s">
        <v>963</v>
      </c>
      <c r="E647" s="7">
        <v>122.64</v>
      </c>
      <c r="F647" s="2">
        <v>5</v>
      </c>
      <c r="G647" s="7">
        <v>300.75</v>
      </c>
      <c r="H647" s="2" t="s">
        <v>489</v>
      </c>
      <c r="I647" s="2" t="s">
        <v>29</v>
      </c>
      <c r="J647" s="2" t="s">
        <v>25</v>
      </c>
      <c r="K647" s="2" t="s">
        <v>17</v>
      </c>
      <c r="L647" s="7">
        <f>Table3[[#This Row],[Revenue]]-Table3[[#This Row],[Ad Spend]]</f>
        <v>178.11</v>
      </c>
      <c r="M647" s="11">
        <v>147.72999999999999</v>
      </c>
    </row>
    <row r="648" spans="1:13" ht="15.75" customHeight="1" x14ac:dyDescent="0.3">
      <c r="A648" s="4" t="s">
        <v>683</v>
      </c>
      <c r="B648">
        <f t="shared" si="10"/>
        <v>11</v>
      </c>
      <c r="C648" s="2" t="s">
        <v>12</v>
      </c>
      <c r="D648" s="2" t="s">
        <v>964</v>
      </c>
      <c r="E648" s="7">
        <v>55.11</v>
      </c>
      <c r="F648" s="2">
        <v>8</v>
      </c>
      <c r="G648" s="7">
        <v>401.86</v>
      </c>
      <c r="H648" s="2" t="s">
        <v>119</v>
      </c>
      <c r="I648" s="2" t="s">
        <v>15</v>
      </c>
      <c r="J648" s="2" t="s">
        <v>36</v>
      </c>
      <c r="K648" s="2" t="s">
        <v>17</v>
      </c>
      <c r="L648" s="7">
        <f>Table3[[#This Row],[Revenue]]-Table3[[#This Row],[Ad Spend]]</f>
        <v>346.75</v>
      </c>
      <c r="M648" s="11">
        <v>112.26</v>
      </c>
    </row>
    <row r="649" spans="1:13" ht="15.75" customHeight="1" x14ac:dyDescent="0.3">
      <c r="A649" s="4" t="s">
        <v>11</v>
      </c>
      <c r="B649">
        <f t="shared" si="10"/>
        <v>1</v>
      </c>
      <c r="C649" s="2" t="s">
        <v>19</v>
      </c>
      <c r="D649" s="2" t="s">
        <v>965</v>
      </c>
      <c r="E649" s="7">
        <v>113.79</v>
      </c>
      <c r="F649" s="2">
        <v>7</v>
      </c>
      <c r="G649" s="7">
        <v>361.35</v>
      </c>
      <c r="H649" s="2" t="s">
        <v>213</v>
      </c>
      <c r="I649" s="2" t="s">
        <v>35</v>
      </c>
      <c r="J649" s="2" t="s">
        <v>25</v>
      </c>
      <c r="K649" s="2" t="s">
        <v>17</v>
      </c>
      <c r="L649" s="7">
        <f>Table3[[#This Row],[Revenue]]-Table3[[#This Row],[Ad Spend]]</f>
        <v>247.56</v>
      </c>
      <c r="M649" s="11">
        <v>114.36</v>
      </c>
    </row>
    <row r="650" spans="1:13" ht="15.75" customHeight="1" x14ac:dyDescent="0.3">
      <c r="A650" s="4" t="s">
        <v>164</v>
      </c>
      <c r="B650">
        <f t="shared" si="10"/>
        <v>2</v>
      </c>
      <c r="C650" s="2" t="s">
        <v>32</v>
      </c>
      <c r="D650" s="2" t="s">
        <v>966</v>
      </c>
      <c r="E650" s="7">
        <v>55.71</v>
      </c>
      <c r="F650" s="2">
        <v>9</v>
      </c>
      <c r="G650" s="7">
        <v>293.22000000000003</v>
      </c>
      <c r="H650" s="2" t="s">
        <v>967</v>
      </c>
      <c r="I650" s="2" t="s">
        <v>35</v>
      </c>
      <c r="J650" s="2" t="s">
        <v>16</v>
      </c>
      <c r="K650" s="2" t="s">
        <v>17</v>
      </c>
      <c r="L650" s="7">
        <f>Table3[[#This Row],[Revenue]]-Table3[[#This Row],[Ad Spend]]</f>
        <v>237.51000000000002</v>
      </c>
      <c r="M650" s="11">
        <v>96.04</v>
      </c>
    </row>
    <row r="651" spans="1:13" ht="15.75" customHeight="1" x14ac:dyDescent="0.3">
      <c r="A651" s="4" t="s">
        <v>799</v>
      </c>
      <c r="B651">
        <f t="shared" si="10"/>
        <v>1</v>
      </c>
      <c r="C651" s="2" t="s">
        <v>12</v>
      </c>
      <c r="D651" s="2" t="s">
        <v>968</v>
      </c>
      <c r="E651" s="7">
        <v>31.69</v>
      </c>
      <c r="F651" s="2">
        <v>3</v>
      </c>
      <c r="G651" s="7">
        <v>215.93</v>
      </c>
      <c r="H651" s="2" t="s">
        <v>374</v>
      </c>
      <c r="I651" s="2" t="s">
        <v>15</v>
      </c>
      <c r="J651" s="2" t="s">
        <v>30</v>
      </c>
      <c r="K651" s="2" t="s">
        <v>17</v>
      </c>
      <c r="L651" s="7">
        <f>Table3[[#This Row],[Revenue]]-Table3[[#This Row],[Ad Spend]]</f>
        <v>184.24</v>
      </c>
      <c r="M651" s="11">
        <v>125.31</v>
      </c>
    </row>
    <row r="652" spans="1:13" ht="15.75" customHeight="1" x14ac:dyDescent="0.3">
      <c r="A652" s="4" t="s">
        <v>755</v>
      </c>
      <c r="B652">
        <f t="shared" si="10"/>
        <v>2</v>
      </c>
      <c r="C652" s="2" t="s">
        <v>32</v>
      </c>
      <c r="D652" s="2" t="s">
        <v>969</v>
      </c>
      <c r="E652" s="7">
        <v>71.53</v>
      </c>
      <c r="F652" s="2">
        <v>1</v>
      </c>
      <c r="G652" s="7">
        <v>142.18</v>
      </c>
      <c r="H652" s="2" t="s">
        <v>861</v>
      </c>
      <c r="I652" s="2" t="s">
        <v>29</v>
      </c>
      <c r="J652" s="2" t="s">
        <v>87</v>
      </c>
      <c r="K652" s="2" t="s">
        <v>17</v>
      </c>
      <c r="L652" s="7">
        <f>Table3[[#This Row],[Revenue]]-Table3[[#This Row],[Ad Spend]]</f>
        <v>70.650000000000006</v>
      </c>
      <c r="M652" s="11">
        <v>116.82</v>
      </c>
    </row>
    <row r="653" spans="1:13" ht="15.75" customHeight="1" x14ac:dyDescent="0.3">
      <c r="A653" s="4" t="s">
        <v>351</v>
      </c>
      <c r="B653">
        <f t="shared" si="10"/>
        <v>4</v>
      </c>
      <c r="C653" s="2" t="s">
        <v>63</v>
      </c>
      <c r="D653" s="2" t="s">
        <v>622</v>
      </c>
      <c r="E653" s="7">
        <v>73.56</v>
      </c>
      <c r="F653" s="2">
        <v>2</v>
      </c>
      <c r="G653" s="7">
        <v>261.39999999999998</v>
      </c>
      <c r="H653" s="2" t="s">
        <v>866</v>
      </c>
      <c r="I653" s="2" t="s">
        <v>15</v>
      </c>
      <c r="J653" s="2" t="s">
        <v>36</v>
      </c>
      <c r="K653" s="2" t="s">
        <v>17</v>
      </c>
      <c r="L653" s="7">
        <f>Table3[[#This Row],[Revenue]]-Table3[[#This Row],[Ad Spend]]</f>
        <v>187.83999999999997</v>
      </c>
      <c r="M653" s="11">
        <v>123.21</v>
      </c>
    </row>
    <row r="654" spans="1:13" ht="15.75" customHeight="1" x14ac:dyDescent="0.3">
      <c r="A654" s="4" t="s">
        <v>438</v>
      </c>
      <c r="B654">
        <f t="shared" si="10"/>
        <v>4</v>
      </c>
      <c r="C654" s="2" t="s">
        <v>12</v>
      </c>
      <c r="D654" s="2" t="s">
        <v>686</v>
      </c>
      <c r="E654" s="7">
        <v>100.49</v>
      </c>
      <c r="F654" s="2">
        <v>6</v>
      </c>
      <c r="G654" s="7">
        <v>211.78</v>
      </c>
      <c r="H654" s="2" t="s">
        <v>970</v>
      </c>
      <c r="I654" s="2" t="s">
        <v>35</v>
      </c>
      <c r="J654" s="2" t="s">
        <v>25</v>
      </c>
      <c r="K654" s="2" t="s">
        <v>17</v>
      </c>
      <c r="L654" s="7">
        <f>Table3[[#This Row],[Revenue]]-Table3[[#This Row],[Ad Spend]]</f>
        <v>111.29</v>
      </c>
      <c r="M654" s="11">
        <v>107.56</v>
      </c>
    </row>
    <row r="655" spans="1:13" ht="15.75" customHeight="1" x14ac:dyDescent="0.3">
      <c r="A655" s="4" t="s">
        <v>515</v>
      </c>
      <c r="B655">
        <f t="shared" si="10"/>
        <v>3</v>
      </c>
      <c r="C655" s="2" t="s">
        <v>19</v>
      </c>
      <c r="D655" s="2" t="s">
        <v>403</v>
      </c>
      <c r="E655" s="7">
        <v>25</v>
      </c>
      <c r="F655" s="2">
        <v>9</v>
      </c>
      <c r="G655" s="7">
        <v>442.89</v>
      </c>
      <c r="H655" s="2" t="s">
        <v>141</v>
      </c>
      <c r="I655" s="2" t="s">
        <v>29</v>
      </c>
      <c r="J655" s="2" t="s">
        <v>87</v>
      </c>
      <c r="K655" s="2" t="s">
        <v>17</v>
      </c>
      <c r="L655" s="7">
        <f>Table3[[#This Row],[Revenue]]-Table3[[#This Row],[Ad Spend]]</f>
        <v>417.89</v>
      </c>
      <c r="M655" s="11">
        <v>150.01</v>
      </c>
    </row>
    <row r="656" spans="1:13" ht="15.75" customHeight="1" x14ac:dyDescent="0.3">
      <c r="A656" s="4" t="s">
        <v>918</v>
      </c>
      <c r="B656">
        <f t="shared" si="10"/>
        <v>2</v>
      </c>
      <c r="C656" s="2" t="s">
        <v>19</v>
      </c>
      <c r="D656" s="2" t="s">
        <v>632</v>
      </c>
      <c r="E656" s="7">
        <v>104.86</v>
      </c>
      <c r="F656" s="2">
        <v>0</v>
      </c>
      <c r="G656" s="7">
        <v>337.21</v>
      </c>
      <c r="H656" s="2" t="s">
        <v>161</v>
      </c>
      <c r="I656" s="2" t="s">
        <v>35</v>
      </c>
      <c r="J656" s="2" t="s">
        <v>16</v>
      </c>
      <c r="K656" s="2" t="s">
        <v>46</v>
      </c>
      <c r="L656" s="7">
        <f>Table3[[#This Row],[Revenue]]-Table3[[#This Row],[Ad Spend]]</f>
        <v>232.34999999999997</v>
      </c>
      <c r="M656" s="11">
        <v>119.56</v>
      </c>
    </row>
    <row r="657" spans="1:13" ht="15.75" customHeight="1" x14ac:dyDescent="0.3">
      <c r="A657" s="4" t="s">
        <v>238</v>
      </c>
      <c r="B657">
        <f t="shared" si="10"/>
        <v>3</v>
      </c>
      <c r="C657" s="2" t="s">
        <v>63</v>
      </c>
      <c r="D657" s="2" t="s">
        <v>60</v>
      </c>
      <c r="E657" s="7">
        <v>119.33</v>
      </c>
      <c r="F657" s="2">
        <v>0</v>
      </c>
      <c r="G657" s="7">
        <v>427.75</v>
      </c>
      <c r="H657" s="2" t="s">
        <v>941</v>
      </c>
      <c r="I657" s="2" t="s">
        <v>15</v>
      </c>
      <c r="J657" s="2" t="s">
        <v>30</v>
      </c>
      <c r="K657" s="2" t="s">
        <v>46</v>
      </c>
      <c r="L657" s="7">
        <f>Table3[[#This Row],[Revenue]]-Table3[[#This Row],[Ad Spend]]</f>
        <v>308.42</v>
      </c>
      <c r="M657" s="11">
        <v>167.64</v>
      </c>
    </row>
    <row r="658" spans="1:13" ht="15.75" customHeight="1" x14ac:dyDescent="0.3">
      <c r="A658" s="4" t="s">
        <v>376</v>
      </c>
      <c r="B658">
        <f t="shared" si="10"/>
        <v>4</v>
      </c>
      <c r="C658" s="2" t="s">
        <v>63</v>
      </c>
      <c r="D658" s="2" t="s">
        <v>521</v>
      </c>
      <c r="E658" s="7">
        <v>104.83</v>
      </c>
      <c r="F658" s="2">
        <v>8</v>
      </c>
      <c r="G658" s="7">
        <v>184.97</v>
      </c>
      <c r="H658" s="2" t="s">
        <v>605</v>
      </c>
      <c r="I658" s="2" t="s">
        <v>29</v>
      </c>
      <c r="J658" s="2" t="s">
        <v>25</v>
      </c>
      <c r="K658" s="2" t="s">
        <v>17</v>
      </c>
      <c r="L658" s="7">
        <f>Table3[[#This Row],[Revenue]]-Table3[[#This Row],[Ad Spend]]</f>
        <v>80.14</v>
      </c>
      <c r="M658" s="11">
        <v>131.83000000000001</v>
      </c>
    </row>
    <row r="659" spans="1:13" ht="15.75" customHeight="1" x14ac:dyDescent="0.3">
      <c r="A659" s="4" t="s">
        <v>340</v>
      </c>
      <c r="B659">
        <f t="shared" si="10"/>
        <v>11</v>
      </c>
      <c r="C659" s="2" t="s">
        <v>32</v>
      </c>
      <c r="D659" s="2" t="s">
        <v>800</v>
      </c>
      <c r="E659" s="7">
        <v>74.47</v>
      </c>
      <c r="F659" s="2">
        <v>7</v>
      </c>
      <c r="G659" s="7">
        <v>21.27</v>
      </c>
      <c r="H659" s="2" t="s">
        <v>971</v>
      </c>
      <c r="I659" s="2" t="s">
        <v>29</v>
      </c>
      <c r="J659" s="2" t="s">
        <v>25</v>
      </c>
      <c r="K659" s="2" t="s">
        <v>17</v>
      </c>
      <c r="L659" s="7">
        <f>Table3[[#This Row],[Revenue]]-Table3[[#This Row],[Ad Spend]]</f>
        <v>-53.2</v>
      </c>
      <c r="M659" s="11">
        <v>35.049999999999997</v>
      </c>
    </row>
    <row r="660" spans="1:13" ht="15.75" customHeight="1" x14ac:dyDescent="0.3">
      <c r="A660" s="4" t="s">
        <v>673</v>
      </c>
      <c r="B660">
        <f t="shared" si="10"/>
        <v>12</v>
      </c>
      <c r="C660" s="2" t="s">
        <v>32</v>
      </c>
      <c r="D660" s="2" t="s">
        <v>972</v>
      </c>
      <c r="E660" s="7">
        <v>115.53</v>
      </c>
      <c r="F660" s="2">
        <v>6</v>
      </c>
      <c r="G660" s="7">
        <v>476.49</v>
      </c>
      <c r="H660" s="2" t="s">
        <v>973</v>
      </c>
      <c r="I660" s="2" t="s">
        <v>35</v>
      </c>
      <c r="J660" s="2" t="s">
        <v>53</v>
      </c>
      <c r="K660" s="2" t="s">
        <v>17</v>
      </c>
      <c r="L660" s="7">
        <f>Table3[[#This Row],[Revenue]]-Table3[[#This Row],[Ad Spend]]</f>
        <v>360.96000000000004</v>
      </c>
      <c r="M660" s="11">
        <v>159.24</v>
      </c>
    </row>
    <row r="661" spans="1:13" ht="15.75" customHeight="1" x14ac:dyDescent="0.3">
      <c r="A661" s="4" t="s">
        <v>499</v>
      </c>
      <c r="B661">
        <f t="shared" si="10"/>
        <v>4</v>
      </c>
      <c r="C661" s="2" t="s">
        <v>63</v>
      </c>
      <c r="D661" s="2" t="s">
        <v>968</v>
      </c>
      <c r="E661" s="7">
        <v>47.9</v>
      </c>
      <c r="F661" s="2">
        <v>7</v>
      </c>
      <c r="G661" s="7">
        <v>434.11</v>
      </c>
      <c r="H661" s="2" t="s">
        <v>974</v>
      </c>
      <c r="I661" s="2" t="s">
        <v>35</v>
      </c>
      <c r="J661" s="2" t="s">
        <v>16</v>
      </c>
      <c r="K661" s="2" t="s">
        <v>17</v>
      </c>
      <c r="L661" s="7">
        <f>Table3[[#This Row],[Revenue]]-Table3[[#This Row],[Ad Spend]]</f>
        <v>386.21000000000004</v>
      </c>
      <c r="M661" s="11">
        <v>147.61000000000001</v>
      </c>
    </row>
    <row r="662" spans="1:13" ht="15.75" customHeight="1" x14ac:dyDescent="0.3">
      <c r="A662" s="4" t="s">
        <v>211</v>
      </c>
      <c r="B662">
        <f t="shared" si="10"/>
        <v>2</v>
      </c>
      <c r="C662" s="2" t="s">
        <v>32</v>
      </c>
      <c r="D662" s="2" t="s">
        <v>776</v>
      </c>
      <c r="E662" s="7">
        <v>52.3</v>
      </c>
      <c r="F662" s="2">
        <v>6</v>
      </c>
      <c r="G662" s="7">
        <v>146.18</v>
      </c>
      <c r="H662" s="2" t="s">
        <v>34</v>
      </c>
      <c r="I662" s="2" t="s">
        <v>35</v>
      </c>
      <c r="J662" s="2" t="s">
        <v>53</v>
      </c>
      <c r="K662" s="2" t="s">
        <v>17</v>
      </c>
      <c r="L662" s="7">
        <f>Table3[[#This Row],[Revenue]]-Table3[[#This Row],[Ad Spend]]</f>
        <v>93.88000000000001</v>
      </c>
      <c r="M662" s="11">
        <v>122.26</v>
      </c>
    </row>
    <row r="663" spans="1:13" ht="15.75" customHeight="1" x14ac:dyDescent="0.3">
      <c r="A663" s="4" t="s">
        <v>676</v>
      </c>
      <c r="B663">
        <f t="shared" si="10"/>
        <v>4</v>
      </c>
      <c r="C663" s="2" t="s">
        <v>32</v>
      </c>
      <c r="D663" s="2" t="s">
        <v>363</v>
      </c>
      <c r="E663" s="7">
        <v>82.6</v>
      </c>
      <c r="F663" s="2">
        <v>1</v>
      </c>
      <c r="G663" s="7">
        <v>434.86</v>
      </c>
      <c r="H663" s="2" t="s">
        <v>695</v>
      </c>
      <c r="I663" s="2" t="s">
        <v>35</v>
      </c>
      <c r="J663" s="2" t="s">
        <v>16</v>
      </c>
      <c r="K663" s="2" t="s">
        <v>17</v>
      </c>
      <c r="L663" s="7">
        <f>Table3[[#This Row],[Revenue]]-Table3[[#This Row],[Ad Spend]]</f>
        <v>352.26</v>
      </c>
      <c r="M663" s="11">
        <v>130.4</v>
      </c>
    </row>
    <row r="664" spans="1:13" ht="15.75" customHeight="1" x14ac:dyDescent="0.3">
      <c r="A664" s="4" t="s">
        <v>82</v>
      </c>
      <c r="B664">
        <f t="shared" si="10"/>
        <v>4</v>
      </c>
      <c r="C664" s="2" t="s">
        <v>32</v>
      </c>
      <c r="D664" s="2" t="s">
        <v>975</v>
      </c>
      <c r="E664" s="7">
        <v>141.12</v>
      </c>
      <c r="F664" s="2">
        <v>5</v>
      </c>
      <c r="G664" s="7">
        <v>306.23</v>
      </c>
      <c r="H664" s="2" t="s">
        <v>61</v>
      </c>
      <c r="I664" s="2" t="s">
        <v>15</v>
      </c>
      <c r="J664" s="2" t="s">
        <v>30</v>
      </c>
      <c r="K664" s="2" t="s">
        <v>17</v>
      </c>
      <c r="L664" s="7">
        <f>Table3[[#This Row],[Revenue]]-Table3[[#This Row],[Ad Spend]]</f>
        <v>165.11</v>
      </c>
      <c r="M664" s="11">
        <v>133.13</v>
      </c>
    </row>
    <row r="665" spans="1:13" ht="15.75" customHeight="1" x14ac:dyDescent="0.3">
      <c r="A665" s="4" t="s">
        <v>623</v>
      </c>
      <c r="B665">
        <f t="shared" si="10"/>
        <v>1</v>
      </c>
      <c r="C665" s="2" t="s">
        <v>32</v>
      </c>
      <c r="D665" s="2" t="s">
        <v>976</v>
      </c>
      <c r="E665" s="7">
        <v>59.4</v>
      </c>
      <c r="F665" s="2">
        <v>4</v>
      </c>
      <c r="G665" s="7">
        <v>391.02</v>
      </c>
      <c r="H665" s="2" t="s">
        <v>667</v>
      </c>
      <c r="I665" s="2" t="s">
        <v>29</v>
      </c>
      <c r="J665" s="2" t="s">
        <v>30</v>
      </c>
      <c r="K665" s="2" t="s">
        <v>17</v>
      </c>
      <c r="L665" s="7">
        <f>Table3[[#This Row],[Revenue]]-Table3[[#This Row],[Ad Spend]]</f>
        <v>331.62</v>
      </c>
      <c r="M665" s="11">
        <v>166.79</v>
      </c>
    </row>
    <row r="666" spans="1:13" ht="15.75" customHeight="1" x14ac:dyDescent="0.3">
      <c r="A666" s="4" t="s">
        <v>139</v>
      </c>
      <c r="B666">
        <f t="shared" si="10"/>
        <v>12</v>
      </c>
      <c r="C666" s="2" t="s">
        <v>32</v>
      </c>
      <c r="D666" s="2" t="s">
        <v>977</v>
      </c>
      <c r="E666" s="7">
        <v>55.77</v>
      </c>
      <c r="F666" s="2">
        <v>6</v>
      </c>
      <c r="G666" s="7">
        <v>39.51</v>
      </c>
      <c r="H666" s="2" t="s">
        <v>70</v>
      </c>
      <c r="I666" s="2" t="s">
        <v>15</v>
      </c>
      <c r="J666" s="2" t="s">
        <v>30</v>
      </c>
      <c r="K666" s="2" t="s">
        <v>17</v>
      </c>
      <c r="L666" s="7">
        <f>Table3[[#This Row],[Revenue]]-Table3[[#This Row],[Ad Spend]]</f>
        <v>-16.260000000000005</v>
      </c>
      <c r="M666" s="11">
        <v>80.67</v>
      </c>
    </row>
    <row r="667" spans="1:13" ht="15.75" customHeight="1" x14ac:dyDescent="0.3">
      <c r="A667" s="4" t="s">
        <v>404</v>
      </c>
      <c r="B667">
        <f t="shared" si="10"/>
        <v>3</v>
      </c>
      <c r="C667" s="2" t="s">
        <v>12</v>
      </c>
      <c r="D667" s="2" t="s">
        <v>737</v>
      </c>
      <c r="E667" s="7">
        <v>83.24</v>
      </c>
      <c r="F667" s="2">
        <v>4</v>
      </c>
      <c r="G667" s="7">
        <v>411.49</v>
      </c>
      <c r="H667" s="2" t="s">
        <v>389</v>
      </c>
      <c r="I667" s="2" t="s">
        <v>15</v>
      </c>
      <c r="J667" s="2" t="s">
        <v>87</v>
      </c>
      <c r="K667" s="2" t="s">
        <v>17</v>
      </c>
      <c r="L667" s="7">
        <f>Table3[[#This Row],[Revenue]]-Table3[[#This Row],[Ad Spend]]</f>
        <v>328.25</v>
      </c>
      <c r="M667" s="11">
        <v>116.5</v>
      </c>
    </row>
    <row r="668" spans="1:13" ht="15.75" customHeight="1" x14ac:dyDescent="0.3">
      <c r="A668" s="4" t="s">
        <v>304</v>
      </c>
      <c r="B668">
        <f t="shared" si="10"/>
        <v>12</v>
      </c>
      <c r="C668" s="2" t="s">
        <v>19</v>
      </c>
      <c r="D668" s="2" t="s">
        <v>978</v>
      </c>
      <c r="E668" s="7">
        <v>29.17</v>
      </c>
      <c r="F668" s="2">
        <v>4</v>
      </c>
      <c r="G668" s="7">
        <v>21.6</v>
      </c>
      <c r="H668" s="2" t="s">
        <v>803</v>
      </c>
      <c r="I668" s="2" t="s">
        <v>35</v>
      </c>
      <c r="J668" s="2" t="s">
        <v>36</v>
      </c>
      <c r="K668" s="2" t="s">
        <v>17</v>
      </c>
      <c r="L668" s="7">
        <f>Table3[[#This Row],[Revenue]]-Table3[[#This Row],[Ad Spend]]</f>
        <v>-7.57</v>
      </c>
      <c r="M668" s="11">
        <v>92.62</v>
      </c>
    </row>
    <row r="669" spans="1:13" ht="15.75" customHeight="1" x14ac:dyDescent="0.3">
      <c r="A669" s="4" t="s">
        <v>295</v>
      </c>
      <c r="B669">
        <f t="shared" si="10"/>
        <v>12</v>
      </c>
      <c r="C669" s="2" t="s">
        <v>32</v>
      </c>
      <c r="D669" s="2" t="s">
        <v>979</v>
      </c>
      <c r="E669" s="7">
        <v>53.32</v>
      </c>
      <c r="F669" s="2">
        <v>5</v>
      </c>
      <c r="G669" s="7">
        <v>174.45</v>
      </c>
      <c r="H669" s="2" t="s">
        <v>457</v>
      </c>
      <c r="I669" s="2" t="s">
        <v>15</v>
      </c>
      <c r="J669" s="2" t="s">
        <v>30</v>
      </c>
      <c r="K669" s="2" t="s">
        <v>17</v>
      </c>
      <c r="L669" s="7">
        <f>Table3[[#This Row],[Revenue]]-Table3[[#This Row],[Ad Spend]]</f>
        <v>121.13</v>
      </c>
      <c r="M669" s="11">
        <v>150.81</v>
      </c>
    </row>
    <row r="670" spans="1:13" ht="15.75" customHeight="1" x14ac:dyDescent="0.3">
      <c r="A670" s="4" t="s">
        <v>543</v>
      </c>
      <c r="B670">
        <f t="shared" si="10"/>
        <v>4</v>
      </c>
      <c r="C670" s="2" t="s">
        <v>12</v>
      </c>
      <c r="D670" s="2" t="s">
        <v>980</v>
      </c>
      <c r="E670" s="7">
        <v>34.25</v>
      </c>
      <c r="F670" s="2">
        <v>9</v>
      </c>
      <c r="G670" s="7">
        <v>272.01</v>
      </c>
      <c r="H670" s="2" t="s">
        <v>240</v>
      </c>
      <c r="I670" s="2" t="s">
        <v>35</v>
      </c>
      <c r="J670" s="2" t="s">
        <v>87</v>
      </c>
      <c r="K670" s="2" t="s">
        <v>17</v>
      </c>
      <c r="L670" s="7">
        <f>Table3[[#This Row],[Revenue]]-Table3[[#This Row],[Ad Spend]]</f>
        <v>237.76</v>
      </c>
      <c r="M670" s="11">
        <v>150.84</v>
      </c>
    </row>
    <row r="671" spans="1:13" ht="15.75" customHeight="1" x14ac:dyDescent="0.3">
      <c r="A671" s="4" t="s">
        <v>638</v>
      </c>
      <c r="B671">
        <f t="shared" si="10"/>
        <v>1</v>
      </c>
      <c r="C671" s="2" t="s">
        <v>19</v>
      </c>
      <c r="D671" s="2" t="s">
        <v>55</v>
      </c>
      <c r="E671" s="7">
        <v>23.82</v>
      </c>
      <c r="F671" s="2">
        <v>8</v>
      </c>
      <c r="G671" s="7">
        <v>325.11</v>
      </c>
      <c r="H671" s="2" t="s">
        <v>981</v>
      </c>
      <c r="I671" s="2" t="s">
        <v>15</v>
      </c>
      <c r="J671" s="2" t="s">
        <v>25</v>
      </c>
      <c r="K671" s="2" t="s">
        <v>17</v>
      </c>
      <c r="L671" s="7">
        <f>Table3[[#This Row],[Revenue]]-Table3[[#This Row],[Ad Spend]]</f>
        <v>301.29000000000002</v>
      </c>
      <c r="M671" s="11">
        <v>151.66999999999999</v>
      </c>
    </row>
    <row r="672" spans="1:13" ht="15.75" customHeight="1" x14ac:dyDescent="0.3">
      <c r="A672" s="4" t="s">
        <v>792</v>
      </c>
      <c r="B672">
        <f t="shared" si="10"/>
        <v>2</v>
      </c>
      <c r="C672" s="2" t="s">
        <v>63</v>
      </c>
      <c r="D672" s="2" t="s">
        <v>106</v>
      </c>
      <c r="E672" s="7">
        <v>114.28</v>
      </c>
      <c r="F672" s="2">
        <v>4</v>
      </c>
      <c r="G672" s="7">
        <v>414.05</v>
      </c>
      <c r="H672" s="2" t="s">
        <v>749</v>
      </c>
      <c r="I672" s="2" t="s">
        <v>29</v>
      </c>
      <c r="J672" s="2" t="s">
        <v>53</v>
      </c>
      <c r="K672" s="2" t="s">
        <v>17</v>
      </c>
      <c r="L672" s="7">
        <f>Table3[[#This Row],[Revenue]]-Table3[[#This Row],[Ad Spend]]</f>
        <v>299.77</v>
      </c>
      <c r="M672" s="11">
        <v>131.09</v>
      </c>
    </row>
    <row r="673" spans="1:13" ht="15.75" customHeight="1" x14ac:dyDescent="0.3">
      <c r="A673" s="4" t="s">
        <v>623</v>
      </c>
      <c r="B673">
        <f t="shared" si="10"/>
        <v>1</v>
      </c>
      <c r="C673" s="2" t="s">
        <v>32</v>
      </c>
      <c r="D673" s="2" t="s">
        <v>796</v>
      </c>
      <c r="E673" s="7">
        <v>36.549999999999997</v>
      </c>
      <c r="F673" s="2">
        <v>5</v>
      </c>
      <c r="G673" s="7">
        <v>497.55</v>
      </c>
      <c r="H673" s="2" t="s">
        <v>982</v>
      </c>
      <c r="I673" s="2" t="s">
        <v>15</v>
      </c>
      <c r="J673" s="2" t="s">
        <v>25</v>
      </c>
      <c r="K673" s="2" t="s">
        <v>17</v>
      </c>
      <c r="L673" s="7">
        <f>Table3[[#This Row],[Revenue]]-Table3[[#This Row],[Ad Spend]]</f>
        <v>461</v>
      </c>
      <c r="M673" s="11">
        <v>161.66999999999999</v>
      </c>
    </row>
    <row r="674" spans="1:13" ht="15.75" customHeight="1" x14ac:dyDescent="0.3">
      <c r="A674" s="4" t="s">
        <v>43</v>
      </c>
      <c r="B674">
        <f t="shared" si="10"/>
        <v>11</v>
      </c>
      <c r="C674" s="2" t="s">
        <v>12</v>
      </c>
      <c r="D674" s="2" t="s">
        <v>983</v>
      </c>
      <c r="E674" s="7">
        <v>83.15</v>
      </c>
      <c r="F674" s="2">
        <v>6</v>
      </c>
      <c r="G674" s="7">
        <v>353.71</v>
      </c>
      <c r="H674" s="2" t="s">
        <v>847</v>
      </c>
      <c r="I674" s="2" t="s">
        <v>15</v>
      </c>
      <c r="J674" s="2" t="s">
        <v>53</v>
      </c>
      <c r="K674" s="2" t="s">
        <v>17</v>
      </c>
      <c r="L674" s="7">
        <f>Table3[[#This Row],[Revenue]]-Table3[[#This Row],[Ad Spend]]</f>
        <v>270.55999999999995</v>
      </c>
      <c r="M674" s="11">
        <v>147.13999999999999</v>
      </c>
    </row>
    <row r="675" spans="1:13" ht="15.75" customHeight="1" x14ac:dyDescent="0.3">
      <c r="A675" s="4" t="s">
        <v>191</v>
      </c>
      <c r="B675">
        <f t="shared" si="10"/>
        <v>11</v>
      </c>
      <c r="C675" s="2" t="s">
        <v>32</v>
      </c>
      <c r="D675" s="2" t="s">
        <v>984</v>
      </c>
      <c r="E675" s="7">
        <v>98.36</v>
      </c>
      <c r="F675" s="2">
        <v>2</v>
      </c>
      <c r="G675" s="7">
        <v>350.03</v>
      </c>
      <c r="H675" s="2" t="s">
        <v>61</v>
      </c>
      <c r="I675" s="2" t="s">
        <v>15</v>
      </c>
      <c r="J675" s="2" t="s">
        <v>30</v>
      </c>
      <c r="K675" s="2" t="s">
        <v>17</v>
      </c>
      <c r="L675" s="7">
        <f>Table3[[#This Row],[Revenue]]-Table3[[#This Row],[Ad Spend]]</f>
        <v>251.66999999999996</v>
      </c>
      <c r="M675" s="11">
        <v>140.69999999999999</v>
      </c>
    </row>
    <row r="676" spans="1:13" ht="15.75" customHeight="1" x14ac:dyDescent="0.3">
      <c r="A676" s="4" t="s">
        <v>723</v>
      </c>
      <c r="B676">
        <f t="shared" si="10"/>
        <v>12</v>
      </c>
      <c r="C676" s="2" t="s">
        <v>12</v>
      </c>
      <c r="D676" s="2" t="s">
        <v>756</v>
      </c>
      <c r="E676" s="7">
        <v>28.39</v>
      </c>
      <c r="F676" s="2">
        <v>6</v>
      </c>
      <c r="G676" s="7">
        <v>415.16</v>
      </c>
      <c r="H676" s="2" t="s">
        <v>99</v>
      </c>
      <c r="I676" s="2" t="s">
        <v>29</v>
      </c>
      <c r="J676" s="2" t="s">
        <v>53</v>
      </c>
      <c r="K676" s="2" t="s">
        <v>17</v>
      </c>
      <c r="L676" s="7">
        <f>Table3[[#This Row],[Revenue]]-Table3[[#This Row],[Ad Spend]]</f>
        <v>386.77000000000004</v>
      </c>
      <c r="M676" s="11">
        <v>94</v>
      </c>
    </row>
    <row r="677" spans="1:13" ht="15.75" customHeight="1" x14ac:dyDescent="0.3">
      <c r="A677" s="4" t="s">
        <v>691</v>
      </c>
      <c r="B677">
        <f t="shared" si="10"/>
        <v>2</v>
      </c>
      <c r="C677" s="2" t="s">
        <v>19</v>
      </c>
      <c r="D677" s="2" t="s">
        <v>694</v>
      </c>
      <c r="E677" s="7">
        <v>11.19</v>
      </c>
      <c r="F677" s="2">
        <v>10</v>
      </c>
      <c r="G677" s="7">
        <v>417.85</v>
      </c>
      <c r="H677" s="2" t="s">
        <v>235</v>
      </c>
      <c r="I677" s="2" t="s">
        <v>29</v>
      </c>
      <c r="J677" s="2" t="s">
        <v>25</v>
      </c>
      <c r="K677" s="2" t="s">
        <v>17</v>
      </c>
      <c r="L677" s="7">
        <f>Table3[[#This Row],[Revenue]]-Table3[[#This Row],[Ad Spend]]</f>
        <v>406.66</v>
      </c>
      <c r="M677" s="11">
        <v>129.88</v>
      </c>
    </row>
    <row r="678" spans="1:13" ht="15.75" customHeight="1" x14ac:dyDescent="0.3">
      <c r="A678" s="4" t="s">
        <v>162</v>
      </c>
      <c r="B678">
        <f t="shared" si="10"/>
        <v>4</v>
      </c>
      <c r="C678" s="2" t="s">
        <v>12</v>
      </c>
      <c r="D678" s="2" t="s">
        <v>985</v>
      </c>
      <c r="E678" s="7">
        <v>30.3</v>
      </c>
      <c r="F678" s="2">
        <v>0</v>
      </c>
      <c r="G678" s="7">
        <v>467.4</v>
      </c>
      <c r="H678" s="2" t="s">
        <v>112</v>
      </c>
      <c r="I678" s="2" t="s">
        <v>29</v>
      </c>
      <c r="J678" s="2" t="s">
        <v>25</v>
      </c>
      <c r="K678" s="2" t="s">
        <v>46</v>
      </c>
      <c r="L678" s="7">
        <f>Table3[[#This Row],[Revenue]]-Table3[[#This Row],[Ad Spend]]</f>
        <v>437.09999999999997</v>
      </c>
      <c r="M678" s="11">
        <v>117.88</v>
      </c>
    </row>
    <row r="679" spans="1:13" ht="15.75" customHeight="1" x14ac:dyDescent="0.3">
      <c r="A679" s="4" t="s">
        <v>273</v>
      </c>
      <c r="B679">
        <f t="shared" si="10"/>
        <v>11</v>
      </c>
      <c r="C679" s="2" t="s">
        <v>63</v>
      </c>
      <c r="D679" s="2" t="s">
        <v>986</v>
      </c>
      <c r="E679" s="7">
        <v>22.3</v>
      </c>
      <c r="F679" s="2">
        <v>10</v>
      </c>
      <c r="G679" s="7">
        <v>474.84</v>
      </c>
      <c r="H679" s="2" t="s">
        <v>987</v>
      </c>
      <c r="I679" s="2" t="s">
        <v>35</v>
      </c>
      <c r="J679" s="2" t="s">
        <v>53</v>
      </c>
      <c r="K679" s="2" t="s">
        <v>17</v>
      </c>
      <c r="L679" s="7">
        <f>Table3[[#This Row],[Revenue]]-Table3[[#This Row],[Ad Spend]]</f>
        <v>452.53999999999996</v>
      </c>
      <c r="M679" s="11">
        <v>170.21</v>
      </c>
    </row>
    <row r="680" spans="1:13" ht="15.75" customHeight="1" x14ac:dyDescent="0.3">
      <c r="A680" s="4" t="s">
        <v>68</v>
      </c>
      <c r="B680">
        <f t="shared" si="10"/>
        <v>4</v>
      </c>
      <c r="C680" s="2" t="s">
        <v>12</v>
      </c>
      <c r="D680" s="2" t="s">
        <v>988</v>
      </c>
      <c r="E680" s="7">
        <v>22.92</v>
      </c>
      <c r="F680" s="2">
        <v>7</v>
      </c>
      <c r="G680" s="7">
        <v>279.43</v>
      </c>
      <c r="H680" s="2" t="s">
        <v>14</v>
      </c>
      <c r="I680" s="2" t="s">
        <v>35</v>
      </c>
      <c r="J680" s="2" t="s">
        <v>25</v>
      </c>
      <c r="K680" s="2" t="s">
        <v>17</v>
      </c>
      <c r="L680" s="7">
        <f>Table3[[#This Row],[Revenue]]-Table3[[#This Row],[Ad Spend]]</f>
        <v>256.51</v>
      </c>
      <c r="M680" s="11">
        <v>112.56</v>
      </c>
    </row>
    <row r="681" spans="1:13" ht="15.75" customHeight="1" x14ac:dyDescent="0.3">
      <c r="A681" s="4" t="s">
        <v>56</v>
      </c>
      <c r="B681">
        <f t="shared" si="10"/>
        <v>12</v>
      </c>
      <c r="C681" s="2" t="s">
        <v>63</v>
      </c>
      <c r="D681" s="2" t="s">
        <v>896</v>
      </c>
      <c r="E681" s="7">
        <v>126.76</v>
      </c>
      <c r="F681" s="2">
        <v>0</v>
      </c>
      <c r="G681" s="7">
        <v>293.45999999999998</v>
      </c>
      <c r="H681" s="2" t="s">
        <v>437</v>
      </c>
      <c r="I681" s="2" t="s">
        <v>35</v>
      </c>
      <c r="J681" s="2" t="s">
        <v>53</v>
      </c>
      <c r="K681" s="2" t="s">
        <v>46</v>
      </c>
      <c r="L681" s="7">
        <f>Table3[[#This Row],[Revenue]]-Table3[[#This Row],[Ad Spend]]</f>
        <v>166.7</v>
      </c>
      <c r="M681" s="11">
        <v>126.76</v>
      </c>
    </row>
    <row r="682" spans="1:13" ht="15.75" customHeight="1" x14ac:dyDescent="0.3">
      <c r="A682" s="4" t="s">
        <v>97</v>
      </c>
      <c r="B682">
        <f t="shared" si="10"/>
        <v>12</v>
      </c>
      <c r="C682" s="2" t="s">
        <v>19</v>
      </c>
      <c r="D682" s="2" t="s">
        <v>776</v>
      </c>
      <c r="E682" s="7">
        <v>76.400000000000006</v>
      </c>
      <c r="F682" s="2">
        <v>5</v>
      </c>
      <c r="G682" s="7">
        <v>54.98</v>
      </c>
      <c r="H682" s="2" t="s">
        <v>286</v>
      </c>
      <c r="I682" s="2" t="s">
        <v>15</v>
      </c>
      <c r="J682" s="2" t="s">
        <v>87</v>
      </c>
      <c r="K682" s="2" t="s">
        <v>17</v>
      </c>
      <c r="L682" s="7">
        <f>Table3[[#This Row],[Revenue]]-Table3[[#This Row],[Ad Spend]]</f>
        <v>-21.420000000000009</v>
      </c>
      <c r="M682" s="11">
        <v>118.12</v>
      </c>
    </row>
    <row r="683" spans="1:13" ht="15.75" customHeight="1" x14ac:dyDescent="0.3">
      <c r="A683" s="4" t="s">
        <v>54</v>
      </c>
      <c r="B683">
        <f t="shared" si="10"/>
        <v>2</v>
      </c>
      <c r="C683" s="2" t="s">
        <v>32</v>
      </c>
      <c r="D683" s="2" t="s">
        <v>989</v>
      </c>
      <c r="E683" s="7">
        <v>137.72</v>
      </c>
      <c r="F683" s="2">
        <v>2</v>
      </c>
      <c r="G683" s="7">
        <v>335.24</v>
      </c>
      <c r="H683" s="2" t="s">
        <v>990</v>
      </c>
      <c r="I683" s="2" t="s">
        <v>15</v>
      </c>
      <c r="J683" s="2" t="s">
        <v>36</v>
      </c>
      <c r="K683" s="2" t="s">
        <v>17</v>
      </c>
      <c r="L683" s="7">
        <f>Table3[[#This Row],[Revenue]]-Table3[[#This Row],[Ad Spend]]</f>
        <v>197.52</v>
      </c>
      <c r="M683" s="11">
        <v>151.26</v>
      </c>
    </row>
    <row r="684" spans="1:13" ht="15.75" customHeight="1" x14ac:dyDescent="0.3">
      <c r="A684" s="4" t="s">
        <v>76</v>
      </c>
      <c r="B684">
        <f t="shared" si="10"/>
        <v>1</v>
      </c>
      <c r="C684" s="2" t="s">
        <v>63</v>
      </c>
      <c r="D684" s="2" t="s">
        <v>991</v>
      </c>
      <c r="E684" s="7">
        <v>112.88</v>
      </c>
      <c r="F684" s="2">
        <v>3</v>
      </c>
      <c r="G684" s="7">
        <v>27.88</v>
      </c>
      <c r="H684" s="2" t="s">
        <v>28</v>
      </c>
      <c r="I684" s="2" t="s">
        <v>29</v>
      </c>
      <c r="J684" s="2" t="s">
        <v>87</v>
      </c>
      <c r="K684" s="2" t="s">
        <v>17</v>
      </c>
      <c r="L684" s="7">
        <f>Table3[[#This Row],[Revenue]]-Table3[[#This Row],[Ad Spend]]</f>
        <v>-85</v>
      </c>
      <c r="M684" s="11">
        <v>143.19</v>
      </c>
    </row>
    <row r="685" spans="1:13" ht="15.75" customHeight="1" x14ac:dyDescent="0.3">
      <c r="A685" s="4" t="s">
        <v>26</v>
      </c>
      <c r="B685">
        <f t="shared" si="10"/>
        <v>12</v>
      </c>
      <c r="C685" s="2" t="s">
        <v>32</v>
      </c>
      <c r="D685" s="2" t="s">
        <v>992</v>
      </c>
      <c r="E685" s="7">
        <v>130.5</v>
      </c>
      <c r="F685" s="2">
        <v>5</v>
      </c>
      <c r="G685" s="7">
        <v>377.15</v>
      </c>
      <c r="H685" s="2" t="s">
        <v>279</v>
      </c>
      <c r="I685" s="2" t="s">
        <v>15</v>
      </c>
      <c r="J685" s="2" t="s">
        <v>25</v>
      </c>
      <c r="K685" s="2" t="s">
        <v>17</v>
      </c>
      <c r="L685" s="7">
        <f>Table3[[#This Row],[Revenue]]-Table3[[#This Row],[Ad Spend]]</f>
        <v>246.64999999999998</v>
      </c>
      <c r="M685" s="11">
        <v>131.21</v>
      </c>
    </row>
    <row r="686" spans="1:13" ht="15.75" customHeight="1" x14ac:dyDescent="0.3">
      <c r="A686" s="4" t="s">
        <v>277</v>
      </c>
      <c r="B686">
        <f t="shared" si="10"/>
        <v>2</v>
      </c>
      <c r="C686" s="2" t="s">
        <v>19</v>
      </c>
      <c r="D686" s="2" t="s">
        <v>993</v>
      </c>
      <c r="E686" s="7">
        <v>126.27</v>
      </c>
      <c r="F686" s="2">
        <v>6</v>
      </c>
      <c r="G686" s="7">
        <v>281.05</v>
      </c>
      <c r="H686" s="2" t="s">
        <v>28</v>
      </c>
      <c r="I686" s="2" t="s">
        <v>35</v>
      </c>
      <c r="J686" s="2" t="s">
        <v>25</v>
      </c>
      <c r="K686" s="2" t="s">
        <v>17</v>
      </c>
      <c r="L686" s="7">
        <f>Table3[[#This Row],[Revenue]]-Table3[[#This Row],[Ad Spend]]</f>
        <v>154.78000000000003</v>
      </c>
      <c r="M686" s="11">
        <v>134.08000000000001</v>
      </c>
    </row>
    <row r="687" spans="1:13" ht="15.75" customHeight="1" x14ac:dyDescent="0.3">
      <c r="A687" s="4" t="s">
        <v>532</v>
      </c>
      <c r="B687">
        <f t="shared" si="10"/>
        <v>2</v>
      </c>
      <c r="C687" s="2" t="s">
        <v>32</v>
      </c>
      <c r="D687" s="2" t="s">
        <v>739</v>
      </c>
      <c r="E687" s="7">
        <v>121.93</v>
      </c>
      <c r="F687" s="2">
        <v>6</v>
      </c>
      <c r="G687" s="7">
        <v>144.59</v>
      </c>
      <c r="H687" s="2" t="s">
        <v>471</v>
      </c>
      <c r="I687" s="2" t="s">
        <v>29</v>
      </c>
      <c r="J687" s="2" t="s">
        <v>87</v>
      </c>
      <c r="K687" s="2" t="s">
        <v>17</v>
      </c>
      <c r="L687" s="7">
        <f>Table3[[#This Row],[Revenue]]-Table3[[#This Row],[Ad Spend]]</f>
        <v>22.659999999999997</v>
      </c>
      <c r="M687" s="11">
        <v>117.62</v>
      </c>
    </row>
    <row r="688" spans="1:13" ht="15.75" customHeight="1" x14ac:dyDescent="0.3">
      <c r="A688" s="4" t="s">
        <v>380</v>
      </c>
      <c r="B688">
        <f t="shared" si="10"/>
        <v>2</v>
      </c>
      <c r="C688" s="2" t="s">
        <v>19</v>
      </c>
      <c r="D688" s="2" t="s">
        <v>994</v>
      </c>
      <c r="E688" s="7">
        <v>102.88</v>
      </c>
      <c r="F688" s="2">
        <v>7</v>
      </c>
      <c r="G688" s="7">
        <v>266.52</v>
      </c>
      <c r="H688" s="2" t="s">
        <v>138</v>
      </c>
      <c r="I688" s="2" t="s">
        <v>15</v>
      </c>
      <c r="J688" s="2" t="s">
        <v>30</v>
      </c>
      <c r="K688" s="2" t="s">
        <v>17</v>
      </c>
      <c r="L688" s="7">
        <f>Table3[[#This Row],[Revenue]]-Table3[[#This Row],[Ad Spend]]</f>
        <v>163.63999999999999</v>
      </c>
      <c r="M688" s="11">
        <v>130.72999999999999</v>
      </c>
    </row>
    <row r="689" spans="1:13" ht="15.75" customHeight="1" x14ac:dyDescent="0.3">
      <c r="A689" s="4" t="s">
        <v>499</v>
      </c>
      <c r="B689">
        <f t="shared" si="10"/>
        <v>4</v>
      </c>
      <c r="C689" s="2" t="s">
        <v>12</v>
      </c>
      <c r="D689" s="2" t="s">
        <v>686</v>
      </c>
      <c r="E689" s="7">
        <v>131.47999999999999</v>
      </c>
      <c r="F689" s="2">
        <v>10</v>
      </c>
      <c r="G689" s="7">
        <v>462.65</v>
      </c>
      <c r="H689" s="2" t="s">
        <v>104</v>
      </c>
      <c r="I689" s="2" t="s">
        <v>15</v>
      </c>
      <c r="J689" s="2" t="s">
        <v>30</v>
      </c>
      <c r="K689" s="2" t="s">
        <v>17</v>
      </c>
      <c r="L689" s="7">
        <f>Table3[[#This Row],[Revenue]]-Table3[[#This Row],[Ad Spend]]</f>
        <v>331.16999999999996</v>
      </c>
      <c r="M689" s="11">
        <v>124.83</v>
      </c>
    </row>
    <row r="690" spans="1:13" ht="15.75" customHeight="1" x14ac:dyDescent="0.3">
      <c r="A690" s="4" t="s">
        <v>485</v>
      </c>
      <c r="B690">
        <f t="shared" si="10"/>
        <v>12</v>
      </c>
      <c r="C690" s="2" t="s">
        <v>19</v>
      </c>
      <c r="D690" s="2" t="s">
        <v>83</v>
      </c>
      <c r="E690" s="7">
        <v>17.559999999999999</v>
      </c>
      <c r="F690" s="2">
        <v>6</v>
      </c>
      <c r="G690" s="7">
        <v>159.36000000000001</v>
      </c>
      <c r="H690" s="2" t="s">
        <v>995</v>
      </c>
      <c r="I690" s="2" t="s">
        <v>15</v>
      </c>
      <c r="J690" s="2" t="s">
        <v>36</v>
      </c>
      <c r="K690" s="2" t="s">
        <v>17</v>
      </c>
      <c r="L690" s="7">
        <f>Table3[[#This Row],[Revenue]]-Table3[[#This Row],[Ad Spend]]</f>
        <v>141.80000000000001</v>
      </c>
      <c r="M690" s="11">
        <v>67.8</v>
      </c>
    </row>
    <row r="691" spans="1:13" ht="15.75" customHeight="1" x14ac:dyDescent="0.3">
      <c r="A691" s="4" t="s">
        <v>792</v>
      </c>
      <c r="B691">
        <f t="shared" si="10"/>
        <v>2</v>
      </c>
      <c r="C691" s="2" t="s">
        <v>63</v>
      </c>
      <c r="D691" s="2" t="s">
        <v>996</v>
      </c>
      <c r="E691" s="7">
        <v>51.73</v>
      </c>
      <c r="F691" s="2">
        <v>8</v>
      </c>
      <c r="G691" s="7">
        <v>223.14</v>
      </c>
      <c r="H691" s="2" t="s">
        <v>81</v>
      </c>
      <c r="I691" s="2" t="s">
        <v>35</v>
      </c>
      <c r="J691" s="2" t="s">
        <v>16</v>
      </c>
      <c r="K691" s="2" t="s">
        <v>17</v>
      </c>
      <c r="L691" s="7">
        <f>Table3[[#This Row],[Revenue]]-Table3[[#This Row],[Ad Spend]]</f>
        <v>171.41</v>
      </c>
      <c r="M691" s="11">
        <v>127.13</v>
      </c>
    </row>
    <row r="692" spans="1:13" ht="15.75" customHeight="1" x14ac:dyDescent="0.3">
      <c r="A692" s="4" t="s">
        <v>834</v>
      </c>
      <c r="B692">
        <f t="shared" si="10"/>
        <v>11</v>
      </c>
      <c r="C692" s="2" t="s">
        <v>12</v>
      </c>
      <c r="D692" s="2" t="s">
        <v>537</v>
      </c>
      <c r="E692" s="7">
        <v>44.6</v>
      </c>
      <c r="F692" s="2">
        <v>3</v>
      </c>
      <c r="G692" s="7">
        <v>357.81</v>
      </c>
      <c r="H692" s="2" t="s">
        <v>198</v>
      </c>
      <c r="I692" s="2" t="s">
        <v>29</v>
      </c>
      <c r="J692" s="2" t="s">
        <v>16</v>
      </c>
      <c r="K692" s="2" t="s">
        <v>17</v>
      </c>
      <c r="L692" s="7">
        <f>Table3[[#This Row],[Revenue]]-Table3[[#This Row],[Ad Spend]]</f>
        <v>313.20999999999998</v>
      </c>
      <c r="M692" s="11">
        <v>115.63</v>
      </c>
    </row>
    <row r="693" spans="1:13" ht="15.75" customHeight="1" x14ac:dyDescent="0.3">
      <c r="A693" s="4" t="s">
        <v>360</v>
      </c>
      <c r="B693">
        <f t="shared" si="10"/>
        <v>1</v>
      </c>
      <c r="C693" s="2" t="s">
        <v>63</v>
      </c>
      <c r="D693" s="2" t="s">
        <v>997</v>
      </c>
      <c r="E693" s="7">
        <v>57.89</v>
      </c>
      <c r="F693" s="2">
        <v>2</v>
      </c>
      <c r="G693" s="7">
        <v>264.24</v>
      </c>
      <c r="H693" s="2" t="s">
        <v>279</v>
      </c>
      <c r="I693" s="2" t="s">
        <v>35</v>
      </c>
      <c r="J693" s="2" t="s">
        <v>30</v>
      </c>
      <c r="K693" s="2" t="s">
        <v>17</v>
      </c>
      <c r="L693" s="7">
        <f>Table3[[#This Row],[Revenue]]-Table3[[#This Row],[Ad Spend]]</f>
        <v>206.35000000000002</v>
      </c>
      <c r="M693" s="11">
        <v>133.55000000000001</v>
      </c>
    </row>
    <row r="694" spans="1:13" ht="15.75" customHeight="1" x14ac:dyDescent="0.3">
      <c r="A694" s="4" t="s">
        <v>126</v>
      </c>
      <c r="B694">
        <f t="shared" si="10"/>
        <v>11</v>
      </c>
      <c r="C694" s="2" t="s">
        <v>12</v>
      </c>
      <c r="D694" s="2" t="s">
        <v>998</v>
      </c>
      <c r="E694" s="7">
        <v>56.86</v>
      </c>
      <c r="F694" s="2">
        <v>3</v>
      </c>
      <c r="G694" s="7">
        <v>115.55</v>
      </c>
      <c r="H694" s="2" t="s">
        <v>96</v>
      </c>
      <c r="I694" s="2" t="s">
        <v>15</v>
      </c>
      <c r="J694" s="2" t="s">
        <v>30</v>
      </c>
      <c r="K694" s="2" t="s">
        <v>17</v>
      </c>
      <c r="L694" s="7">
        <f>Table3[[#This Row],[Revenue]]-Table3[[#This Row],[Ad Spend]]</f>
        <v>58.69</v>
      </c>
      <c r="M694" s="11">
        <v>130.19999999999999</v>
      </c>
    </row>
    <row r="695" spans="1:13" ht="15.75" customHeight="1" x14ac:dyDescent="0.3">
      <c r="A695" s="4" t="s">
        <v>304</v>
      </c>
      <c r="B695">
        <f t="shared" si="10"/>
        <v>12</v>
      </c>
      <c r="C695" s="2" t="s">
        <v>63</v>
      </c>
      <c r="D695" s="2" t="s">
        <v>154</v>
      </c>
      <c r="E695" s="7">
        <v>134.77000000000001</v>
      </c>
      <c r="F695" s="2">
        <v>8</v>
      </c>
      <c r="G695" s="7">
        <v>481.68</v>
      </c>
      <c r="H695" s="2" t="s">
        <v>664</v>
      </c>
      <c r="I695" s="2" t="s">
        <v>35</v>
      </c>
      <c r="J695" s="2" t="s">
        <v>53</v>
      </c>
      <c r="K695" s="2" t="s">
        <v>17</v>
      </c>
      <c r="L695" s="7">
        <f>Table3[[#This Row],[Revenue]]-Table3[[#This Row],[Ad Spend]]</f>
        <v>346.90999999999997</v>
      </c>
      <c r="M695" s="11">
        <v>156.46</v>
      </c>
    </row>
    <row r="696" spans="1:13" ht="15.75" customHeight="1" x14ac:dyDescent="0.3">
      <c r="A696" s="4" t="s">
        <v>755</v>
      </c>
      <c r="B696">
        <f t="shared" si="10"/>
        <v>2</v>
      </c>
      <c r="C696" s="2" t="s">
        <v>19</v>
      </c>
      <c r="D696" s="2" t="s">
        <v>44</v>
      </c>
      <c r="E696" s="7">
        <v>122.36</v>
      </c>
      <c r="F696" s="2">
        <v>3</v>
      </c>
      <c r="G696" s="7">
        <v>475.14</v>
      </c>
      <c r="H696" s="2" t="s">
        <v>289</v>
      </c>
      <c r="I696" s="2" t="s">
        <v>29</v>
      </c>
      <c r="J696" s="2" t="s">
        <v>30</v>
      </c>
      <c r="K696" s="2" t="s">
        <v>17</v>
      </c>
      <c r="L696" s="7">
        <f>Table3[[#This Row],[Revenue]]-Table3[[#This Row],[Ad Spend]]</f>
        <v>352.78</v>
      </c>
      <c r="M696" s="11">
        <v>169.09</v>
      </c>
    </row>
    <row r="697" spans="1:13" ht="15.75" customHeight="1" x14ac:dyDescent="0.3">
      <c r="A697" s="4" t="s">
        <v>252</v>
      </c>
      <c r="B697">
        <f t="shared" si="10"/>
        <v>11</v>
      </c>
      <c r="C697" s="2" t="s">
        <v>12</v>
      </c>
      <c r="D697" s="2" t="s">
        <v>999</v>
      </c>
      <c r="E697" s="7">
        <v>7.67</v>
      </c>
      <c r="F697" s="2">
        <v>7</v>
      </c>
      <c r="G697" s="7">
        <v>45.5</v>
      </c>
      <c r="H697" s="2" t="s">
        <v>345</v>
      </c>
      <c r="I697" s="2" t="s">
        <v>15</v>
      </c>
      <c r="J697" s="2" t="s">
        <v>36</v>
      </c>
      <c r="K697" s="2" t="s">
        <v>17</v>
      </c>
      <c r="L697" s="7">
        <f>Table3[[#This Row],[Revenue]]-Table3[[#This Row],[Ad Spend]]</f>
        <v>37.83</v>
      </c>
      <c r="M697" s="11">
        <v>86.03</v>
      </c>
    </row>
    <row r="698" spans="1:13" ht="15.75" customHeight="1" x14ac:dyDescent="0.3">
      <c r="A698" s="4" t="s">
        <v>428</v>
      </c>
      <c r="B698">
        <f t="shared" si="10"/>
        <v>3</v>
      </c>
      <c r="C698" s="2" t="s">
        <v>19</v>
      </c>
      <c r="D698" s="2" t="s">
        <v>1000</v>
      </c>
      <c r="E698" s="7">
        <v>129.77000000000001</v>
      </c>
      <c r="F698" s="2">
        <v>6</v>
      </c>
      <c r="G698" s="7">
        <v>285.57</v>
      </c>
      <c r="H698" s="2" t="s">
        <v>742</v>
      </c>
      <c r="I698" s="2" t="s">
        <v>35</v>
      </c>
      <c r="J698" s="2" t="s">
        <v>30</v>
      </c>
      <c r="K698" s="2" t="s">
        <v>17</v>
      </c>
      <c r="L698" s="7">
        <f>Table3[[#This Row],[Revenue]]-Table3[[#This Row],[Ad Spend]]</f>
        <v>155.79999999999998</v>
      </c>
      <c r="M698" s="11">
        <v>92.13</v>
      </c>
    </row>
    <row r="699" spans="1:13" ht="15.75" customHeight="1" x14ac:dyDescent="0.3">
      <c r="A699" s="4" t="s">
        <v>62</v>
      </c>
      <c r="B699">
        <f t="shared" si="10"/>
        <v>2</v>
      </c>
      <c r="C699" s="2" t="s">
        <v>12</v>
      </c>
      <c r="D699" s="2" t="s">
        <v>539</v>
      </c>
      <c r="E699" s="7">
        <v>148.01</v>
      </c>
      <c r="F699" s="2">
        <v>2</v>
      </c>
      <c r="G699" s="7">
        <v>250.77</v>
      </c>
      <c r="H699" s="2" t="s">
        <v>1001</v>
      </c>
      <c r="I699" s="2" t="s">
        <v>29</v>
      </c>
      <c r="J699" s="2" t="s">
        <v>36</v>
      </c>
      <c r="K699" s="2" t="s">
        <v>17</v>
      </c>
      <c r="L699" s="7">
        <f>Table3[[#This Row],[Revenue]]-Table3[[#This Row],[Ad Spend]]</f>
        <v>102.76000000000002</v>
      </c>
      <c r="M699" s="11">
        <v>118.25</v>
      </c>
    </row>
    <row r="700" spans="1:13" ht="15.75" customHeight="1" x14ac:dyDescent="0.3">
      <c r="A700" s="4" t="s">
        <v>356</v>
      </c>
      <c r="B700">
        <f t="shared" si="10"/>
        <v>3</v>
      </c>
      <c r="C700" s="2" t="s">
        <v>12</v>
      </c>
      <c r="D700" s="2" t="s">
        <v>1002</v>
      </c>
      <c r="E700" s="7">
        <v>32</v>
      </c>
      <c r="F700" s="2">
        <v>7</v>
      </c>
      <c r="G700" s="7">
        <v>172.99</v>
      </c>
      <c r="H700" s="2" t="s">
        <v>301</v>
      </c>
      <c r="I700" s="2" t="s">
        <v>35</v>
      </c>
      <c r="J700" s="2" t="s">
        <v>16</v>
      </c>
      <c r="K700" s="2" t="s">
        <v>17</v>
      </c>
      <c r="L700" s="7">
        <f>Table3[[#This Row],[Revenue]]-Table3[[#This Row],[Ad Spend]]</f>
        <v>140.99</v>
      </c>
      <c r="M700" s="11">
        <v>150.69</v>
      </c>
    </row>
    <row r="701" spans="1:13" ht="15.75" customHeight="1" x14ac:dyDescent="0.3">
      <c r="A701" s="4" t="s">
        <v>113</v>
      </c>
      <c r="B701">
        <f t="shared" si="10"/>
        <v>3</v>
      </c>
      <c r="C701" s="2" t="s">
        <v>32</v>
      </c>
      <c r="D701" s="2" t="s">
        <v>15</v>
      </c>
      <c r="E701" s="7">
        <v>44.41</v>
      </c>
      <c r="F701" s="2">
        <v>5</v>
      </c>
      <c r="G701" s="7">
        <v>360.25</v>
      </c>
      <c r="H701" s="2" t="s">
        <v>820</v>
      </c>
      <c r="I701" s="2" t="s">
        <v>35</v>
      </c>
      <c r="J701" s="2" t="s">
        <v>25</v>
      </c>
      <c r="K701" s="2" t="s">
        <v>17</v>
      </c>
      <c r="L701" s="7">
        <f>Table3[[#This Row],[Revenue]]-Table3[[#This Row],[Ad Spend]]</f>
        <v>315.84000000000003</v>
      </c>
      <c r="M701" s="11">
        <v>117.78</v>
      </c>
    </row>
    <row r="702" spans="1:13" ht="15.75" customHeight="1" x14ac:dyDescent="0.3">
      <c r="A702" s="4" t="s">
        <v>875</v>
      </c>
      <c r="B702">
        <f t="shared" si="10"/>
        <v>12</v>
      </c>
      <c r="C702" s="2" t="s">
        <v>63</v>
      </c>
      <c r="D702" s="2" t="s">
        <v>1003</v>
      </c>
      <c r="E702" s="7">
        <v>44.38</v>
      </c>
      <c r="F702" s="2">
        <v>6</v>
      </c>
      <c r="G702" s="7">
        <v>143.15</v>
      </c>
      <c r="H702" s="2" t="s">
        <v>1004</v>
      </c>
      <c r="I702" s="2" t="s">
        <v>15</v>
      </c>
      <c r="J702" s="2" t="s">
        <v>30</v>
      </c>
      <c r="K702" s="2" t="s">
        <v>17</v>
      </c>
      <c r="L702" s="7">
        <f>Table3[[#This Row],[Revenue]]-Table3[[#This Row],[Ad Spend]]</f>
        <v>98.77000000000001</v>
      </c>
      <c r="M702" s="11">
        <v>71.400000000000006</v>
      </c>
    </row>
    <row r="703" spans="1:13" ht="15.75" customHeight="1" x14ac:dyDescent="0.3">
      <c r="A703" s="4" t="s">
        <v>148</v>
      </c>
      <c r="B703">
        <f t="shared" si="10"/>
        <v>4</v>
      </c>
      <c r="C703" s="2" t="s">
        <v>12</v>
      </c>
      <c r="D703" s="2" t="s">
        <v>1005</v>
      </c>
      <c r="E703" s="7">
        <v>139.86000000000001</v>
      </c>
      <c r="F703" s="2">
        <v>6</v>
      </c>
      <c r="G703" s="7">
        <v>344.77</v>
      </c>
      <c r="H703" s="2" t="s">
        <v>1006</v>
      </c>
      <c r="I703" s="2" t="s">
        <v>29</v>
      </c>
      <c r="J703" s="2" t="s">
        <v>25</v>
      </c>
      <c r="K703" s="2" t="s">
        <v>17</v>
      </c>
      <c r="L703" s="7">
        <f>Table3[[#This Row],[Revenue]]-Table3[[#This Row],[Ad Spend]]</f>
        <v>204.90999999999997</v>
      </c>
      <c r="M703" s="11">
        <v>124.23</v>
      </c>
    </row>
    <row r="704" spans="1:13" ht="15.75" customHeight="1" x14ac:dyDescent="0.3">
      <c r="A704" s="4" t="s">
        <v>691</v>
      </c>
      <c r="B704">
        <f t="shared" si="10"/>
        <v>2</v>
      </c>
      <c r="C704" s="2" t="s">
        <v>19</v>
      </c>
      <c r="D704" s="2" t="s">
        <v>767</v>
      </c>
      <c r="E704" s="7">
        <v>118.31</v>
      </c>
      <c r="F704" s="2">
        <v>6</v>
      </c>
      <c r="G704" s="7">
        <v>173.46</v>
      </c>
      <c r="H704" s="2" t="s">
        <v>171</v>
      </c>
      <c r="I704" s="2" t="s">
        <v>29</v>
      </c>
      <c r="J704" s="2" t="s">
        <v>87</v>
      </c>
      <c r="K704" s="2" t="s">
        <v>17</v>
      </c>
      <c r="L704" s="7">
        <f>Table3[[#This Row],[Revenue]]-Table3[[#This Row],[Ad Spend]]</f>
        <v>55.150000000000006</v>
      </c>
      <c r="M704" s="11">
        <v>94.72</v>
      </c>
    </row>
    <row r="705" spans="1:13" ht="15.75" customHeight="1" x14ac:dyDescent="0.3">
      <c r="A705" s="4" t="s">
        <v>76</v>
      </c>
      <c r="B705">
        <f t="shared" si="10"/>
        <v>1</v>
      </c>
      <c r="C705" s="2" t="s">
        <v>63</v>
      </c>
      <c r="D705" s="2" t="s">
        <v>934</v>
      </c>
      <c r="E705" s="7">
        <v>28.96</v>
      </c>
      <c r="F705" s="2">
        <v>6</v>
      </c>
      <c r="G705" s="7">
        <v>382.22</v>
      </c>
      <c r="H705" s="2" t="s">
        <v>225</v>
      </c>
      <c r="I705" s="2" t="s">
        <v>35</v>
      </c>
      <c r="J705" s="2" t="s">
        <v>30</v>
      </c>
      <c r="K705" s="2" t="s">
        <v>17</v>
      </c>
      <c r="L705" s="7">
        <f>Table3[[#This Row],[Revenue]]-Table3[[#This Row],[Ad Spend]]</f>
        <v>353.26000000000005</v>
      </c>
      <c r="M705" s="11">
        <v>120.76</v>
      </c>
    </row>
    <row r="706" spans="1:13" ht="15.75" customHeight="1" x14ac:dyDescent="0.3">
      <c r="A706" s="4" t="s">
        <v>258</v>
      </c>
      <c r="B706">
        <f t="shared" si="10"/>
        <v>2</v>
      </c>
      <c r="C706" s="2" t="s">
        <v>63</v>
      </c>
      <c r="D706" s="2" t="s">
        <v>1007</v>
      </c>
      <c r="E706" s="7">
        <v>37.479999999999997</v>
      </c>
      <c r="F706" s="2">
        <v>1</v>
      </c>
      <c r="G706" s="7">
        <v>48.67</v>
      </c>
      <c r="H706" s="2" t="s">
        <v>744</v>
      </c>
      <c r="I706" s="2" t="s">
        <v>15</v>
      </c>
      <c r="J706" s="2" t="s">
        <v>53</v>
      </c>
      <c r="K706" s="2" t="s">
        <v>17</v>
      </c>
      <c r="L706" s="7">
        <f>Table3[[#This Row],[Revenue]]-Table3[[#This Row],[Ad Spend]]</f>
        <v>11.190000000000005</v>
      </c>
      <c r="M706" s="11">
        <v>120.31</v>
      </c>
    </row>
    <row r="707" spans="1:13" ht="15.75" customHeight="1" x14ac:dyDescent="0.3">
      <c r="A707" s="4" t="s">
        <v>383</v>
      </c>
      <c r="B707">
        <f t="shared" ref="B707:B770" si="11">MONTH(A707)</f>
        <v>12</v>
      </c>
      <c r="C707" s="2" t="s">
        <v>19</v>
      </c>
      <c r="D707" s="2" t="s">
        <v>682</v>
      </c>
      <c r="E707" s="7">
        <v>35.61</v>
      </c>
      <c r="F707" s="2">
        <v>4</v>
      </c>
      <c r="G707" s="7">
        <v>160.85</v>
      </c>
      <c r="H707" s="2" t="s">
        <v>1008</v>
      </c>
      <c r="I707" s="2" t="s">
        <v>35</v>
      </c>
      <c r="J707" s="2" t="s">
        <v>25</v>
      </c>
      <c r="K707" s="2" t="s">
        <v>17</v>
      </c>
      <c r="L707" s="7">
        <f>Table3[[#This Row],[Revenue]]-Table3[[#This Row],[Ad Spend]]</f>
        <v>125.24</v>
      </c>
      <c r="M707" s="11">
        <v>93.24</v>
      </c>
    </row>
    <row r="708" spans="1:13" ht="15.75" customHeight="1" x14ac:dyDescent="0.3">
      <c r="A708" s="4" t="s">
        <v>56</v>
      </c>
      <c r="B708">
        <f t="shared" si="11"/>
        <v>12</v>
      </c>
      <c r="C708" s="2" t="s">
        <v>19</v>
      </c>
      <c r="D708" s="2" t="s">
        <v>968</v>
      </c>
      <c r="E708" s="7">
        <v>85.53</v>
      </c>
      <c r="F708" s="2">
        <v>6</v>
      </c>
      <c r="G708" s="7">
        <v>334.12</v>
      </c>
      <c r="H708" s="2" t="s">
        <v>367</v>
      </c>
      <c r="I708" s="2" t="s">
        <v>15</v>
      </c>
      <c r="J708" s="2" t="s">
        <v>30</v>
      </c>
      <c r="K708" s="2" t="s">
        <v>17</v>
      </c>
      <c r="L708" s="7">
        <f>Table3[[#This Row],[Revenue]]-Table3[[#This Row],[Ad Spend]]</f>
        <v>248.59</v>
      </c>
      <c r="M708" s="11">
        <v>168.4</v>
      </c>
    </row>
    <row r="709" spans="1:13" ht="15.75" customHeight="1" x14ac:dyDescent="0.3">
      <c r="A709" s="4" t="s">
        <v>402</v>
      </c>
      <c r="B709">
        <f t="shared" si="11"/>
        <v>3</v>
      </c>
      <c r="C709" s="2" t="s">
        <v>32</v>
      </c>
      <c r="D709" s="2" t="s">
        <v>1009</v>
      </c>
      <c r="E709" s="7">
        <v>141.52000000000001</v>
      </c>
      <c r="F709" s="2">
        <v>8</v>
      </c>
      <c r="G709" s="7">
        <v>35.049999999999997</v>
      </c>
      <c r="H709" s="2" t="s">
        <v>313</v>
      </c>
      <c r="I709" s="2" t="s">
        <v>29</v>
      </c>
      <c r="J709" s="2" t="s">
        <v>30</v>
      </c>
      <c r="K709" s="2" t="s">
        <v>17</v>
      </c>
      <c r="L709" s="7">
        <f>Table3[[#This Row],[Revenue]]-Table3[[#This Row],[Ad Spend]]</f>
        <v>-106.47000000000001</v>
      </c>
      <c r="M709" s="11">
        <v>118.21</v>
      </c>
    </row>
    <row r="710" spans="1:13" ht="15.75" customHeight="1" x14ac:dyDescent="0.3">
      <c r="A710" s="4" t="s">
        <v>54</v>
      </c>
      <c r="B710">
        <f t="shared" si="11"/>
        <v>2</v>
      </c>
      <c r="C710" s="2" t="s">
        <v>12</v>
      </c>
      <c r="D710" s="2" t="s">
        <v>710</v>
      </c>
      <c r="E710" s="7">
        <v>82.47</v>
      </c>
      <c r="F710" s="2">
        <v>7</v>
      </c>
      <c r="G710" s="7">
        <v>176.03</v>
      </c>
      <c r="H710" s="2" t="s">
        <v>1006</v>
      </c>
      <c r="I710" s="2" t="s">
        <v>29</v>
      </c>
      <c r="J710" s="2" t="s">
        <v>87</v>
      </c>
      <c r="K710" s="2" t="s">
        <v>17</v>
      </c>
      <c r="L710" s="7">
        <f>Table3[[#This Row],[Revenue]]-Table3[[#This Row],[Ad Spend]]</f>
        <v>93.56</v>
      </c>
      <c r="M710" s="11">
        <v>126.13</v>
      </c>
    </row>
    <row r="711" spans="1:13" ht="15.75" customHeight="1" x14ac:dyDescent="0.3">
      <c r="A711" s="4" t="s">
        <v>638</v>
      </c>
      <c r="B711">
        <f t="shared" si="11"/>
        <v>1</v>
      </c>
      <c r="C711" s="2" t="s">
        <v>19</v>
      </c>
      <c r="D711" s="2" t="s">
        <v>1010</v>
      </c>
      <c r="E711" s="7">
        <v>148.19999999999999</v>
      </c>
      <c r="F711" s="2">
        <v>0</v>
      </c>
      <c r="G711" s="7">
        <v>322.29000000000002</v>
      </c>
      <c r="H711" s="2" t="s">
        <v>308</v>
      </c>
      <c r="I711" s="2" t="s">
        <v>29</v>
      </c>
      <c r="J711" s="2" t="s">
        <v>53</v>
      </c>
      <c r="K711" s="2" t="s">
        <v>46</v>
      </c>
      <c r="L711" s="7">
        <f>Table3[[#This Row],[Revenue]]-Table3[[#This Row],[Ad Spend]]</f>
        <v>174.09000000000003</v>
      </c>
      <c r="M711" s="11">
        <v>179.47</v>
      </c>
    </row>
    <row r="712" spans="1:13" ht="15.75" customHeight="1" x14ac:dyDescent="0.3">
      <c r="A712" s="4" t="s">
        <v>951</v>
      </c>
      <c r="B712">
        <f t="shared" si="11"/>
        <v>12</v>
      </c>
      <c r="C712" s="2" t="s">
        <v>32</v>
      </c>
      <c r="D712" s="2" t="s">
        <v>1011</v>
      </c>
      <c r="E712" s="7">
        <v>43.68</v>
      </c>
      <c r="F712" s="2">
        <v>0</v>
      </c>
      <c r="G712" s="7">
        <v>132.32</v>
      </c>
      <c r="H712" s="2" t="s">
        <v>374</v>
      </c>
      <c r="I712" s="2" t="s">
        <v>29</v>
      </c>
      <c r="J712" s="2" t="s">
        <v>30</v>
      </c>
      <c r="K712" s="2" t="s">
        <v>46</v>
      </c>
      <c r="L712" s="7">
        <f>Table3[[#This Row],[Revenue]]-Table3[[#This Row],[Ad Spend]]</f>
        <v>88.639999999999986</v>
      </c>
      <c r="M712" s="11">
        <v>120.66</v>
      </c>
    </row>
    <row r="713" spans="1:13" ht="15.75" customHeight="1" x14ac:dyDescent="0.3">
      <c r="A713" s="4" t="s">
        <v>110</v>
      </c>
      <c r="B713">
        <f t="shared" si="11"/>
        <v>4</v>
      </c>
      <c r="C713" s="2" t="s">
        <v>19</v>
      </c>
      <c r="D713" s="2" t="s">
        <v>830</v>
      </c>
      <c r="E713" s="7">
        <v>79.3</v>
      </c>
      <c r="F713" s="2">
        <v>9</v>
      </c>
      <c r="G713" s="7">
        <v>257.08999999999997</v>
      </c>
      <c r="H713" s="2" t="s">
        <v>907</v>
      </c>
      <c r="I713" s="2" t="s">
        <v>15</v>
      </c>
      <c r="J713" s="2" t="s">
        <v>16</v>
      </c>
      <c r="K713" s="2" t="s">
        <v>17</v>
      </c>
      <c r="L713" s="7">
        <f>Table3[[#This Row],[Revenue]]-Table3[[#This Row],[Ad Spend]]</f>
        <v>177.78999999999996</v>
      </c>
      <c r="M713" s="11">
        <v>132.76</v>
      </c>
    </row>
    <row r="714" spans="1:13" ht="15.75" customHeight="1" x14ac:dyDescent="0.3">
      <c r="A714" s="4" t="s">
        <v>148</v>
      </c>
      <c r="B714">
        <f t="shared" si="11"/>
        <v>4</v>
      </c>
      <c r="C714" s="2" t="s">
        <v>19</v>
      </c>
      <c r="D714" s="2" t="s">
        <v>464</v>
      </c>
      <c r="E714" s="7">
        <v>106.23</v>
      </c>
      <c r="F714" s="2">
        <v>7</v>
      </c>
      <c r="G714" s="7">
        <v>476.91</v>
      </c>
      <c r="H714" s="2" t="s">
        <v>711</v>
      </c>
      <c r="I714" s="2" t="s">
        <v>29</v>
      </c>
      <c r="J714" s="2" t="s">
        <v>36</v>
      </c>
      <c r="K714" s="2" t="s">
        <v>17</v>
      </c>
      <c r="L714" s="7">
        <f>Table3[[#This Row],[Revenue]]-Table3[[#This Row],[Ad Spend]]</f>
        <v>370.68</v>
      </c>
      <c r="M714" s="11">
        <v>176.51</v>
      </c>
    </row>
    <row r="715" spans="1:13" ht="15.75" customHeight="1" x14ac:dyDescent="0.3">
      <c r="A715" s="4" t="s">
        <v>56</v>
      </c>
      <c r="B715">
        <f t="shared" si="11"/>
        <v>12</v>
      </c>
      <c r="C715" s="2" t="s">
        <v>32</v>
      </c>
      <c r="D715" s="2" t="s">
        <v>1012</v>
      </c>
      <c r="E715" s="7">
        <v>49.56</v>
      </c>
      <c r="F715" s="2">
        <v>4</v>
      </c>
      <c r="G715" s="7">
        <v>471.21</v>
      </c>
      <c r="H715" s="2" t="s">
        <v>1013</v>
      </c>
      <c r="I715" s="2" t="s">
        <v>29</v>
      </c>
      <c r="J715" s="2" t="s">
        <v>87</v>
      </c>
      <c r="K715" s="2" t="s">
        <v>17</v>
      </c>
      <c r="L715" s="7">
        <f>Table3[[#This Row],[Revenue]]-Table3[[#This Row],[Ad Spend]]</f>
        <v>421.65</v>
      </c>
      <c r="M715" s="11">
        <v>216.69</v>
      </c>
    </row>
    <row r="716" spans="1:13" ht="15.75" customHeight="1" x14ac:dyDescent="0.3">
      <c r="A716" s="4" t="s">
        <v>463</v>
      </c>
      <c r="B716">
        <f t="shared" si="11"/>
        <v>3</v>
      </c>
      <c r="C716" s="2" t="s">
        <v>32</v>
      </c>
      <c r="D716" s="2" t="s">
        <v>947</v>
      </c>
      <c r="E716" s="7">
        <v>32.42</v>
      </c>
      <c r="F716" s="2">
        <v>6</v>
      </c>
      <c r="G716" s="7">
        <v>426.04</v>
      </c>
      <c r="H716" s="2" t="s">
        <v>1014</v>
      </c>
      <c r="I716" s="2" t="s">
        <v>15</v>
      </c>
      <c r="J716" s="2" t="s">
        <v>36</v>
      </c>
      <c r="K716" s="2" t="s">
        <v>17</v>
      </c>
      <c r="L716" s="7">
        <f>Table3[[#This Row],[Revenue]]-Table3[[#This Row],[Ad Spend]]</f>
        <v>393.62</v>
      </c>
      <c r="M716" s="11">
        <v>149.18</v>
      </c>
    </row>
    <row r="717" spans="1:13" ht="15.75" customHeight="1" x14ac:dyDescent="0.3">
      <c r="A717" s="4" t="s">
        <v>79</v>
      </c>
      <c r="B717">
        <f t="shared" si="11"/>
        <v>11</v>
      </c>
      <c r="C717" s="2" t="s">
        <v>12</v>
      </c>
      <c r="D717" s="2" t="s">
        <v>1015</v>
      </c>
      <c r="E717" s="7">
        <v>50.4</v>
      </c>
      <c r="F717" s="2">
        <v>3</v>
      </c>
      <c r="G717" s="7">
        <v>20.350000000000001</v>
      </c>
      <c r="H717" s="2" t="s">
        <v>1016</v>
      </c>
      <c r="I717" s="2" t="s">
        <v>29</v>
      </c>
      <c r="J717" s="2" t="s">
        <v>30</v>
      </c>
      <c r="K717" s="2" t="s">
        <v>17</v>
      </c>
      <c r="L717" s="7">
        <f>Table3[[#This Row],[Revenue]]-Table3[[#This Row],[Ad Spend]]</f>
        <v>-30.049999999999997</v>
      </c>
      <c r="M717" s="11">
        <v>37.35</v>
      </c>
    </row>
    <row r="718" spans="1:13" ht="15.75" customHeight="1" x14ac:dyDescent="0.3">
      <c r="A718" s="4" t="s">
        <v>515</v>
      </c>
      <c r="B718">
        <f t="shared" si="11"/>
        <v>3</v>
      </c>
      <c r="C718" s="2" t="s">
        <v>19</v>
      </c>
      <c r="D718" s="2" t="s">
        <v>1017</v>
      </c>
      <c r="E718" s="7">
        <v>8.89</v>
      </c>
      <c r="F718" s="2">
        <v>6</v>
      </c>
      <c r="G718" s="7">
        <v>316.16000000000003</v>
      </c>
      <c r="H718" s="2" t="s">
        <v>90</v>
      </c>
      <c r="I718" s="2" t="s">
        <v>29</v>
      </c>
      <c r="J718" s="2" t="s">
        <v>30</v>
      </c>
      <c r="K718" s="2" t="s">
        <v>17</v>
      </c>
      <c r="L718" s="7">
        <f>Table3[[#This Row],[Revenue]]-Table3[[#This Row],[Ad Spend]]</f>
        <v>307.27000000000004</v>
      </c>
      <c r="M718" s="11">
        <v>153.04</v>
      </c>
    </row>
    <row r="719" spans="1:13" ht="15.75" customHeight="1" x14ac:dyDescent="0.3">
      <c r="A719" s="4" t="s">
        <v>448</v>
      </c>
      <c r="B719">
        <f t="shared" si="11"/>
        <v>12</v>
      </c>
      <c r="C719" s="2" t="s">
        <v>63</v>
      </c>
      <c r="D719" s="2" t="s">
        <v>1018</v>
      </c>
      <c r="E719" s="7">
        <v>126.6</v>
      </c>
      <c r="F719" s="2">
        <v>5</v>
      </c>
      <c r="G719" s="7">
        <v>191.72</v>
      </c>
      <c r="H719" s="2" t="s">
        <v>28</v>
      </c>
      <c r="I719" s="2" t="s">
        <v>15</v>
      </c>
      <c r="J719" s="2" t="s">
        <v>30</v>
      </c>
      <c r="K719" s="2" t="s">
        <v>17</v>
      </c>
      <c r="L719" s="7">
        <f>Table3[[#This Row],[Revenue]]-Table3[[#This Row],[Ad Spend]]</f>
        <v>65.12</v>
      </c>
      <c r="M719" s="11">
        <v>137.77000000000001</v>
      </c>
    </row>
    <row r="720" spans="1:13" ht="15.75" customHeight="1" x14ac:dyDescent="0.3">
      <c r="A720" s="4" t="s">
        <v>574</v>
      </c>
      <c r="B720">
        <f t="shared" si="11"/>
        <v>1</v>
      </c>
      <c r="C720" s="2" t="s">
        <v>19</v>
      </c>
      <c r="D720" s="2" t="s">
        <v>1019</v>
      </c>
      <c r="E720" s="7">
        <v>141.49</v>
      </c>
      <c r="F720" s="2">
        <v>8</v>
      </c>
      <c r="G720" s="7">
        <v>137.79</v>
      </c>
      <c r="H720" s="2" t="s">
        <v>1020</v>
      </c>
      <c r="I720" s="2" t="s">
        <v>15</v>
      </c>
      <c r="J720" s="2" t="s">
        <v>30</v>
      </c>
      <c r="K720" s="2" t="s">
        <v>17</v>
      </c>
      <c r="L720" s="7">
        <f>Table3[[#This Row],[Revenue]]-Table3[[#This Row],[Ad Spend]]</f>
        <v>-3.7000000000000171</v>
      </c>
      <c r="M720" s="11">
        <v>77.64</v>
      </c>
    </row>
    <row r="721" spans="1:13" ht="15.75" customHeight="1" x14ac:dyDescent="0.3">
      <c r="A721" s="4" t="s">
        <v>552</v>
      </c>
      <c r="B721">
        <f t="shared" si="11"/>
        <v>11</v>
      </c>
      <c r="C721" s="2" t="s">
        <v>12</v>
      </c>
      <c r="D721" s="2" t="s">
        <v>1021</v>
      </c>
      <c r="E721" s="7">
        <v>57.57</v>
      </c>
      <c r="F721" s="2">
        <v>8</v>
      </c>
      <c r="G721" s="7">
        <v>422.6</v>
      </c>
      <c r="H721" s="2" t="s">
        <v>1022</v>
      </c>
      <c r="I721" s="2" t="s">
        <v>35</v>
      </c>
      <c r="J721" s="2" t="s">
        <v>16</v>
      </c>
      <c r="K721" s="2" t="s">
        <v>17</v>
      </c>
      <c r="L721" s="7">
        <f>Table3[[#This Row],[Revenue]]-Table3[[#This Row],[Ad Spend]]</f>
        <v>365.03000000000003</v>
      </c>
      <c r="M721" s="11">
        <v>190.63</v>
      </c>
    </row>
    <row r="722" spans="1:13" ht="15.75" customHeight="1" x14ac:dyDescent="0.3">
      <c r="A722" s="4" t="s">
        <v>335</v>
      </c>
      <c r="B722">
        <f t="shared" si="11"/>
        <v>11</v>
      </c>
      <c r="C722" s="2" t="s">
        <v>19</v>
      </c>
      <c r="D722" s="2" t="s">
        <v>296</v>
      </c>
      <c r="E722" s="7">
        <v>61.93</v>
      </c>
      <c r="F722" s="2">
        <v>8</v>
      </c>
      <c r="G722" s="7">
        <v>462.05</v>
      </c>
      <c r="H722" s="2" t="s">
        <v>147</v>
      </c>
      <c r="I722" s="2" t="s">
        <v>29</v>
      </c>
      <c r="J722" s="2" t="s">
        <v>30</v>
      </c>
      <c r="K722" s="2" t="s">
        <v>17</v>
      </c>
      <c r="L722" s="7">
        <f>Table3[[#This Row],[Revenue]]-Table3[[#This Row],[Ad Spend]]</f>
        <v>400.12</v>
      </c>
      <c r="M722" s="11">
        <v>140.24</v>
      </c>
    </row>
    <row r="723" spans="1:13" ht="15.75" customHeight="1" x14ac:dyDescent="0.3">
      <c r="A723" s="4" t="s">
        <v>368</v>
      </c>
      <c r="B723">
        <f t="shared" si="11"/>
        <v>3</v>
      </c>
      <c r="C723" s="2" t="s">
        <v>63</v>
      </c>
      <c r="D723" s="2" t="s">
        <v>1023</v>
      </c>
      <c r="E723" s="7">
        <v>147.51</v>
      </c>
      <c r="F723" s="2">
        <v>0</v>
      </c>
      <c r="G723" s="7">
        <v>43.09</v>
      </c>
      <c r="H723" s="2" t="s">
        <v>441</v>
      </c>
      <c r="I723" s="2" t="s">
        <v>15</v>
      </c>
      <c r="J723" s="2" t="s">
        <v>25</v>
      </c>
      <c r="K723" s="2" t="s">
        <v>46</v>
      </c>
      <c r="L723" s="7">
        <f>Table3[[#This Row],[Revenue]]-Table3[[#This Row],[Ad Spend]]</f>
        <v>-104.41999999999999</v>
      </c>
      <c r="M723" s="11">
        <v>111.42</v>
      </c>
    </row>
    <row r="724" spans="1:13" ht="15.75" customHeight="1" x14ac:dyDescent="0.3">
      <c r="A724" s="4" t="s">
        <v>108</v>
      </c>
      <c r="B724">
        <f t="shared" si="11"/>
        <v>3</v>
      </c>
      <c r="C724" s="2" t="s">
        <v>63</v>
      </c>
      <c r="D724" s="2" t="s">
        <v>436</v>
      </c>
      <c r="E724" s="7">
        <v>8.5399999999999991</v>
      </c>
      <c r="F724" s="2">
        <v>9</v>
      </c>
      <c r="G724" s="7">
        <v>477.93</v>
      </c>
      <c r="H724" s="2" t="s">
        <v>695</v>
      </c>
      <c r="I724" s="2" t="s">
        <v>15</v>
      </c>
      <c r="J724" s="2" t="s">
        <v>16</v>
      </c>
      <c r="K724" s="2" t="s">
        <v>17</v>
      </c>
      <c r="L724" s="7">
        <f>Table3[[#This Row],[Revenue]]-Table3[[#This Row],[Ad Spend]]</f>
        <v>469.39</v>
      </c>
      <c r="M724" s="11">
        <v>131.09</v>
      </c>
    </row>
    <row r="725" spans="1:13" ht="15.75" customHeight="1" x14ac:dyDescent="0.3">
      <c r="A725" s="4" t="s">
        <v>117</v>
      </c>
      <c r="B725">
        <f t="shared" si="11"/>
        <v>3</v>
      </c>
      <c r="C725" s="2" t="s">
        <v>19</v>
      </c>
      <c r="D725" s="2" t="s">
        <v>1024</v>
      </c>
      <c r="E725" s="7">
        <v>117.58</v>
      </c>
      <c r="F725" s="2">
        <v>1</v>
      </c>
      <c r="G725" s="7">
        <v>373.52</v>
      </c>
      <c r="H725" s="2" t="s">
        <v>987</v>
      </c>
      <c r="I725" s="2" t="s">
        <v>29</v>
      </c>
      <c r="J725" s="2" t="s">
        <v>30</v>
      </c>
      <c r="K725" s="2" t="s">
        <v>17</v>
      </c>
      <c r="L725" s="7">
        <f>Table3[[#This Row],[Revenue]]-Table3[[#This Row],[Ad Spend]]</f>
        <v>255.94</v>
      </c>
      <c r="M725" s="11">
        <v>162.97999999999999</v>
      </c>
    </row>
    <row r="726" spans="1:13" ht="15.75" customHeight="1" x14ac:dyDescent="0.3">
      <c r="A726" s="4" t="s">
        <v>475</v>
      </c>
      <c r="B726">
        <f t="shared" si="11"/>
        <v>3</v>
      </c>
      <c r="C726" s="2" t="s">
        <v>32</v>
      </c>
      <c r="D726" s="2" t="s">
        <v>1023</v>
      </c>
      <c r="E726" s="7">
        <v>60.3</v>
      </c>
      <c r="F726" s="2">
        <v>10</v>
      </c>
      <c r="G726" s="7">
        <v>175.9</v>
      </c>
      <c r="H726" s="2" t="s">
        <v>147</v>
      </c>
      <c r="I726" s="2" t="s">
        <v>15</v>
      </c>
      <c r="J726" s="2" t="s">
        <v>25</v>
      </c>
      <c r="K726" s="2" t="s">
        <v>17</v>
      </c>
      <c r="L726" s="7">
        <f>Table3[[#This Row],[Revenue]]-Table3[[#This Row],[Ad Spend]]</f>
        <v>115.60000000000001</v>
      </c>
      <c r="M726" s="11">
        <v>139.44999999999999</v>
      </c>
    </row>
    <row r="727" spans="1:13" ht="15.75" customHeight="1" x14ac:dyDescent="0.3">
      <c r="A727" s="4" t="s">
        <v>511</v>
      </c>
      <c r="B727">
        <f t="shared" si="11"/>
        <v>12</v>
      </c>
      <c r="C727" s="2" t="s">
        <v>12</v>
      </c>
      <c r="D727" s="2" t="s">
        <v>1025</v>
      </c>
      <c r="E727" s="7">
        <v>102.01</v>
      </c>
      <c r="F727" s="2">
        <v>4</v>
      </c>
      <c r="G727" s="7">
        <v>484.3</v>
      </c>
      <c r="H727" s="2" t="s">
        <v>313</v>
      </c>
      <c r="I727" s="2" t="s">
        <v>29</v>
      </c>
      <c r="J727" s="2" t="s">
        <v>25</v>
      </c>
      <c r="K727" s="2" t="s">
        <v>17</v>
      </c>
      <c r="L727" s="7">
        <f>Table3[[#This Row],[Revenue]]-Table3[[#This Row],[Ad Spend]]</f>
        <v>382.29</v>
      </c>
      <c r="M727" s="11">
        <v>114.27</v>
      </c>
    </row>
    <row r="728" spans="1:13" ht="15.75" customHeight="1" x14ac:dyDescent="0.3">
      <c r="A728" s="4" t="s">
        <v>402</v>
      </c>
      <c r="B728">
        <f t="shared" si="11"/>
        <v>3</v>
      </c>
      <c r="C728" s="2" t="s">
        <v>12</v>
      </c>
      <c r="D728" s="2" t="s">
        <v>964</v>
      </c>
      <c r="E728" s="7">
        <v>123.27</v>
      </c>
      <c r="F728" s="2">
        <v>6</v>
      </c>
      <c r="G728" s="7">
        <v>237.14</v>
      </c>
      <c r="H728" s="2" t="s">
        <v>128</v>
      </c>
      <c r="I728" s="2" t="s">
        <v>35</v>
      </c>
      <c r="J728" s="2" t="s">
        <v>36</v>
      </c>
      <c r="K728" s="2" t="s">
        <v>17</v>
      </c>
      <c r="L728" s="7">
        <f>Table3[[#This Row],[Revenue]]-Table3[[#This Row],[Ad Spend]]</f>
        <v>113.86999999999999</v>
      </c>
      <c r="M728" s="11">
        <v>117.7</v>
      </c>
    </row>
    <row r="729" spans="1:13" ht="15.75" customHeight="1" x14ac:dyDescent="0.3">
      <c r="A729" s="4" t="s">
        <v>136</v>
      </c>
      <c r="B729">
        <f t="shared" si="11"/>
        <v>2</v>
      </c>
      <c r="C729" s="2" t="s">
        <v>63</v>
      </c>
      <c r="D729" s="2" t="s">
        <v>1026</v>
      </c>
      <c r="E729" s="7">
        <v>68.58</v>
      </c>
      <c r="F729" s="2">
        <v>0</v>
      </c>
      <c r="G729" s="7">
        <v>312.43</v>
      </c>
      <c r="H729" s="2" t="s">
        <v>1027</v>
      </c>
      <c r="I729" s="2" t="s">
        <v>35</v>
      </c>
      <c r="J729" s="2" t="s">
        <v>25</v>
      </c>
      <c r="K729" s="2" t="s">
        <v>46</v>
      </c>
      <c r="L729" s="7">
        <f>Table3[[#This Row],[Revenue]]-Table3[[#This Row],[Ad Spend]]</f>
        <v>243.85000000000002</v>
      </c>
      <c r="M729" s="11">
        <v>143.76</v>
      </c>
    </row>
    <row r="730" spans="1:13" ht="15.75" customHeight="1" x14ac:dyDescent="0.3">
      <c r="A730" s="4" t="s">
        <v>483</v>
      </c>
      <c r="B730">
        <f t="shared" si="11"/>
        <v>4</v>
      </c>
      <c r="C730" s="2" t="s">
        <v>19</v>
      </c>
      <c r="D730" s="2" t="s">
        <v>823</v>
      </c>
      <c r="E730" s="7">
        <v>55.36</v>
      </c>
      <c r="F730" s="2">
        <v>10</v>
      </c>
      <c r="G730" s="7">
        <v>465.32</v>
      </c>
      <c r="H730" s="2" t="s">
        <v>1028</v>
      </c>
      <c r="I730" s="2" t="s">
        <v>35</v>
      </c>
      <c r="J730" s="2" t="s">
        <v>36</v>
      </c>
      <c r="K730" s="2" t="s">
        <v>17</v>
      </c>
      <c r="L730" s="7">
        <f>Table3[[#This Row],[Revenue]]-Table3[[#This Row],[Ad Spend]]</f>
        <v>409.96</v>
      </c>
      <c r="M730" s="11">
        <v>159.46</v>
      </c>
    </row>
    <row r="731" spans="1:13" ht="15.75" customHeight="1" x14ac:dyDescent="0.3">
      <c r="A731" s="4" t="s">
        <v>415</v>
      </c>
      <c r="B731">
        <f t="shared" si="11"/>
        <v>4</v>
      </c>
      <c r="C731" s="2" t="s">
        <v>32</v>
      </c>
      <c r="D731" s="2" t="s">
        <v>977</v>
      </c>
      <c r="E731" s="7">
        <v>136.54</v>
      </c>
      <c r="F731" s="2">
        <v>6</v>
      </c>
      <c r="G731" s="7">
        <v>257.41000000000003</v>
      </c>
      <c r="H731" s="2" t="s">
        <v>28</v>
      </c>
      <c r="I731" s="2" t="s">
        <v>15</v>
      </c>
      <c r="J731" s="2" t="s">
        <v>87</v>
      </c>
      <c r="K731" s="2" t="s">
        <v>17</v>
      </c>
      <c r="L731" s="7">
        <f>Table3[[#This Row],[Revenue]]-Table3[[#This Row],[Ad Spend]]</f>
        <v>120.87000000000003</v>
      </c>
      <c r="M731" s="11">
        <v>137.44999999999999</v>
      </c>
    </row>
    <row r="732" spans="1:13" ht="15.75" customHeight="1" x14ac:dyDescent="0.3">
      <c r="A732" s="4" t="s">
        <v>123</v>
      </c>
      <c r="B732">
        <f t="shared" si="11"/>
        <v>4</v>
      </c>
      <c r="C732" s="2" t="s">
        <v>63</v>
      </c>
      <c r="D732" s="2" t="s">
        <v>925</v>
      </c>
      <c r="E732" s="7">
        <v>120.93</v>
      </c>
      <c r="F732" s="2">
        <v>0</v>
      </c>
      <c r="G732" s="7">
        <v>345.87</v>
      </c>
      <c r="H732" s="2" t="s">
        <v>52</v>
      </c>
      <c r="I732" s="2" t="s">
        <v>15</v>
      </c>
      <c r="J732" s="2" t="s">
        <v>53</v>
      </c>
      <c r="K732" s="2" t="s">
        <v>46</v>
      </c>
      <c r="L732" s="7">
        <f>Table3[[#This Row],[Revenue]]-Table3[[#This Row],[Ad Spend]]</f>
        <v>224.94</v>
      </c>
      <c r="M732" s="11">
        <v>118.25</v>
      </c>
    </row>
    <row r="733" spans="1:13" ht="15.75" customHeight="1" x14ac:dyDescent="0.3">
      <c r="A733" s="4" t="s">
        <v>647</v>
      </c>
      <c r="B733">
        <f t="shared" si="11"/>
        <v>11</v>
      </c>
      <c r="C733" s="2" t="s">
        <v>19</v>
      </c>
      <c r="D733" s="2" t="s">
        <v>805</v>
      </c>
      <c r="E733" s="7">
        <v>104.39</v>
      </c>
      <c r="F733" s="2">
        <v>8</v>
      </c>
      <c r="G733" s="7">
        <v>455.18</v>
      </c>
      <c r="H733" s="2" t="s">
        <v>695</v>
      </c>
      <c r="I733" s="2" t="s">
        <v>35</v>
      </c>
      <c r="J733" s="2" t="s">
        <v>16</v>
      </c>
      <c r="K733" s="2" t="s">
        <v>17</v>
      </c>
      <c r="L733" s="7">
        <f>Table3[[#This Row],[Revenue]]-Table3[[#This Row],[Ad Spend]]</f>
        <v>350.79</v>
      </c>
      <c r="M733" s="11">
        <v>127.51</v>
      </c>
    </row>
    <row r="734" spans="1:13" ht="15.75" customHeight="1" x14ac:dyDescent="0.3">
      <c r="A734" s="4" t="s">
        <v>799</v>
      </c>
      <c r="B734">
        <f t="shared" si="11"/>
        <v>1</v>
      </c>
      <c r="C734" s="2" t="s">
        <v>19</v>
      </c>
      <c r="D734" s="2" t="s">
        <v>872</v>
      </c>
      <c r="E734" s="7">
        <v>96.78</v>
      </c>
      <c r="F734" s="2">
        <v>5</v>
      </c>
      <c r="G734" s="7">
        <v>497.09</v>
      </c>
      <c r="H734" s="2" t="s">
        <v>49</v>
      </c>
      <c r="I734" s="2" t="s">
        <v>15</v>
      </c>
      <c r="J734" s="2" t="s">
        <v>25</v>
      </c>
      <c r="K734" s="2" t="s">
        <v>17</v>
      </c>
      <c r="L734" s="7">
        <f>Table3[[#This Row],[Revenue]]-Table3[[#This Row],[Ad Spend]]</f>
        <v>400.30999999999995</v>
      </c>
      <c r="M734" s="11">
        <v>127.26</v>
      </c>
    </row>
    <row r="735" spans="1:13" ht="15.75" customHeight="1" x14ac:dyDescent="0.3">
      <c r="A735" s="4" t="s">
        <v>216</v>
      </c>
      <c r="B735">
        <f t="shared" si="11"/>
        <v>2</v>
      </c>
      <c r="C735" s="2" t="s">
        <v>19</v>
      </c>
      <c r="D735" s="2" t="s">
        <v>633</v>
      </c>
      <c r="E735" s="7">
        <v>6.04</v>
      </c>
      <c r="F735" s="2">
        <v>6</v>
      </c>
      <c r="G735" s="7">
        <v>182.46</v>
      </c>
      <c r="H735" s="2" t="s">
        <v>1029</v>
      </c>
      <c r="I735" s="2" t="s">
        <v>15</v>
      </c>
      <c r="J735" s="2" t="s">
        <v>30</v>
      </c>
      <c r="K735" s="2" t="s">
        <v>17</v>
      </c>
      <c r="L735" s="7">
        <f>Table3[[#This Row],[Revenue]]-Table3[[#This Row],[Ad Spend]]</f>
        <v>176.42000000000002</v>
      </c>
      <c r="M735" s="11">
        <v>98.07</v>
      </c>
    </row>
    <row r="736" spans="1:13" ht="15.75" customHeight="1" x14ac:dyDescent="0.3">
      <c r="A736" s="4" t="s">
        <v>290</v>
      </c>
      <c r="B736">
        <f t="shared" si="11"/>
        <v>1</v>
      </c>
      <c r="C736" s="2" t="s">
        <v>63</v>
      </c>
      <c r="D736" s="2" t="s">
        <v>1030</v>
      </c>
      <c r="E736" s="7">
        <v>132.51</v>
      </c>
      <c r="F736" s="2">
        <v>3</v>
      </c>
      <c r="G736" s="7">
        <v>27.9</v>
      </c>
      <c r="H736" s="2" t="s">
        <v>1031</v>
      </c>
      <c r="I736" s="2" t="s">
        <v>15</v>
      </c>
      <c r="J736" s="2" t="s">
        <v>30</v>
      </c>
      <c r="K736" s="2" t="s">
        <v>17</v>
      </c>
      <c r="L736" s="7">
        <f>Table3[[#This Row],[Revenue]]-Table3[[#This Row],[Ad Spend]]</f>
        <v>-104.60999999999999</v>
      </c>
      <c r="M736" s="11">
        <v>78.290000000000006</v>
      </c>
    </row>
    <row r="737" spans="1:13" ht="15.75" customHeight="1" x14ac:dyDescent="0.3">
      <c r="A737" s="4" t="s">
        <v>233</v>
      </c>
      <c r="B737">
        <f t="shared" si="11"/>
        <v>3</v>
      </c>
      <c r="C737" s="2" t="s">
        <v>12</v>
      </c>
      <c r="D737" s="2" t="s">
        <v>1032</v>
      </c>
      <c r="E737" s="7">
        <v>35.659999999999997</v>
      </c>
      <c r="F737" s="2">
        <v>7</v>
      </c>
      <c r="G737" s="7">
        <v>434.78</v>
      </c>
      <c r="H737" s="2" t="s">
        <v>372</v>
      </c>
      <c r="I737" s="2" t="s">
        <v>29</v>
      </c>
      <c r="J737" s="2" t="s">
        <v>53</v>
      </c>
      <c r="K737" s="2" t="s">
        <v>17</v>
      </c>
      <c r="L737" s="7">
        <f>Table3[[#This Row],[Revenue]]-Table3[[#This Row],[Ad Spend]]</f>
        <v>399.12</v>
      </c>
      <c r="M737" s="11">
        <v>119.36</v>
      </c>
    </row>
    <row r="738" spans="1:13" ht="15.75" customHeight="1" x14ac:dyDescent="0.3">
      <c r="A738" s="4" t="s">
        <v>433</v>
      </c>
      <c r="B738">
        <f t="shared" si="11"/>
        <v>1</v>
      </c>
      <c r="C738" s="2" t="s">
        <v>19</v>
      </c>
      <c r="D738" s="2" t="s">
        <v>525</v>
      </c>
      <c r="E738" s="7">
        <v>86.62</v>
      </c>
      <c r="F738" s="2">
        <v>3</v>
      </c>
      <c r="G738" s="7">
        <v>365.96</v>
      </c>
      <c r="H738" s="2" t="s">
        <v>73</v>
      </c>
      <c r="I738" s="2" t="s">
        <v>35</v>
      </c>
      <c r="J738" s="2" t="s">
        <v>16</v>
      </c>
      <c r="K738" s="2" t="s">
        <v>17</v>
      </c>
      <c r="L738" s="7">
        <f>Table3[[#This Row],[Revenue]]-Table3[[#This Row],[Ad Spend]]</f>
        <v>279.33999999999997</v>
      </c>
      <c r="M738" s="11">
        <v>142.57</v>
      </c>
    </row>
    <row r="739" spans="1:13" ht="15.75" customHeight="1" x14ac:dyDescent="0.3">
      <c r="A739" s="4" t="s">
        <v>320</v>
      </c>
      <c r="B739">
        <f t="shared" si="11"/>
        <v>4</v>
      </c>
      <c r="C739" s="2" t="s">
        <v>63</v>
      </c>
      <c r="D739" s="2" t="s">
        <v>1033</v>
      </c>
      <c r="E739" s="7">
        <v>139.83000000000001</v>
      </c>
      <c r="F739" s="2">
        <v>5</v>
      </c>
      <c r="G739" s="7">
        <v>57.97</v>
      </c>
      <c r="H739" s="2" t="s">
        <v>52</v>
      </c>
      <c r="I739" s="2" t="s">
        <v>15</v>
      </c>
      <c r="J739" s="2" t="s">
        <v>25</v>
      </c>
      <c r="K739" s="2" t="s">
        <v>17</v>
      </c>
      <c r="L739" s="7">
        <f>Table3[[#This Row],[Revenue]]-Table3[[#This Row],[Ad Spend]]</f>
        <v>-81.860000000000014</v>
      </c>
      <c r="M739" s="11">
        <v>118.11</v>
      </c>
    </row>
    <row r="740" spans="1:13" ht="15.75" customHeight="1" x14ac:dyDescent="0.3">
      <c r="A740" s="4" t="s">
        <v>579</v>
      </c>
      <c r="B740">
        <f t="shared" si="11"/>
        <v>1</v>
      </c>
      <c r="C740" s="2" t="s">
        <v>32</v>
      </c>
      <c r="D740" s="2" t="s">
        <v>991</v>
      </c>
      <c r="E740" s="7">
        <v>103.18</v>
      </c>
      <c r="F740" s="2">
        <v>9</v>
      </c>
      <c r="G740" s="7">
        <v>223.5</v>
      </c>
      <c r="H740" s="2" t="s">
        <v>61</v>
      </c>
      <c r="I740" s="2" t="s">
        <v>29</v>
      </c>
      <c r="J740" s="2" t="s">
        <v>30</v>
      </c>
      <c r="K740" s="2" t="s">
        <v>17</v>
      </c>
      <c r="L740" s="7">
        <f>Table3[[#This Row],[Revenue]]-Table3[[#This Row],[Ad Spend]]</f>
        <v>120.32</v>
      </c>
      <c r="M740" s="11">
        <v>142.59</v>
      </c>
    </row>
    <row r="741" spans="1:13" ht="15.75" customHeight="1" x14ac:dyDescent="0.3">
      <c r="A741" s="4" t="s">
        <v>415</v>
      </c>
      <c r="B741">
        <f t="shared" si="11"/>
        <v>4</v>
      </c>
      <c r="C741" s="2" t="s">
        <v>32</v>
      </c>
      <c r="D741" s="2" t="s">
        <v>89</v>
      </c>
      <c r="E741" s="7">
        <v>113.28</v>
      </c>
      <c r="F741" s="2">
        <v>6</v>
      </c>
      <c r="G741" s="7">
        <v>283.75</v>
      </c>
      <c r="H741" s="2" t="s">
        <v>1034</v>
      </c>
      <c r="I741" s="2" t="s">
        <v>35</v>
      </c>
      <c r="J741" s="2" t="s">
        <v>87</v>
      </c>
      <c r="K741" s="2" t="s">
        <v>17</v>
      </c>
      <c r="L741" s="7">
        <f>Table3[[#This Row],[Revenue]]-Table3[[#This Row],[Ad Spend]]</f>
        <v>170.47</v>
      </c>
      <c r="M741" s="11">
        <v>157.44</v>
      </c>
    </row>
    <row r="742" spans="1:13" ht="15.75" customHeight="1" x14ac:dyDescent="0.3">
      <c r="A742" s="4" t="s">
        <v>159</v>
      </c>
      <c r="B742">
        <f t="shared" si="11"/>
        <v>2</v>
      </c>
      <c r="C742" s="2" t="s">
        <v>32</v>
      </c>
      <c r="D742" s="2" t="s">
        <v>748</v>
      </c>
      <c r="E742" s="7">
        <v>66.260000000000005</v>
      </c>
      <c r="F742" s="2">
        <v>3</v>
      </c>
      <c r="G742" s="7">
        <v>71.16</v>
      </c>
      <c r="H742" s="2" t="s">
        <v>489</v>
      </c>
      <c r="I742" s="2" t="s">
        <v>35</v>
      </c>
      <c r="J742" s="2" t="s">
        <v>53</v>
      </c>
      <c r="K742" s="2" t="s">
        <v>17</v>
      </c>
      <c r="L742" s="7">
        <f>Table3[[#This Row],[Revenue]]-Table3[[#This Row],[Ad Spend]]</f>
        <v>4.8999999999999915</v>
      </c>
      <c r="M742" s="11">
        <v>149.1</v>
      </c>
    </row>
    <row r="743" spans="1:13" ht="15.75" customHeight="1" x14ac:dyDescent="0.3">
      <c r="A743" s="4" t="s">
        <v>676</v>
      </c>
      <c r="B743">
        <f t="shared" si="11"/>
        <v>4</v>
      </c>
      <c r="C743" s="2" t="s">
        <v>32</v>
      </c>
      <c r="D743" s="2" t="s">
        <v>439</v>
      </c>
      <c r="E743" s="7">
        <v>33.630000000000003</v>
      </c>
      <c r="F743" s="2">
        <v>4</v>
      </c>
      <c r="G743" s="7">
        <v>311.73</v>
      </c>
      <c r="H743" s="2" t="s">
        <v>161</v>
      </c>
      <c r="I743" s="2" t="s">
        <v>15</v>
      </c>
      <c r="J743" s="2" t="s">
        <v>87</v>
      </c>
      <c r="K743" s="2" t="s">
        <v>17</v>
      </c>
      <c r="L743" s="7">
        <f>Table3[[#This Row],[Revenue]]-Table3[[#This Row],[Ad Spend]]</f>
        <v>278.10000000000002</v>
      </c>
      <c r="M743" s="11">
        <v>119.22</v>
      </c>
    </row>
    <row r="744" spans="1:13" ht="15.75" customHeight="1" x14ac:dyDescent="0.3">
      <c r="A744" s="4" t="s">
        <v>340</v>
      </c>
      <c r="B744">
        <f t="shared" si="11"/>
        <v>11</v>
      </c>
      <c r="C744" s="2" t="s">
        <v>32</v>
      </c>
      <c r="D744" s="2" t="s">
        <v>1035</v>
      </c>
      <c r="E744" s="7">
        <v>31.87</v>
      </c>
      <c r="F744" s="2">
        <v>5</v>
      </c>
      <c r="G744" s="7">
        <v>286.82</v>
      </c>
      <c r="H744" s="2" t="s">
        <v>1036</v>
      </c>
      <c r="I744" s="2" t="s">
        <v>35</v>
      </c>
      <c r="J744" s="2" t="s">
        <v>53</v>
      </c>
      <c r="K744" s="2" t="s">
        <v>17</v>
      </c>
      <c r="L744" s="7">
        <f>Table3[[#This Row],[Revenue]]-Table3[[#This Row],[Ad Spend]]</f>
        <v>254.95</v>
      </c>
      <c r="M744" s="11">
        <v>141.41999999999999</v>
      </c>
    </row>
    <row r="745" spans="1:13" ht="15.75" customHeight="1" x14ac:dyDescent="0.3">
      <c r="A745" s="4" t="s">
        <v>342</v>
      </c>
      <c r="B745">
        <f t="shared" si="11"/>
        <v>3</v>
      </c>
      <c r="C745" s="2" t="s">
        <v>32</v>
      </c>
      <c r="D745" s="2" t="s">
        <v>622</v>
      </c>
      <c r="E745" s="7">
        <v>120.38</v>
      </c>
      <c r="F745" s="2">
        <v>3</v>
      </c>
      <c r="G745" s="7">
        <v>76.81</v>
      </c>
      <c r="H745" s="2" t="s">
        <v>705</v>
      </c>
      <c r="I745" s="2" t="s">
        <v>35</v>
      </c>
      <c r="J745" s="2" t="s">
        <v>30</v>
      </c>
      <c r="K745" s="2" t="s">
        <v>17</v>
      </c>
      <c r="L745" s="7">
        <f>Table3[[#This Row],[Revenue]]-Table3[[#This Row],[Ad Spend]]</f>
        <v>-43.569999999999993</v>
      </c>
      <c r="M745" s="11">
        <v>134.47</v>
      </c>
    </row>
    <row r="746" spans="1:13" ht="15.75" customHeight="1" x14ac:dyDescent="0.3">
      <c r="A746" s="4" t="s">
        <v>312</v>
      </c>
      <c r="B746">
        <f t="shared" si="11"/>
        <v>3</v>
      </c>
      <c r="C746" s="2" t="s">
        <v>63</v>
      </c>
      <c r="D746" s="2" t="s">
        <v>1037</v>
      </c>
      <c r="E746" s="7">
        <v>140.75</v>
      </c>
      <c r="F746" s="2">
        <v>10</v>
      </c>
      <c r="G746" s="7">
        <v>326.3</v>
      </c>
      <c r="H746" s="2" t="s">
        <v>811</v>
      </c>
      <c r="I746" s="2" t="s">
        <v>35</v>
      </c>
      <c r="J746" s="2" t="s">
        <v>53</v>
      </c>
      <c r="K746" s="2" t="s">
        <v>17</v>
      </c>
      <c r="L746" s="7">
        <f>Table3[[#This Row],[Revenue]]-Table3[[#This Row],[Ad Spend]]</f>
        <v>185.55</v>
      </c>
      <c r="M746" s="11">
        <v>149.21</v>
      </c>
    </row>
    <row r="747" spans="1:13" ht="15.75" customHeight="1" x14ac:dyDescent="0.3">
      <c r="A747" s="4" t="s">
        <v>181</v>
      </c>
      <c r="B747">
        <f t="shared" si="11"/>
        <v>11</v>
      </c>
      <c r="C747" s="2" t="s">
        <v>12</v>
      </c>
      <c r="D747" s="2" t="s">
        <v>1038</v>
      </c>
      <c r="E747" s="7">
        <v>132.11000000000001</v>
      </c>
      <c r="F747" s="2">
        <v>1</v>
      </c>
      <c r="G747" s="7">
        <v>349.07</v>
      </c>
      <c r="H747" s="2" t="s">
        <v>289</v>
      </c>
      <c r="I747" s="2" t="s">
        <v>29</v>
      </c>
      <c r="J747" s="2" t="s">
        <v>25</v>
      </c>
      <c r="K747" s="2" t="s">
        <v>17</v>
      </c>
      <c r="L747" s="7">
        <f>Table3[[#This Row],[Revenue]]-Table3[[#This Row],[Ad Spend]]</f>
        <v>216.95999999999998</v>
      </c>
      <c r="M747" s="11">
        <v>167.65</v>
      </c>
    </row>
    <row r="748" spans="1:13" ht="15.75" customHeight="1" x14ac:dyDescent="0.3">
      <c r="A748" s="4" t="s">
        <v>254</v>
      </c>
      <c r="B748">
        <f t="shared" si="11"/>
        <v>11</v>
      </c>
      <c r="C748" s="2" t="s">
        <v>32</v>
      </c>
      <c r="D748" s="2" t="s">
        <v>182</v>
      </c>
      <c r="E748" s="7">
        <v>128.55000000000001</v>
      </c>
      <c r="F748" s="2">
        <v>9</v>
      </c>
      <c r="G748" s="7">
        <v>253.07</v>
      </c>
      <c r="H748" s="2" t="s">
        <v>147</v>
      </c>
      <c r="I748" s="2" t="s">
        <v>15</v>
      </c>
      <c r="J748" s="2" t="s">
        <v>16</v>
      </c>
      <c r="K748" s="2" t="s">
        <v>17</v>
      </c>
      <c r="L748" s="7">
        <f>Table3[[#This Row],[Revenue]]-Table3[[#This Row],[Ad Spend]]</f>
        <v>124.51999999999998</v>
      </c>
      <c r="M748" s="11">
        <v>140.72999999999999</v>
      </c>
    </row>
    <row r="749" spans="1:13" ht="15.75" customHeight="1" x14ac:dyDescent="0.3">
      <c r="A749" s="4" t="s">
        <v>519</v>
      </c>
      <c r="B749">
        <f t="shared" si="11"/>
        <v>4</v>
      </c>
      <c r="C749" s="2" t="s">
        <v>12</v>
      </c>
      <c r="D749" s="2" t="s">
        <v>1039</v>
      </c>
      <c r="E749" s="7">
        <v>83.5</v>
      </c>
      <c r="F749" s="2">
        <v>6</v>
      </c>
      <c r="G749" s="7">
        <v>119.51</v>
      </c>
      <c r="H749" s="2" t="s">
        <v>974</v>
      </c>
      <c r="I749" s="2" t="s">
        <v>35</v>
      </c>
      <c r="J749" s="2" t="s">
        <v>30</v>
      </c>
      <c r="K749" s="2" t="s">
        <v>17</v>
      </c>
      <c r="L749" s="7">
        <f>Table3[[#This Row],[Revenue]]-Table3[[#This Row],[Ad Spend]]</f>
        <v>36.010000000000005</v>
      </c>
      <c r="M749" s="11">
        <v>149.33000000000001</v>
      </c>
    </row>
    <row r="750" spans="1:13" ht="15.75" customHeight="1" x14ac:dyDescent="0.3">
      <c r="A750" s="4" t="s">
        <v>59</v>
      </c>
      <c r="B750">
        <f t="shared" si="11"/>
        <v>3</v>
      </c>
      <c r="C750" s="2" t="s">
        <v>19</v>
      </c>
      <c r="D750" s="2" t="s">
        <v>637</v>
      </c>
      <c r="E750" s="7">
        <v>130.01</v>
      </c>
      <c r="F750" s="2">
        <v>8</v>
      </c>
      <c r="G750" s="7">
        <v>62.94</v>
      </c>
      <c r="H750" s="2" t="s">
        <v>225</v>
      </c>
      <c r="I750" s="2" t="s">
        <v>29</v>
      </c>
      <c r="J750" s="2" t="s">
        <v>87</v>
      </c>
      <c r="K750" s="2" t="s">
        <v>17</v>
      </c>
      <c r="L750" s="7">
        <f>Table3[[#This Row],[Revenue]]-Table3[[#This Row],[Ad Spend]]</f>
        <v>-67.069999999999993</v>
      </c>
      <c r="M750" s="11">
        <v>125.83</v>
      </c>
    </row>
    <row r="751" spans="1:13" ht="15.75" customHeight="1" x14ac:dyDescent="0.3">
      <c r="A751" s="4" t="s">
        <v>643</v>
      </c>
      <c r="B751">
        <f t="shared" si="11"/>
        <v>2</v>
      </c>
      <c r="C751" s="2" t="s">
        <v>12</v>
      </c>
      <c r="D751" s="2" t="s">
        <v>1040</v>
      </c>
      <c r="E751" s="7">
        <v>18.91</v>
      </c>
      <c r="F751" s="2">
        <v>0</v>
      </c>
      <c r="G751" s="7">
        <v>480.6</v>
      </c>
      <c r="H751" s="2" t="s">
        <v>147</v>
      </c>
      <c r="I751" s="2" t="s">
        <v>29</v>
      </c>
      <c r="J751" s="2" t="s">
        <v>30</v>
      </c>
      <c r="K751" s="2" t="s">
        <v>46</v>
      </c>
      <c r="L751" s="7">
        <f>Table3[[#This Row],[Revenue]]-Table3[[#This Row],[Ad Spend]]</f>
        <v>461.69</v>
      </c>
      <c r="M751" s="11">
        <v>134.4</v>
      </c>
    </row>
    <row r="752" spans="1:13" ht="15.75" customHeight="1" x14ac:dyDescent="0.3">
      <c r="A752" s="4" t="s">
        <v>638</v>
      </c>
      <c r="B752">
        <f t="shared" si="11"/>
        <v>1</v>
      </c>
      <c r="C752" s="2" t="s">
        <v>32</v>
      </c>
      <c r="D752" s="2" t="s">
        <v>528</v>
      </c>
      <c r="E752" s="7">
        <v>76.260000000000005</v>
      </c>
      <c r="F752" s="2">
        <v>7</v>
      </c>
      <c r="G752" s="7">
        <v>138.15</v>
      </c>
      <c r="H752" s="2" t="s">
        <v>956</v>
      </c>
      <c r="I752" s="2" t="s">
        <v>15</v>
      </c>
      <c r="J752" s="2" t="s">
        <v>25</v>
      </c>
      <c r="K752" s="2" t="s">
        <v>17</v>
      </c>
      <c r="L752" s="7">
        <f>Table3[[#This Row],[Revenue]]-Table3[[#This Row],[Ad Spend]]</f>
        <v>61.89</v>
      </c>
      <c r="M752" s="11">
        <v>108.02</v>
      </c>
    </row>
    <row r="753" spans="1:13" ht="15.75" customHeight="1" x14ac:dyDescent="0.3">
      <c r="A753" s="4" t="s">
        <v>22</v>
      </c>
      <c r="B753">
        <f t="shared" si="11"/>
        <v>4</v>
      </c>
      <c r="C753" s="2" t="s">
        <v>63</v>
      </c>
      <c r="D753" s="2" t="s">
        <v>435</v>
      </c>
      <c r="E753" s="7">
        <v>21.5</v>
      </c>
      <c r="F753" s="2">
        <v>9</v>
      </c>
      <c r="G753" s="7">
        <v>264.13</v>
      </c>
      <c r="H753" s="2" t="s">
        <v>910</v>
      </c>
      <c r="I753" s="2" t="s">
        <v>15</v>
      </c>
      <c r="J753" s="2" t="s">
        <v>30</v>
      </c>
      <c r="K753" s="2" t="s">
        <v>17</v>
      </c>
      <c r="L753" s="7">
        <f>Table3[[#This Row],[Revenue]]-Table3[[#This Row],[Ad Spend]]</f>
        <v>242.63</v>
      </c>
      <c r="M753" s="11">
        <v>122.1</v>
      </c>
    </row>
    <row r="754" spans="1:13" ht="15.75" customHeight="1" x14ac:dyDescent="0.3">
      <c r="A754" s="4" t="s">
        <v>918</v>
      </c>
      <c r="B754">
        <f t="shared" si="11"/>
        <v>2</v>
      </c>
      <c r="C754" s="2" t="s">
        <v>63</v>
      </c>
      <c r="D754" s="2" t="s">
        <v>302</v>
      </c>
      <c r="E754" s="7">
        <v>11.09</v>
      </c>
      <c r="F754" s="2">
        <v>0</v>
      </c>
      <c r="G754" s="7">
        <v>39.86</v>
      </c>
      <c r="H754" s="2" t="s">
        <v>267</v>
      </c>
      <c r="I754" s="2" t="s">
        <v>15</v>
      </c>
      <c r="J754" s="2" t="s">
        <v>25</v>
      </c>
      <c r="K754" s="2" t="s">
        <v>46</v>
      </c>
      <c r="L754" s="7">
        <f>Table3[[#This Row],[Revenue]]-Table3[[#This Row],[Ad Spend]]</f>
        <v>28.77</v>
      </c>
      <c r="M754" s="11">
        <v>124.98</v>
      </c>
    </row>
    <row r="755" spans="1:13" ht="15.75" customHeight="1" x14ac:dyDescent="0.3">
      <c r="A755" s="4" t="s">
        <v>485</v>
      </c>
      <c r="B755">
        <f t="shared" si="11"/>
        <v>12</v>
      </c>
      <c r="C755" s="2" t="s">
        <v>32</v>
      </c>
      <c r="D755" s="2" t="s">
        <v>398</v>
      </c>
      <c r="E755" s="7">
        <v>104.34</v>
      </c>
      <c r="F755" s="2">
        <v>10</v>
      </c>
      <c r="G755" s="7">
        <v>134.83000000000001</v>
      </c>
      <c r="H755" s="2" t="s">
        <v>158</v>
      </c>
      <c r="I755" s="2" t="s">
        <v>35</v>
      </c>
      <c r="J755" s="2" t="s">
        <v>30</v>
      </c>
      <c r="K755" s="2" t="s">
        <v>17</v>
      </c>
      <c r="L755" s="7">
        <f>Table3[[#This Row],[Revenue]]-Table3[[#This Row],[Ad Spend]]</f>
        <v>30.490000000000009</v>
      </c>
      <c r="M755" s="11">
        <v>116.25</v>
      </c>
    </row>
    <row r="756" spans="1:13" ht="15.75" customHeight="1" x14ac:dyDescent="0.3">
      <c r="A756" s="4" t="s">
        <v>233</v>
      </c>
      <c r="B756">
        <f t="shared" si="11"/>
        <v>3</v>
      </c>
      <c r="C756" s="2" t="s">
        <v>32</v>
      </c>
      <c r="D756" s="2" t="s">
        <v>855</v>
      </c>
      <c r="E756" s="7">
        <v>113.82</v>
      </c>
      <c r="F756" s="2">
        <v>9</v>
      </c>
      <c r="G756" s="7">
        <v>468.99</v>
      </c>
      <c r="H756" s="2" t="s">
        <v>1041</v>
      </c>
      <c r="I756" s="2" t="s">
        <v>15</v>
      </c>
      <c r="J756" s="2" t="s">
        <v>36</v>
      </c>
      <c r="K756" s="2" t="s">
        <v>17</v>
      </c>
      <c r="L756" s="7">
        <f>Table3[[#This Row],[Revenue]]-Table3[[#This Row],[Ad Spend]]</f>
        <v>355.17</v>
      </c>
      <c r="M756" s="11">
        <v>209.3</v>
      </c>
    </row>
    <row r="757" spans="1:13" ht="15.75" customHeight="1" x14ac:dyDescent="0.3">
      <c r="A757" s="4" t="s">
        <v>194</v>
      </c>
      <c r="B757">
        <f t="shared" si="11"/>
        <v>11</v>
      </c>
      <c r="C757" s="2" t="s">
        <v>19</v>
      </c>
      <c r="D757" s="2" t="s">
        <v>407</v>
      </c>
      <c r="E757" s="7">
        <v>127.36</v>
      </c>
      <c r="F757" s="2">
        <v>6</v>
      </c>
      <c r="G757" s="7">
        <v>400.82</v>
      </c>
      <c r="H757" s="2" t="s">
        <v>152</v>
      </c>
      <c r="I757" s="2" t="s">
        <v>29</v>
      </c>
      <c r="J757" s="2" t="s">
        <v>53</v>
      </c>
      <c r="K757" s="2" t="s">
        <v>17</v>
      </c>
      <c r="L757" s="7">
        <f>Table3[[#This Row],[Revenue]]-Table3[[#This Row],[Ad Spend]]</f>
        <v>273.45999999999998</v>
      </c>
      <c r="M757" s="11">
        <v>97.56</v>
      </c>
    </row>
    <row r="758" spans="1:13" ht="15.75" customHeight="1" x14ac:dyDescent="0.3">
      <c r="A758" s="4" t="s">
        <v>368</v>
      </c>
      <c r="B758">
        <f t="shared" si="11"/>
        <v>3</v>
      </c>
      <c r="C758" s="2" t="s">
        <v>63</v>
      </c>
      <c r="D758" s="2" t="s">
        <v>813</v>
      </c>
      <c r="E758" s="7">
        <v>18.89</v>
      </c>
      <c r="F758" s="2">
        <v>9</v>
      </c>
      <c r="G758" s="7">
        <v>272.33</v>
      </c>
      <c r="H758" s="2" t="s">
        <v>147</v>
      </c>
      <c r="I758" s="2" t="s">
        <v>15</v>
      </c>
      <c r="J758" s="2" t="s">
        <v>25</v>
      </c>
      <c r="K758" s="2" t="s">
        <v>17</v>
      </c>
      <c r="L758" s="7">
        <f>Table3[[#This Row],[Revenue]]-Table3[[#This Row],[Ad Spend]]</f>
        <v>253.44</v>
      </c>
      <c r="M758" s="11">
        <v>134.07</v>
      </c>
    </row>
    <row r="759" spans="1:13" ht="15.75" customHeight="1" x14ac:dyDescent="0.3">
      <c r="A759" s="4" t="s">
        <v>402</v>
      </c>
      <c r="B759">
        <f t="shared" si="11"/>
        <v>3</v>
      </c>
      <c r="C759" s="2" t="s">
        <v>63</v>
      </c>
      <c r="D759" s="2" t="s">
        <v>1042</v>
      </c>
      <c r="E759" s="7">
        <v>20.87</v>
      </c>
      <c r="F759" s="2">
        <v>0</v>
      </c>
      <c r="G759" s="7">
        <v>63.47</v>
      </c>
      <c r="H759" s="2" t="s">
        <v>1043</v>
      </c>
      <c r="I759" s="2" t="s">
        <v>35</v>
      </c>
      <c r="J759" s="2" t="s">
        <v>30</v>
      </c>
      <c r="K759" s="2" t="s">
        <v>46</v>
      </c>
      <c r="L759" s="7">
        <f>Table3[[#This Row],[Revenue]]-Table3[[#This Row],[Ad Spend]]</f>
        <v>42.599999999999994</v>
      </c>
      <c r="M759" s="11">
        <v>42.98</v>
      </c>
    </row>
    <row r="760" spans="1:13" ht="15.75" customHeight="1" x14ac:dyDescent="0.3">
      <c r="A760" s="4" t="s">
        <v>322</v>
      </c>
      <c r="B760">
        <f t="shared" si="11"/>
        <v>11</v>
      </c>
      <c r="C760" s="2" t="s">
        <v>32</v>
      </c>
      <c r="D760" s="2" t="s">
        <v>877</v>
      </c>
      <c r="E760" s="7">
        <v>22.47</v>
      </c>
      <c r="F760" s="2">
        <v>2</v>
      </c>
      <c r="G760" s="7">
        <v>86.53</v>
      </c>
      <c r="H760" s="2" t="s">
        <v>742</v>
      </c>
      <c r="I760" s="2" t="s">
        <v>29</v>
      </c>
      <c r="J760" s="2" t="s">
        <v>25</v>
      </c>
      <c r="K760" s="2" t="s">
        <v>17</v>
      </c>
      <c r="L760" s="7">
        <f>Table3[[#This Row],[Revenue]]-Table3[[#This Row],[Ad Spend]]</f>
        <v>64.06</v>
      </c>
      <c r="M760" s="11">
        <v>89.06</v>
      </c>
    </row>
    <row r="761" spans="1:13" ht="15.75" customHeight="1" x14ac:dyDescent="0.3">
      <c r="A761" s="4" t="s">
        <v>142</v>
      </c>
      <c r="B761">
        <f t="shared" si="11"/>
        <v>12</v>
      </c>
      <c r="C761" s="2" t="s">
        <v>12</v>
      </c>
      <c r="D761" s="2" t="s">
        <v>1044</v>
      </c>
      <c r="E761" s="7">
        <v>139.88</v>
      </c>
      <c r="F761" s="2">
        <v>5</v>
      </c>
      <c r="G761" s="7">
        <v>465.69</v>
      </c>
      <c r="H761" s="2" t="s">
        <v>471</v>
      </c>
      <c r="I761" s="2" t="s">
        <v>35</v>
      </c>
      <c r="J761" s="2" t="s">
        <v>25</v>
      </c>
      <c r="K761" s="2" t="s">
        <v>17</v>
      </c>
      <c r="L761" s="7">
        <f>Table3[[#This Row],[Revenue]]-Table3[[#This Row],[Ad Spend]]</f>
        <v>325.81</v>
      </c>
      <c r="M761" s="11">
        <v>120.66</v>
      </c>
    </row>
    <row r="762" spans="1:13" ht="15.75" customHeight="1" x14ac:dyDescent="0.3">
      <c r="A762" s="4" t="s">
        <v>82</v>
      </c>
      <c r="B762">
        <f t="shared" si="11"/>
        <v>4</v>
      </c>
      <c r="C762" s="2" t="s">
        <v>19</v>
      </c>
      <c r="D762" s="2" t="s">
        <v>1045</v>
      </c>
      <c r="E762" s="7">
        <v>146.57</v>
      </c>
      <c r="F762" s="2">
        <v>6</v>
      </c>
      <c r="G762" s="7">
        <v>55.15</v>
      </c>
      <c r="H762" s="2" t="s">
        <v>313</v>
      </c>
      <c r="I762" s="2" t="s">
        <v>35</v>
      </c>
      <c r="J762" s="2" t="s">
        <v>30</v>
      </c>
      <c r="K762" s="2" t="s">
        <v>17</v>
      </c>
      <c r="L762" s="7">
        <f>Table3[[#This Row],[Revenue]]-Table3[[#This Row],[Ad Spend]]</f>
        <v>-91.419999999999987</v>
      </c>
      <c r="M762" s="11">
        <v>124.82</v>
      </c>
    </row>
    <row r="763" spans="1:13" ht="15.75" customHeight="1" x14ac:dyDescent="0.3">
      <c r="A763" s="4" t="s">
        <v>368</v>
      </c>
      <c r="B763">
        <f t="shared" si="11"/>
        <v>3</v>
      </c>
      <c r="C763" s="2" t="s">
        <v>32</v>
      </c>
      <c r="D763" s="2" t="s">
        <v>57</v>
      </c>
      <c r="E763" s="7">
        <v>148.83000000000001</v>
      </c>
      <c r="F763" s="2">
        <v>0</v>
      </c>
      <c r="G763" s="7">
        <v>340.35</v>
      </c>
      <c r="H763" s="2" t="s">
        <v>161</v>
      </c>
      <c r="I763" s="2" t="s">
        <v>29</v>
      </c>
      <c r="J763" s="2" t="s">
        <v>87</v>
      </c>
      <c r="K763" s="2" t="s">
        <v>46</v>
      </c>
      <c r="L763" s="7">
        <f>Table3[[#This Row],[Revenue]]-Table3[[#This Row],[Ad Spend]]</f>
        <v>191.52</v>
      </c>
      <c r="M763" s="11">
        <v>120.62</v>
      </c>
    </row>
    <row r="764" spans="1:13" ht="15.75" customHeight="1" x14ac:dyDescent="0.3">
      <c r="A764" s="4" t="s">
        <v>673</v>
      </c>
      <c r="B764">
        <f t="shared" si="11"/>
        <v>12</v>
      </c>
      <c r="C764" s="2" t="s">
        <v>19</v>
      </c>
      <c r="D764" s="2" t="s">
        <v>398</v>
      </c>
      <c r="E764" s="7">
        <v>74.91</v>
      </c>
      <c r="F764" s="2">
        <v>2</v>
      </c>
      <c r="G764" s="7">
        <v>64.61</v>
      </c>
      <c r="H764" s="2" t="s">
        <v>372</v>
      </c>
      <c r="I764" s="2" t="s">
        <v>15</v>
      </c>
      <c r="J764" s="2" t="s">
        <v>30</v>
      </c>
      <c r="K764" s="2" t="s">
        <v>17</v>
      </c>
      <c r="L764" s="7">
        <f>Table3[[#This Row],[Revenue]]-Table3[[#This Row],[Ad Spend]]</f>
        <v>-10.299999999999997</v>
      </c>
      <c r="M764" s="11">
        <v>112.98</v>
      </c>
    </row>
    <row r="765" spans="1:13" ht="15.75" customHeight="1" x14ac:dyDescent="0.3">
      <c r="A765" s="4" t="s">
        <v>43</v>
      </c>
      <c r="B765">
        <f t="shared" si="11"/>
        <v>11</v>
      </c>
      <c r="C765" s="2" t="s">
        <v>63</v>
      </c>
      <c r="D765" s="2" t="s">
        <v>1046</v>
      </c>
      <c r="E765" s="7">
        <v>127.51</v>
      </c>
      <c r="F765" s="2">
        <v>6</v>
      </c>
      <c r="G765" s="7">
        <v>179.44</v>
      </c>
      <c r="H765" s="2" t="s">
        <v>286</v>
      </c>
      <c r="I765" s="2" t="s">
        <v>35</v>
      </c>
      <c r="J765" s="2" t="s">
        <v>30</v>
      </c>
      <c r="K765" s="2" t="s">
        <v>17</v>
      </c>
      <c r="L765" s="7">
        <f>Table3[[#This Row],[Revenue]]-Table3[[#This Row],[Ad Spend]]</f>
        <v>51.929999999999993</v>
      </c>
      <c r="M765" s="11">
        <v>111.74</v>
      </c>
    </row>
    <row r="766" spans="1:13" ht="15.75" customHeight="1" x14ac:dyDescent="0.3">
      <c r="A766" s="4" t="s">
        <v>156</v>
      </c>
      <c r="B766">
        <f t="shared" si="11"/>
        <v>12</v>
      </c>
      <c r="C766" s="2" t="s">
        <v>19</v>
      </c>
      <c r="D766" s="2" t="s">
        <v>109</v>
      </c>
      <c r="E766" s="7">
        <v>81.31</v>
      </c>
      <c r="F766" s="2">
        <v>6</v>
      </c>
      <c r="G766" s="7">
        <v>204.13</v>
      </c>
      <c r="H766" s="2" t="s">
        <v>498</v>
      </c>
      <c r="I766" s="2" t="s">
        <v>35</v>
      </c>
      <c r="J766" s="2" t="s">
        <v>36</v>
      </c>
      <c r="K766" s="2" t="s">
        <v>17</v>
      </c>
      <c r="L766" s="7">
        <f>Table3[[#This Row],[Revenue]]-Table3[[#This Row],[Ad Spend]]</f>
        <v>122.82</v>
      </c>
      <c r="M766" s="11">
        <v>105.7</v>
      </c>
    </row>
    <row r="767" spans="1:13" ht="15.75" customHeight="1" x14ac:dyDescent="0.3">
      <c r="A767" s="4" t="s">
        <v>82</v>
      </c>
      <c r="B767">
        <f t="shared" si="11"/>
        <v>4</v>
      </c>
      <c r="C767" s="2" t="s">
        <v>19</v>
      </c>
      <c r="D767" s="2" t="s">
        <v>764</v>
      </c>
      <c r="E767" s="7">
        <v>137.99</v>
      </c>
      <c r="F767" s="2">
        <v>5</v>
      </c>
      <c r="G767" s="7">
        <v>94.81</v>
      </c>
      <c r="H767" s="2" t="s">
        <v>45</v>
      </c>
      <c r="I767" s="2" t="s">
        <v>29</v>
      </c>
      <c r="J767" s="2" t="s">
        <v>53</v>
      </c>
      <c r="K767" s="2" t="s">
        <v>17</v>
      </c>
      <c r="L767" s="7">
        <f>Table3[[#This Row],[Revenue]]-Table3[[#This Row],[Ad Spend]]</f>
        <v>-43.180000000000007</v>
      </c>
      <c r="M767" s="11">
        <v>128.65</v>
      </c>
    </row>
    <row r="768" spans="1:13" ht="15.75" customHeight="1" x14ac:dyDescent="0.3">
      <c r="A768" s="4" t="s">
        <v>673</v>
      </c>
      <c r="B768">
        <f t="shared" si="11"/>
        <v>12</v>
      </c>
      <c r="C768" s="2" t="s">
        <v>63</v>
      </c>
      <c r="D768" s="2" t="s">
        <v>1047</v>
      </c>
      <c r="E768" s="7">
        <v>127.63</v>
      </c>
      <c r="F768" s="2">
        <v>2</v>
      </c>
      <c r="G768" s="7">
        <v>171.61</v>
      </c>
      <c r="H768" s="2" t="s">
        <v>24</v>
      </c>
      <c r="I768" s="2" t="s">
        <v>35</v>
      </c>
      <c r="J768" s="2" t="s">
        <v>25</v>
      </c>
      <c r="K768" s="2" t="s">
        <v>17</v>
      </c>
      <c r="L768" s="7">
        <f>Table3[[#This Row],[Revenue]]-Table3[[#This Row],[Ad Spend]]</f>
        <v>43.980000000000018</v>
      </c>
      <c r="M768" s="11">
        <v>140.66</v>
      </c>
    </row>
    <row r="769" spans="1:13" ht="15.75" customHeight="1" x14ac:dyDescent="0.3">
      <c r="A769" s="4" t="s">
        <v>409</v>
      </c>
      <c r="B769">
        <f t="shared" si="11"/>
        <v>11</v>
      </c>
      <c r="C769" s="2" t="s">
        <v>19</v>
      </c>
      <c r="D769" s="2" t="s">
        <v>1048</v>
      </c>
      <c r="E769" s="7">
        <v>34.57</v>
      </c>
      <c r="F769" s="2">
        <v>10</v>
      </c>
      <c r="G769" s="7">
        <v>36.119999999999997</v>
      </c>
      <c r="H769" s="2" t="s">
        <v>1049</v>
      </c>
      <c r="I769" s="2" t="s">
        <v>29</v>
      </c>
      <c r="J769" s="2" t="s">
        <v>25</v>
      </c>
      <c r="K769" s="2" t="s">
        <v>17</v>
      </c>
      <c r="L769" s="7">
        <f>Table3[[#This Row],[Revenue]]-Table3[[#This Row],[Ad Spend]]</f>
        <v>1.5499999999999972</v>
      </c>
      <c r="M769" s="11">
        <v>38.72</v>
      </c>
    </row>
    <row r="770" spans="1:13" ht="15.75" customHeight="1" x14ac:dyDescent="0.3">
      <c r="A770" s="4" t="s">
        <v>304</v>
      </c>
      <c r="B770">
        <f t="shared" si="11"/>
        <v>12</v>
      </c>
      <c r="C770" s="2" t="s">
        <v>32</v>
      </c>
      <c r="D770" s="2" t="s">
        <v>518</v>
      </c>
      <c r="E770" s="7">
        <v>65.150000000000006</v>
      </c>
      <c r="F770" s="2">
        <v>0</v>
      </c>
      <c r="G770" s="7">
        <v>367.79</v>
      </c>
      <c r="H770" s="2" t="s">
        <v>158</v>
      </c>
      <c r="I770" s="2" t="s">
        <v>29</v>
      </c>
      <c r="J770" s="2" t="s">
        <v>25</v>
      </c>
      <c r="K770" s="2" t="s">
        <v>46</v>
      </c>
      <c r="L770" s="7">
        <f>Table3[[#This Row],[Revenue]]-Table3[[#This Row],[Ad Spend]]</f>
        <v>302.64</v>
      </c>
      <c r="M770" s="11">
        <v>123.53</v>
      </c>
    </row>
    <row r="771" spans="1:13" ht="15.75" customHeight="1" x14ac:dyDescent="0.3">
      <c r="A771" s="4" t="s">
        <v>504</v>
      </c>
      <c r="B771">
        <f t="shared" ref="B771:B834" si="12">MONTH(A771)</f>
        <v>12</v>
      </c>
      <c r="C771" s="2" t="s">
        <v>63</v>
      </c>
      <c r="D771" s="2" t="s">
        <v>943</v>
      </c>
      <c r="E771" s="7">
        <v>49.23</v>
      </c>
      <c r="F771" s="2">
        <v>0</v>
      </c>
      <c r="G771" s="7">
        <v>93.03</v>
      </c>
      <c r="H771" s="2" t="s">
        <v>401</v>
      </c>
      <c r="I771" s="2" t="s">
        <v>29</v>
      </c>
      <c r="J771" s="2" t="s">
        <v>30</v>
      </c>
      <c r="K771" s="2" t="s">
        <v>46</v>
      </c>
      <c r="L771" s="7">
        <f>Table3[[#This Row],[Revenue]]-Table3[[#This Row],[Ad Spend]]</f>
        <v>43.800000000000004</v>
      </c>
      <c r="M771" s="11">
        <v>132.41</v>
      </c>
    </row>
    <row r="772" spans="1:13" ht="15.75" customHeight="1" x14ac:dyDescent="0.3">
      <c r="A772" s="4" t="s">
        <v>131</v>
      </c>
      <c r="B772">
        <f t="shared" si="12"/>
        <v>11</v>
      </c>
      <c r="C772" s="2" t="s">
        <v>63</v>
      </c>
      <c r="D772" s="2" t="s">
        <v>1050</v>
      </c>
      <c r="E772" s="7">
        <v>144.05000000000001</v>
      </c>
      <c r="F772" s="2">
        <v>7</v>
      </c>
      <c r="G772" s="7">
        <v>402.29</v>
      </c>
      <c r="H772" s="2" t="s">
        <v>150</v>
      </c>
      <c r="I772" s="2" t="s">
        <v>35</v>
      </c>
      <c r="J772" s="2" t="s">
        <v>30</v>
      </c>
      <c r="K772" s="2" t="s">
        <v>17</v>
      </c>
      <c r="L772" s="7">
        <f>Table3[[#This Row],[Revenue]]-Table3[[#This Row],[Ad Spend]]</f>
        <v>258.24</v>
      </c>
      <c r="M772" s="11">
        <v>196.68</v>
      </c>
    </row>
    <row r="773" spans="1:13" ht="15.75" customHeight="1" x14ac:dyDescent="0.3">
      <c r="A773" s="4" t="s">
        <v>211</v>
      </c>
      <c r="B773">
        <f t="shared" si="12"/>
        <v>2</v>
      </c>
      <c r="C773" s="2" t="s">
        <v>32</v>
      </c>
      <c r="D773" s="2" t="s">
        <v>327</v>
      </c>
      <c r="E773" s="7">
        <v>74.959999999999994</v>
      </c>
      <c r="F773" s="2">
        <v>0</v>
      </c>
      <c r="G773" s="7">
        <v>65.53</v>
      </c>
      <c r="H773" s="2" t="s">
        <v>567</v>
      </c>
      <c r="I773" s="2" t="s">
        <v>35</v>
      </c>
      <c r="J773" s="2" t="s">
        <v>30</v>
      </c>
      <c r="K773" s="2" t="s">
        <v>46</v>
      </c>
      <c r="L773" s="7">
        <f>Table3[[#This Row],[Revenue]]-Table3[[#This Row],[Ad Spend]]</f>
        <v>-9.4299999999999926</v>
      </c>
      <c r="M773" s="11">
        <v>119.11</v>
      </c>
    </row>
    <row r="774" spans="1:13" ht="15.75" customHeight="1" x14ac:dyDescent="0.3">
      <c r="A774" s="4" t="s">
        <v>11</v>
      </c>
      <c r="B774">
        <f t="shared" si="12"/>
        <v>1</v>
      </c>
      <c r="C774" s="2" t="s">
        <v>12</v>
      </c>
      <c r="D774" s="2" t="s">
        <v>1051</v>
      </c>
      <c r="E774" s="7">
        <v>117.91</v>
      </c>
      <c r="F774" s="2">
        <v>7</v>
      </c>
      <c r="G774" s="7">
        <v>416.73</v>
      </c>
      <c r="H774" s="2" t="s">
        <v>379</v>
      </c>
      <c r="I774" s="2" t="s">
        <v>35</v>
      </c>
      <c r="J774" s="2" t="s">
        <v>25</v>
      </c>
      <c r="K774" s="2" t="s">
        <v>17</v>
      </c>
      <c r="L774" s="7">
        <f>Table3[[#This Row],[Revenue]]-Table3[[#This Row],[Ad Spend]]</f>
        <v>298.82000000000005</v>
      </c>
      <c r="M774" s="11">
        <v>126.78</v>
      </c>
    </row>
    <row r="775" spans="1:13" ht="15.75" customHeight="1" x14ac:dyDescent="0.3">
      <c r="A775" s="4" t="s">
        <v>532</v>
      </c>
      <c r="B775">
        <f t="shared" si="12"/>
        <v>2</v>
      </c>
      <c r="C775" s="2" t="s">
        <v>32</v>
      </c>
      <c r="D775" s="2" t="s">
        <v>542</v>
      </c>
      <c r="E775" s="7">
        <v>37.43</v>
      </c>
      <c r="F775" s="2">
        <v>7</v>
      </c>
      <c r="G775" s="7">
        <v>335.15</v>
      </c>
      <c r="H775" s="2" t="s">
        <v>818</v>
      </c>
      <c r="I775" s="2" t="s">
        <v>29</v>
      </c>
      <c r="J775" s="2" t="s">
        <v>16</v>
      </c>
      <c r="K775" s="2" t="s">
        <v>17</v>
      </c>
      <c r="L775" s="7">
        <f>Table3[[#This Row],[Revenue]]-Table3[[#This Row],[Ad Spend]]</f>
        <v>297.71999999999997</v>
      </c>
      <c r="M775" s="11">
        <v>150.41999999999999</v>
      </c>
    </row>
    <row r="776" spans="1:13" ht="15.75" customHeight="1" x14ac:dyDescent="0.3">
      <c r="A776" s="4" t="s">
        <v>753</v>
      </c>
      <c r="B776">
        <f t="shared" si="12"/>
        <v>11</v>
      </c>
      <c r="C776" s="2" t="s">
        <v>19</v>
      </c>
      <c r="D776" s="2" t="s">
        <v>1052</v>
      </c>
      <c r="E776" s="7">
        <v>57.59</v>
      </c>
      <c r="F776" s="2">
        <v>7</v>
      </c>
      <c r="G776" s="7">
        <v>247.61</v>
      </c>
      <c r="H776" s="2" t="s">
        <v>81</v>
      </c>
      <c r="I776" s="2" t="s">
        <v>29</v>
      </c>
      <c r="J776" s="2" t="s">
        <v>25</v>
      </c>
      <c r="K776" s="2" t="s">
        <v>17</v>
      </c>
      <c r="L776" s="7">
        <f>Table3[[#This Row],[Revenue]]-Table3[[#This Row],[Ad Spend]]</f>
        <v>190.02</v>
      </c>
      <c r="M776" s="11">
        <v>130.96</v>
      </c>
    </row>
    <row r="777" spans="1:13" ht="15.75" customHeight="1" x14ac:dyDescent="0.3">
      <c r="A777" s="4" t="s">
        <v>191</v>
      </c>
      <c r="B777">
        <f t="shared" si="12"/>
        <v>11</v>
      </c>
      <c r="C777" s="2" t="s">
        <v>19</v>
      </c>
      <c r="D777" s="2" t="s">
        <v>730</v>
      </c>
      <c r="E777" s="7">
        <v>27.07</v>
      </c>
      <c r="F777" s="2">
        <v>2</v>
      </c>
      <c r="G777" s="7">
        <v>362.88</v>
      </c>
      <c r="H777" s="2" t="s">
        <v>866</v>
      </c>
      <c r="I777" s="2" t="s">
        <v>35</v>
      </c>
      <c r="J777" s="2" t="s">
        <v>30</v>
      </c>
      <c r="K777" s="2" t="s">
        <v>17</v>
      </c>
      <c r="L777" s="7">
        <f>Table3[[#This Row],[Revenue]]-Table3[[#This Row],[Ad Spend]]</f>
        <v>335.81</v>
      </c>
      <c r="M777" s="11">
        <v>127.41</v>
      </c>
    </row>
    <row r="778" spans="1:13" ht="15.75" customHeight="1" x14ac:dyDescent="0.3">
      <c r="A778" s="4" t="s">
        <v>208</v>
      </c>
      <c r="B778">
        <f t="shared" si="12"/>
        <v>11</v>
      </c>
      <c r="C778" s="2" t="s">
        <v>19</v>
      </c>
      <c r="D778" s="2" t="s">
        <v>1053</v>
      </c>
      <c r="E778" s="7">
        <v>134.16</v>
      </c>
      <c r="F778" s="2">
        <v>7</v>
      </c>
      <c r="G778" s="7">
        <v>348.29</v>
      </c>
      <c r="H778" s="2" t="s">
        <v>461</v>
      </c>
      <c r="I778" s="2" t="s">
        <v>15</v>
      </c>
      <c r="J778" s="2" t="s">
        <v>25</v>
      </c>
      <c r="K778" s="2" t="s">
        <v>17</v>
      </c>
      <c r="L778" s="7">
        <f>Table3[[#This Row],[Revenue]]-Table3[[#This Row],[Ad Spend]]</f>
        <v>214.13000000000002</v>
      </c>
      <c r="M778" s="11">
        <v>146.24</v>
      </c>
    </row>
    <row r="779" spans="1:13" ht="15.75" customHeight="1" x14ac:dyDescent="0.3">
      <c r="A779" s="4" t="s">
        <v>647</v>
      </c>
      <c r="B779">
        <f t="shared" si="12"/>
        <v>11</v>
      </c>
      <c r="C779" s="2" t="s">
        <v>12</v>
      </c>
      <c r="D779" s="2" t="s">
        <v>704</v>
      </c>
      <c r="E779" s="7">
        <v>88.81</v>
      </c>
      <c r="F779" s="2">
        <v>5</v>
      </c>
      <c r="G779" s="7">
        <v>294</v>
      </c>
      <c r="H779" s="2" t="s">
        <v>394</v>
      </c>
      <c r="I779" s="2" t="s">
        <v>35</v>
      </c>
      <c r="J779" s="2" t="s">
        <v>25</v>
      </c>
      <c r="K779" s="2" t="s">
        <v>17</v>
      </c>
      <c r="L779" s="7">
        <f>Table3[[#This Row],[Revenue]]-Table3[[#This Row],[Ad Spend]]</f>
        <v>205.19</v>
      </c>
      <c r="M779" s="11">
        <v>129.38</v>
      </c>
    </row>
    <row r="780" spans="1:13" ht="15.75" customHeight="1" x14ac:dyDescent="0.3">
      <c r="A780" s="4" t="s">
        <v>131</v>
      </c>
      <c r="B780">
        <f t="shared" si="12"/>
        <v>11</v>
      </c>
      <c r="C780" s="2" t="s">
        <v>19</v>
      </c>
      <c r="D780" s="2" t="s">
        <v>572</v>
      </c>
      <c r="E780" s="7">
        <v>38.99</v>
      </c>
      <c r="F780" s="2">
        <v>8</v>
      </c>
      <c r="G780" s="7">
        <v>430.3</v>
      </c>
      <c r="H780" s="2" t="s">
        <v>389</v>
      </c>
      <c r="I780" s="2" t="s">
        <v>15</v>
      </c>
      <c r="J780" s="2" t="s">
        <v>87</v>
      </c>
      <c r="K780" s="2" t="s">
        <v>17</v>
      </c>
      <c r="L780" s="7">
        <f>Table3[[#This Row],[Revenue]]-Table3[[#This Row],[Ad Spend]]</f>
        <v>391.31</v>
      </c>
      <c r="M780" s="11">
        <v>108.9</v>
      </c>
    </row>
    <row r="781" spans="1:13" ht="15.75" customHeight="1" x14ac:dyDescent="0.3">
      <c r="A781" s="4" t="s">
        <v>254</v>
      </c>
      <c r="B781">
        <f t="shared" si="12"/>
        <v>11</v>
      </c>
      <c r="C781" s="2" t="s">
        <v>12</v>
      </c>
      <c r="D781" s="2" t="s">
        <v>1054</v>
      </c>
      <c r="E781" s="7">
        <v>61.39</v>
      </c>
      <c r="F781" s="2">
        <v>7</v>
      </c>
      <c r="G781" s="7">
        <v>330.01</v>
      </c>
      <c r="H781" s="2" t="s">
        <v>990</v>
      </c>
      <c r="I781" s="2" t="s">
        <v>35</v>
      </c>
      <c r="J781" s="2" t="s">
        <v>87</v>
      </c>
      <c r="K781" s="2" t="s">
        <v>17</v>
      </c>
      <c r="L781" s="7">
        <f>Table3[[#This Row],[Revenue]]-Table3[[#This Row],[Ad Spend]]</f>
        <v>268.62</v>
      </c>
      <c r="M781" s="11">
        <v>146.69</v>
      </c>
    </row>
    <row r="782" spans="1:13" ht="15.75" customHeight="1" x14ac:dyDescent="0.3">
      <c r="A782" s="4" t="s">
        <v>610</v>
      </c>
      <c r="B782">
        <f t="shared" si="12"/>
        <v>11</v>
      </c>
      <c r="C782" s="2" t="s">
        <v>19</v>
      </c>
      <c r="D782" s="2" t="s">
        <v>784</v>
      </c>
      <c r="E782" s="7">
        <v>118.21</v>
      </c>
      <c r="F782" s="2">
        <v>1</v>
      </c>
      <c r="G782" s="7">
        <v>432.44</v>
      </c>
      <c r="H782" s="2" t="s">
        <v>210</v>
      </c>
      <c r="I782" s="2" t="s">
        <v>29</v>
      </c>
      <c r="J782" s="2" t="s">
        <v>30</v>
      </c>
      <c r="K782" s="2" t="s">
        <v>17</v>
      </c>
      <c r="L782" s="7">
        <f>Table3[[#This Row],[Revenue]]-Table3[[#This Row],[Ad Spend]]</f>
        <v>314.23</v>
      </c>
      <c r="M782" s="11">
        <v>161.86000000000001</v>
      </c>
    </row>
    <row r="783" spans="1:13" ht="15.75" customHeight="1" x14ac:dyDescent="0.3">
      <c r="A783" s="4" t="s">
        <v>178</v>
      </c>
      <c r="B783">
        <f t="shared" si="12"/>
        <v>12</v>
      </c>
      <c r="C783" s="2" t="s">
        <v>19</v>
      </c>
      <c r="D783" s="2" t="s">
        <v>732</v>
      </c>
      <c r="E783" s="7">
        <v>64.989999999999995</v>
      </c>
      <c r="F783" s="2">
        <v>4</v>
      </c>
      <c r="G783" s="7">
        <v>115.28</v>
      </c>
      <c r="H783" s="2" t="s">
        <v>956</v>
      </c>
      <c r="I783" s="2" t="s">
        <v>15</v>
      </c>
      <c r="J783" s="2" t="s">
        <v>25</v>
      </c>
      <c r="K783" s="2" t="s">
        <v>17</v>
      </c>
      <c r="L783" s="7">
        <f>Table3[[#This Row],[Revenue]]-Table3[[#This Row],[Ad Spend]]</f>
        <v>50.290000000000006</v>
      </c>
      <c r="M783" s="11">
        <v>106.3</v>
      </c>
    </row>
    <row r="784" spans="1:13" ht="15.75" customHeight="1" x14ac:dyDescent="0.3">
      <c r="A784" s="4" t="s">
        <v>250</v>
      </c>
      <c r="B784">
        <f t="shared" si="12"/>
        <v>12</v>
      </c>
      <c r="C784" s="2" t="s">
        <v>32</v>
      </c>
      <c r="D784" s="2" t="s">
        <v>420</v>
      </c>
      <c r="E784" s="7">
        <v>22.42</v>
      </c>
      <c r="F784" s="2">
        <v>4</v>
      </c>
      <c r="G784" s="7">
        <v>72.44</v>
      </c>
      <c r="H784" s="2" t="s">
        <v>820</v>
      </c>
      <c r="I784" s="2" t="s">
        <v>35</v>
      </c>
      <c r="J784" s="2" t="s">
        <v>25</v>
      </c>
      <c r="K784" s="2" t="s">
        <v>17</v>
      </c>
      <c r="L784" s="7">
        <f>Table3[[#This Row],[Revenue]]-Table3[[#This Row],[Ad Spend]]</f>
        <v>50.019999999999996</v>
      </c>
      <c r="M784" s="11">
        <v>124.57</v>
      </c>
    </row>
    <row r="785" spans="1:13" ht="15.75" customHeight="1" x14ac:dyDescent="0.3">
      <c r="A785" s="4" t="s">
        <v>496</v>
      </c>
      <c r="B785">
        <f t="shared" si="12"/>
        <v>1</v>
      </c>
      <c r="C785" s="2" t="s">
        <v>32</v>
      </c>
      <c r="D785" s="2" t="s">
        <v>582</v>
      </c>
      <c r="E785" s="7">
        <v>130.26</v>
      </c>
      <c r="F785" s="2">
        <v>5</v>
      </c>
      <c r="G785" s="7">
        <v>414.93</v>
      </c>
      <c r="H785" s="2" t="s">
        <v>1034</v>
      </c>
      <c r="I785" s="2" t="s">
        <v>35</v>
      </c>
      <c r="J785" s="2" t="s">
        <v>30</v>
      </c>
      <c r="K785" s="2" t="s">
        <v>17</v>
      </c>
      <c r="L785" s="7">
        <f>Table3[[#This Row],[Revenue]]-Table3[[#This Row],[Ad Spend]]</f>
        <v>284.67</v>
      </c>
      <c r="M785" s="11">
        <v>162</v>
      </c>
    </row>
    <row r="786" spans="1:13" ht="15.75" customHeight="1" x14ac:dyDescent="0.3">
      <c r="A786" s="4" t="s">
        <v>31</v>
      </c>
      <c r="B786">
        <f t="shared" si="12"/>
        <v>1</v>
      </c>
      <c r="C786" s="2" t="s">
        <v>63</v>
      </c>
      <c r="D786" s="2" t="s">
        <v>727</v>
      </c>
      <c r="E786" s="7">
        <v>139.85</v>
      </c>
      <c r="F786" s="2">
        <v>8</v>
      </c>
      <c r="G786" s="7">
        <v>464.27</v>
      </c>
      <c r="H786" s="2" t="s">
        <v>235</v>
      </c>
      <c r="I786" s="2" t="s">
        <v>15</v>
      </c>
      <c r="J786" s="2" t="s">
        <v>87</v>
      </c>
      <c r="K786" s="2" t="s">
        <v>17</v>
      </c>
      <c r="L786" s="7">
        <f>Table3[[#This Row],[Revenue]]-Table3[[#This Row],[Ad Spend]]</f>
        <v>324.41999999999996</v>
      </c>
      <c r="M786" s="11">
        <v>130.69</v>
      </c>
    </row>
    <row r="787" spans="1:13" ht="15.75" customHeight="1" x14ac:dyDescent="0.3">
      <c r="A787" s="4" t="s">
        <v>351</v>
      </c>
      <c r="B787">
        <f t="shared" si="12"/>
        <v>4</v>
      </c>
      <c r="C787" s="2" t="s">
        <v>32</v>
      </c>
      <c r="D787" s="2" t="s">
        <v>1055</v>
      </c>
      <c r="E787" s="7">
        <v>116.76</v>
      </c>
      <c r="F787" s="2">
        <v>1</v>
      </c>
      <c r="G787" s="7">
        <v>103.86</v>
      </c>
      <c r="H787" s="2" t="s">
        <v>681</v>
      </c>
      <c r="I787" s="2" t="s">
        <v>15</v>
      </c>
      <c r="J787" s="2" t="s">
        <v>30</v>
      </c>
      <c r="K787" s="2" t="s">
        <v>17</v>
      </c>
      <c r="L787" s="7">
        <f>Table3[[#This Row],[Revenue]]-Table3[[#This Row],[Ad Spend]]</f>
        <v>-12.900000000000006</v>
      </c>
      <c r="M787" s="11">
        <v>152.06</v>
      </c>
    </row>
    <row r="788" spans="1:13" ht="15.75" customHeight="1" x14ac:dyDescent="0.3">
      <c r="A788" s="4" t="s">
        <v>843</v>
      </c>
      <c r="B788">
        <f t="shared" si="12"/>
        <v>4</v>
      </c>
      <c r="C788" s="2" t="s">
        <v>12</v>
      </c>
      <c r="D788" s="2" t="s">
        <v>1011</v>
      </c>
      <c r="E788" s="7">
        <v>96.86</v>
      </c>
      <c r="F788" s="2">
        <v>8</v>
      </c>
      <c r="G788" s="7">
        <v>298.13</v>
      </c>
      <c r="H788" s="2" t="s">
        <v>1056</v>
      </c>
      <c r="I788" s="2" t="s">
        <v>15</v>
      </c>
      <c r="J788" s="2" t="s">
        <v>30</v>
      </c>
      <c r="K788" s="2" t="s">
        <v>17</v>
      </c>
      <c r="L788" s="7">
        <f>Table3[[#This Row],[Revenue]]-Table3[[#This Row],[Ad Spend]]</f>
        <v>201.26999999999998</v>
      </c>
      <c r="M788" s="11">
        <v>122.15</v>
      </c>
    </row>
    <row r="789" spans="1:13" ht="15.75" customHeight="1" x14ac:dyDescent="0.3">
      <c r="A789" s="4" t="s">
        <v>799</v>
      </c>
      <c r="B789">
        <f t="shared" si="12"/>
        <v>1</v>
      </c>
      <c r="C789" s="2" t="s">
        <v>19</v>
      </c>
      <c r="D789" s="2" t="s">
        <v>671</v>
      </c>
      <c r="E789" s="7">
        <v>117.23</v>
      </c>
      <c r="F789" s="2">
        <v>9</v>
      </c>
      <c r="G789" s="7">
        <v>291.07</v>
      </c>
      <c r="H789" s="2" t="s">
        <v>201</v>
      </c>
      <c r="I789" s="2" t="s">
        <v>35</v>
      </c>
      <c r="J789" s="2" t="s">
        <v>30</v>
      </c>
      <c r="K789" s="2" t="s">
        <v>17</v>
      </c>
      <c r="L789" s="7">
        <f>Table3[[#This Row],[Revenue]]-Table3[[#This Row],[Ad Spend]]</f>
        <v>173.83999999999997</v>
      </c>
      <c r="M789" s="11">
        <v>105.66</v>
      </c>
    </row>
    <row r="790" spans="1:13" ht="15.75" customHeight="1" x14ac:dyDescent="0.3">
      <c r="A790" s="4" t="s">
        <v>643</v>
      </c>
      <c r="B790">
        <f t="shared" si="12"/>
        <v>2</v>
      </c>
      <c r="C790" s="2" t="s">
        <v>19</v>
      </c>
      <c r="D790" s="2" t="s">
        <v>1057</v>
      </c>
      <c r="E790" s="7">
        <v>18.059999999999999</v>
      </c>
      <c r="F790" s="2">
        <v>4</v>
      </c>
      <c r="G790" s="7">
        <v>225.45</v>
      </c>
      <c r="H790" s="2" t="s">
        <v>1058</v>
      </c>
      <c r="I790" s="2" t="s">
        <v>15</v>
      </c>
      <c r="J790" s="2" t="s">
        <v>30</v>
      </c>
      <c r="K790" s="2" t="s">
        <v>17</v>
      </c>
      <c r="L790" s="7">
        <f>Table3[[#This Row],[Revenue]]-Table3[[#This Row],[Ad Spend]]</f>
        <v>207.39</v>
      </c>
      <c r="M790" s="11">
        <v>143.69</v>
      </c>
    </row>
    <row r="791" spans="1:13" ht="15.75" customHeight="1" x14ac:dyDescent="0.3">
      <c r="A791" s="4" t="s">
        <v>153</v>
      </c>
      <c r="B791">
        <f t="shared" si="12"/>
        <v>1</v>
      </c>
      <c r="C791" s="2" t="s">
        <v>63</v>
      </c>
      <c r="D791" s="2" t="s">
        <v>1059</v>
      </c>
      <c r="E791" s="7">
        <v>136.83000000000001</v>
      </c>
      <c r="F791" s="2">
        <v>7</v>
      </c>
      <c r="G791" s="7">
        <v>364.93</v>
      </c>
      <c r="H791" s="2" t="s">
        <v>1060</v>
      </c>
      <c r="I791" s="2" t="s">
        <v>35</v>
      </c>
      <c r="J791" s="2" t="s">
        <v>87</v>
      </c>
      <c r="K791" s="2" t="s">
        <v>17</v>
      </c>
      <c r="L791" s="7">
        <f>Table3[[#This Row],[Revenue]]-Table3[[#This Row],[Ad Spend]]</f>
        <v>228.1</v>
      </c>
      <c r="M791" s="11">
        <v>174.55</v>
      </c>
    </row>
    <row r="792" spans="1:13" ht="15.75" customHeight="1" x14ac:dyDescent="0.3">
      <c r="A792" s="4" t="s">
        <v>1061</v>
      </c>
      <c r="B792">
        <f t="shared" si="12"/>
        <v>4</v>
      </c>
      <c r="C792" s="2" t="s">
        <v>63</v>
      </c>
      <c r="D792" s="2" t="s">
        <v>339</v>
      </c>
      <c r="E792" s="7">
        <v>61.27</v>
      </c>
      <c r="F792" s="2">
        <v>2</v>
      </c>
      <c r="G792" s="7">
        <v>494.93</v>
      </c>
      <c r="H792" s="2" t="s">
        <v>104</v>
      </c>
      <c r="I792" s="2" t="s">
        <v>35</v>
      </c>
      <c r="J792" s="2" t="s">
        <v>87</v>
      </c>
      <c r="K792" s="2" t="s">
        <v>17</v>
      </c>
      <c r="L792" s="7">
        <f>Table3[[#This Row],[Revenue]]-Table3[[#This Row],[Ad Spend]]</f>
        <v>433.66</v>
      </c>
      <c r="M792" s="11">
        <v>121.53</v>
      </c>
    </row>
    <row r="793" spans="1:13" ht="15.75" customHeight="1" x14ac:dyDescent="0.3">
      <c r="A793" s="4" t="s">
        <v>356</v>
      </c>
      <c r="B793">
        <f t="shared" si="12"/>
        <v>3</v>
      </c>
      <c r="C793" s="2" t="s">
        <v>19</v>
      </c>
      <c r="D793" s="2" t="s">
        <v>1062</v>
      </c>
      <c r="E793" s="7">
        <v>52.01</v>
      </c>
      <c r="F793" s="2">
        <v>3</v>
      </c>
      <c r="G793" s="7">
        <v>429.15</v>
      </c>
      <c r="H793" s="2" t="s">
        <v>96</v>
      </c>
      <c r="I793" s="2" t="s">
        <v>29</v>
      </c>
      <c r="J793" s="2" t="s">
        <v>30</v>
      </c>
      <c r="K793" s="2" t="s">
        <v>17</v>
      </c>
      <c r="L793" s="7">
        <f>Table3[[#This Row],[Revenue]]-Table3[[#This Row],[Ad Spend]]</f>
        <v>377.14</v>
      </c>
      <c r="M793" s="11">
        <v>127.62</v>
      </c>
    </row>
    <row r="794" spans="1:13" ht="15.75" customHeight="1" x14ac:dyDescent="0.3">
      <c r="A794" s="4" t="s">
        <v>136</v>
      </c>
      <c r="B794">
        <f t="shared" si="12"/>
        <v>2</v>
      </c>
      <c r="C794" s="2" t="s">
        <v>19</v>
      </c>
      <c r="D794" s="2" t="s">
        <v>819</v>
      </c>
      <c r="E794" s="7">
        <v>57.6</v>
      </c>
      <c r="F794" s="2">
        <v>6</v>
      </c>
      <c r="G794" s="7">
        <v>344.35</v>
      </c>
      <c r="H794" s="2" t="s">
        <v>166</v>
      </c>
      <c r="I794" s="2" t="s">
        <v>29</v>
      </c>
      <c r="J794" s="2" t="s">
        <v>53</v>
      </c>
      <c r="K794" s="2" t="s">
        <v>17</v>
      </c>
      <c r="L794" s="7">
        <f>Table3[[#This Row],[Revenue]]-Table3[[#This Row],[Ad Spend]]</f>
        <v>286.75</v>
      </c>
      <c r="M794" s="11">
        <v>138.19</v>
      </c>
    </row>
    <row r="795" spans="1:13" ht="15.75" customHeight="1" x14ac:dyDescent="0.3">
      <c r="A795" s="4" t="s">
        <v>610</v>
      </c>
      <c r="B795">
        <f t="shared" si="12"/>
        <v>11</v>
      </c>
      <c r="C795" s="2" t="s">
        <v>63</v>
      </c>
      <c r="D795" s="2" t="s">
        <v>13</v>
      </c>
      <c r="E795" s="7">
        <v>108.21</v>
      </c>
      <c r="F795" s="2">
        <v>1</v>
      </c>
      <c r="G795" s="7">
        <v>160.02000000000001</v>
      </c>
      <c r="H795" s="2" t="s">
        <v>374</v>
      </c>
      <c r="I795" s="2" t="s">
        <v>35</v>
      </c>
      <c r="J795" s="2" t="s">
        <v>30</v>
      </c>
      <c r="K795" s="2" t="s">
        <v>17</v>
      </c>
      <c r="L795" s="7">
        <f>Table3[[#This Row],[Revenue]]-Table3[[#This Row],[Ad Spend]]</f>
        <v>51.810000000000016</v>
      </c>
      <c r="M795" s="11">
        <v>126.48</v>
      </c>
    </row>
    <row r="796" spans="1:13" ht="15.75" customHeight="1" x14ac:dyDescent="0.3">
      <c r="A796" s="4" t="s">
        <v>62</v>
      </c>
      <c r="B796">
        <f t="shared" si="12"/>
        <v>2</v>
      </c>
      <c r="C796" s="2" t="s">
        <v>12</v>
      </c>
      <c r="D796" s="2" t="s">
        <v>1063</v>
      </c>
      <c r="E796" s="7">
        <v>74.290000000000006</v>
      </c>
      <c r="F796" s="2">
        <v>2</v>
      </c>
      <c r="G796" s="7">
        <v>430.86</v>
      </c>
      <c r="H796" s="2" t="s">
        <v>28</v>
      </c>
      <c r="I796" s="2" t="s">
        <v>29</v>
      </c>
      <c r="J796" s="2" t="s">
        <v>25</v>
      </c>
      <c r="K796" s="2" t="s">
        <v>17</v>
      </c>
      <c r="L796" s="7">
        <f>Table3[[#This Row],[Revenue]]-Table3[[#This Row],[Ad Spend]]</f>
        <v>356.57</v>
      </c>
      <c r="M796" s="11">
        <v>136.47999999999999</v>
      </c>
    </row>
    <row r="797" spans="1:13" ht="15.75" customHeight="1" x14ac:dyDescent="0.3">
      <c r="A797" s="4" t="s">
        <v>241</v>
      </c>
      <c r="B797">
        <f t="shared" si="12"/>
        <v>12</v>
      </c>
      <c r="C797" s="2" t="s">
        <v>19</v>
      </c>
      <c r="D797" s="2" t="s">
        <v>886</v>
      </c>
      <c r="E797" s="7">
        <v>130.91</v>
      </c>
      <c r="F797" s="2">
        <v>1</v>
      </c>
      <c r="G797" s="7">
        <v>128.54</v>
      </c>
      <c r="H797" s="2" t="s">
        <v>52</v>
      </c>
      <c r="I797" s="2" t="s">
        <v>15</v>
      </c>
      <c r="J797" s="2" t="s">
        <v>25</v>
      </c>
      <c r="K797" s="2" t="s">
        <v>17</v>
      </c>
      <c r="L797" s="7">
        <f>Table3[[#This Row],[Revenue]]-Table3[[#This Row],[Ad Spend]]</f>
        <v>-2.3700000000000045</v>
      </c>
      <c r="M797" s="11">
        <v>122.76</v>
      </c>
    </row>
    <row r="798" spans="1:13" ht="15.75" customHeight="1" x14ac:dyDescent="0.3">
      <c r="A798" s="4" t="s">
        <v>309</v>
      </c>
      <c r="B798">
        <f t="shared" si="12"/>
        <v>4</v>
      </c>
      <c r="C798" s="2" t="s">
        <v>32</v>
      </c>
      <c r="D798" s="2" t="s">
        <v>1064</v>
      </c>
      <c r="E798" s="7">
        <v>136.21</v>
      </c>
      <c r="F798" s="2">
        <v>2</v>
      </c>
      <c r="G798" s="7">
        <v>172.24</v>
      </c>
      <c r="H798" s="2" t="s">
        <v>1065</v>
      </c>
      <c r="I798" s="2" t="s">
        <v>29</v>
      </c>
      <c r="J798" s="2" t="s">
        <v>25</v>
      </c>
      <c r="K798" s="2" t="s">
        <v>17</v>
      </c>
      <c r="L798" s="7">
        <f>Table3[[#This Row],[Revenue]]-Table3[[#This Row],[Ad Spend]]</f>
        <v>36.03</v>
      </c>
      <c r="M798" s="11">
        <v>89.28</v>
      </c>
    </row>
    <row r="799" spans="1:13" ht="15.75" customHeight="1" x14ac:dyDescent="0.3">
      <c r="A799" s="4" t="s">
        <v>37</v>
      </c>
      <c r="B799">
        <f t="shared" si="12"/>
        <v>12</v>
      </c>
      <c r="C799" s="2" t="s">
        <v>32</v>
      </c>
      <c r="D799" s="2" t="s">
        <v>1066</v>
      </c>
      <c r="E799" s="7">
        <v>141.04</v>
      </c>
      <c r="F799" s="2">
        <v>4</v>
      </c>
      <c r="G799" s="7">
        <v>417.61</v>
      </c>
      <c r="H799" s="2" t="s">
        <v>284</v>
      </c>
      <c r="I799" s="2" t="s">
        <v>29</v>
      </c>
      <c r="J799" s="2" t="s">
        <v>16</v>
      </c>
      <c r="K799" s="2" t="s">
        <v>17</v>
      </c>
      <c r="L799" s="7">
        <f>Table3[[#This Row],[Revenue]]-Table3[[#This Row],[Ad Spend]]</f>
        <v>276.57000000000005</v>
      </c>
      <c r="M799" s="11">
        <v>132.36000000000001</v>
      </c>
    </row>
    <row r="800" spans="1:13" ht="15.75" customHeight="1" x14ac:dyDescent="0.3">
      <c r="A800" s="4" t="s">
        <v>574</v>
      </c>
      <c r="B800">
        <f t="shared" si="12"/>
        <v>1</v>
      </c>
      <c r="C800" s="2" t="s">
        <v>12</v>
      </c>
      <c r="D800" s="2" t="s">
        <v>473</v>
      </c>
      <c r="E800" s="7">
        <v>88.03</v>
      </c>
      <c r="F800" s="2">
        <v>1</v>
      </c>
      <c r="G800" s="7">
        <v>342.1</v>
      </c>
      <c r="H800" s="2" t="s">
        <v>506</v>
      </c>
      <c r="I800" s="2" t="s">
        <v>29</v>
      </c>
      <c r="J800" s="2" t="s">
        <v>30</v>
      </c>
      <c r="K800" s="2" t="s">
        <v>17</v>
      </c>
      <c r="L800" s="7">
        <f>Table3[[#This Row],[Revenue]]-Table3[[#This Row],[Ad Spend]]</f>
        <v>254.07000000000002</v>
      </c>
      <c r="M800" s="11">
        <v>156.38999999999999</v>
      </c>
    </row>
    <row r="801" spans="1:13" ht="15.75" customHeight="1" x14ac:dyDescent="0.3">
      <c r="A801" s="4" t="s">
        <v>360</v>
      </c>
      <c r="B801">
        <f t="shared" si="12"/>
        <v>1</v>
      </c>
      <c r="C801" s="2" t="s">
        <v>12</v>
      </c>
      <c r="D801" s="2" t="s">
        <v>278</v>
      </c>
      <c r="E801" s="7">
        <v>16.690000000000001</v>
      </c>
      <c r="F801" s="2">
        <v>7</v>
      </c>
      <c r="G801" s="7">
        <v>217.98</v>
      </c>
      <c r="H801" s="2" t="s">
        <v>104</v>
      </c>
      <c r="I801" s="2" t="s">
        <v>29</v>
      </c>
      <c r="J801" s="2" t="s">
        <v>87</v>
      </c>
      <c r="K801" s="2" t="s">
        <v>17</v>
      </c>
      <c r="L801" s="7">
        <f>Table3[[#This Row],[Revenue]]-Table3[[#This Row],[Ad Spend]]</f>
        <v>201.29</v>
      </c>
      <c r="M801" s="11">
        <v>116.61</v>
      </c>
    </row>
    <row r="802" spans="1:13" ht="15.75" customHeight="1" x14ac:dyDescent="0.3">
      <c r="A802" s="4" t="s">
        <v>271</v>
      </c>
      <c r="B802">
        <f t="shared" si="12"/>
        <v>1</v>
      </c>
      <c r="C802" s="2" t="s">
        <v>32</v>
      </c>
      <c r="D802" s="2" t="s">
        <v>1067</v>
      </c>
      <c r="E802" s="7">
        <v>137.57</v>
      </c>
      <c r="F802" s="2">
        <v>4</v>
      </c>
      <c r="G802" s="7">
        <v>307.60000000000002</v>
      </c>
      <c r="H802" s="2" t="s">
        <v>286</v>
      </c>
      <c r="I802" s="2" t="s">
        <v>35</v>
      </c>
      <c r="J802" s="2" t="s">
        <v>30</v>
      </c>
      <c r="K802" s="2" t="s">
        <v>17</v>
      </c>
      <c r="L802" s="7">
        <f>Table3[[#This Row],[Revenue]]-Table3[[#This Row],[Ad Spend]]</f>
        <v>170.03000000000003</v>
      </c>
      <c r="M802" s="11">
        <v>118.47</v>
      </c>
    </row>
    <row r="803" spans="1:13" ht="15.75" customHeight="1" x14ac:dyDescent="0.3">
      <c r="A803" s="4" t="s">
        <v>88</v>
      </c>
      <c r="B803">
        <f t="shared" si="12"/>
        <v>11</v>
      </c>
      <c r="C803" s="2" t="s">
        <v>19</v>
      </c>
      <c r="D803" s="2" t="s">
        <v>825</v>
      </c>
      <c r="E803" s="7">
        <v>72.290000000000006</v>
      </c>
      <c r="F803" s="2">
        <v>1</v>
      </c>
      <c r="G803" s="7">
        <v>20.98</v>
      </c>
      <c r="H803" s="2" t="s">
        <v>201</v>
      </c>
      <c r="I803" s="2" t="s">
        <v>29</v>
      </c>
      <c r="J803" s="2" t="s">
        <v>87</v>
      </c>
      <c r="K803" s="2" t="s">
        <v>17</v>
      </c>
      <c r="L803" s="7">
        <f>Table3[[#This Row],[Revenue]]-Table3[[#This Row],[Ad Spend]]</f>
        <v>-51.31</v>
      </c>
      <c r="M803" s="11">
        <v>113.55</v>
      </c>
    </row>
    <row r="804" spans="1:13" ht="15.75" customHeight="1" x14ac:dyDescent="0.3">
      <c r="A804" s="4" t="s">
        <v>283</v>
      </c>
      <c r="B804">
        <f t="shared" si="12"/>
        <v>11</v>
      </c>
      <c r="C804" s="2" t="s">
        <v>12</v>
      </c>
      <c r="D804" s="2" t="s">
        <v>1068</v>
      </c>
      <c r="E804" s="7">
        <v>35</v>
      </c>
      <c r="F804" s="2">
        <v>3</v>
      </c>
      <c r="G804" s="7">
        <v>422.28</v>
      </c>
      <c r="H804" s="2" t="s">
        <v>876</v>
      </c>
      <c r="I804" s="2" t="s">
        <v>35</v>
      </c>
      <c r="J804" s="2" t="s">
        <v>16</v>
      </c>
      <c r="K804" s="2" t="s">
        <v>17</v>
      </c>
      <c r="L804" s="7">
        <f>Table3[[#This Row],[Revenue]]-Table3[[#This Row],[Ad Spend]]</f>
        <v>387.28</v>
      </c>
      <c r="M804" s="11">
        <v>124.92</v>
      </c>
    </row>
    <row r="805" spans="1:13" ht="15.75" customHeight="1" x14ac:dyDescent="0.3">
      <c r="A805" s="4" t="s">
        <v>84</v>
      </c>
      <c r="B805">
        <f t="shared" si="12"/>
        <v>10</v>
      </c>
      <c r="C805" s="2" t="s">
        <v>32</v>
      </c>
      <c r="D805" s="2" t="s">
        <v>1069</v>
      </c>
      <c r="E805" s="7">
        <v>49.42</v>
      </c>
      <c r="F805" s="2">
        <v>6</v>
      </c>
      <c r="G805" s="7">
        <v>305.73</v>
      </c>
      <c r="H805" s="2" t="s">
        <v>716</v>
      </c>
      <c r="I805" s="2" t="s">
        <v>29</v>
      </c>
      <c r="J805" s="2" t="s">
        <v>16</v>
      </c>
      <c r="K805" s="2" t="s">
        <v>17</v>
      </c>
      <c r="L805" s="7">
        <f>Table3[[#This Row],[Revenue]]-Table3[[#This Row],[Ad Spend]]</f>
        <v>256.31</v>
      </c>
      <c r="M805" s="11">
        <v>175.8</v>
      </c>
    </row>
    <row r="806" spans="1:13" ht="15.75" customHeight="1" x14ac:dyDescent="0.3">
      <c r="A806" s="4" t="s">
        <v>1061</v>
      </c>
      <c r="B806">
        <f t="shared" si="12"/>
        <v>4</v>
      </c>
      <c r="C806" s="2" t="s">
        <v>12</v>
      </c>
      <c r="D806" s="2" t="s">
        <v>165</v>
      </c>
      <c r="E806" s="7">
        <v>85.46</v>
      </c>
      <c r="F806" s="2">
        <v>5</v>
      </c>
      <c r="G806" s="7">
        <v>244.06</v>
      </c>
      <c r="H806" s="2" t="s">
        <v>166</v>
      </c>
      <c r="I806" s="2" t="s">
        <v>35</v>
      </c>
      <c r="J806" s="2" t="s">
        <v>53</v>
      </c>
      <c r="K806" s="2" t="s">
        <v>17</v>
      </c>
      <c r="L806" s="7">
        <f>Table3[[#This Row],[Revenue]]-Table3[[#This Row],[Ad Spend]]</f>
        <v>158.60000000000002</v>
      </c>
      <c r="M806" s="11">
        <v>133.58000000000001</v>
      </c>
    </row>
    <row r="807" spans="1:13" ht="15.75" customHeight="1" x14ac:dyDescent="0.3">
      <c r="A807" s="4" t="s">
        <v>117</v>
      </c>
      <c r="B807">
        <f t="shared" si="12"/>
        <v>3</v>
      </c>
      <c r="C807" s="2" t="s">
        <v>12</v>
      </c>
      <c r="D807" s="2" t="s">
        <v>173</v>
      </c>
      <c r="E807" s="7">
        <v>135.77000000000001</v>
      </c>
      <c r="F807" s="2">
        <v>0</v>
      </c>
      <c r="G807" s="7">
        <v>486.33</v>
      </c>
      <c r="H807" s="2" t="s">
        <v>301</v>
      </c>
      <c r="I807" s="2" t="s">
        <v>29</v>
      </c>
      <c r="J807" s="2" t="s">
        <v>53</v>
      </c>
      <c r="K807" s="2" t="s">
        <v>46</v>
      </c>
      <c r="L807" s="7">
        <f>Table3[[#This Row],[Revenue]]-Table3[[#This Row],[Ad Spend]]</f>
        <v>350.55999999999995</v>
      </c>
      <c r="M807" s="11">
        <v>147.36000000000001</v>
      </c>
    </row>
    <row r="808" spans="1:13" ht="15.75" customHeight="1" x14ac:dyDescent="0.3">
      <c r="A808" s="4" t="s">
        <v>105</v>
      </c>
      <c r="B808">
        <f t="shared" si="12"/>
        <v>1</v>
      </c>
      <c r="C808" s="2" t="s">
        <v>12</v>
      </c>
      <c r="D808" s="2" t="s">
        <v>588</v>
      </c>
      <c r="E808" s="7">
        <v>134.51</v>
      </c>
      <c r="F808" s="2">
        <v>2</v>
      </c>
      <c r="G808" s="7">
        <v>325.39</v>
      </c>
      <c r="H808" s="2" t="s">
        <v>956</v>
      </c>
      <c r="I808" s="2" t="s">
        <v>29</v>
      </c>
      <c r="J808" s="2" t="s">
        <v>30</v>
      </c>
      <c r="K808" s="2" t="s">
        <v>17</v>
      </c>
      <c r="L808" s="7">
        <f>Table3[[#This Row],[Revenue]]-Table3[[#This Row],[Ad Spend]]</f>
        <v>190.88</v>
      </c>
      <c r="M808" s="11">
        <v>102.13</v>
      </c>
    </row>
    <row r="809" spans="1:13" ht="15.75" customHeight="1" x14ac:dyDescent="0.3">
      <c r="A809" s="4" t="s">
        <v>250</v>
      </c>
      <c r="B809">
        <f t="shared" si="12"/>
        <v>12</v>
      </c>
      <c r="C809" s="2" t="s">
        <v>12</v>
      </c>
      <c r="D809" s="2" t="s">
        <v>1070</v>
      </c>
      <c r="E809" s="7">
        <v>136.93</v>
      </c>
      <c r="F809" s="2">
        <v>4</v>
      </c>
      <c r="G809" s="7">
        <v>83.18</v>
      </c>
      <c r="H809" s="2" t="s">
        <v>286</v>
      </c>
      <c r="I809" s="2" t="s">
        <v>35</v>
      </c>
      <c r="J809" s="2" t="s">
        <v>30</v>
      </c>
      <c r="K809" s="2" t="s">
        <v>17</v>
      </c>
      <c r="L809" s="7">
        <f>Table3[[#This Row],[Revenue]]-Table3[[#This Row],[Ad Spend]]</f>
        <v>-53.75</v>
      </c>
      <c r="M809" s="11">
        <v>114.52</v>
      </c>
    </row>
    <row r="810" spans="1:13" ht="15.75" customHeight="1" x14ac:dyDescent="0.3">
      <c r="A810" s="4" t="s">
        <v>918</v>
      </c>
      <c r="B810">
        <f t="shared" si="12"/>
        <v>2</v>
      </c>
      <c r="C810" s="2" t="s">
        <v>19</v>
      </c>
      <c r="D810" s="2" t="s">
        <v>594</v>
      </c>
      <c r="E810" s="7">
        <v>69.75</v>
      </c>
      <c r="F810" s="2">
        <v>6</v>
      </c>
      <c r="G810" s="7">
        <v>273.37</v>
      </c>
      <c r="H810" s="2" t="s">
        <v>749</v>
      </c>
      <c r="I810" s="2" t="s">
        <v>35</v>
      </c>
      <c r="J810" s="2" t="s">
        <v>30</v>
      </c>
      <c r="K810" s="2" t="s">
        <v>17</v>
      </c>
      <c r="L810" s="7">
        <f>Table3[[#This Row],[Revenue]]-Table3[[#This Row],[Ad Spend]]</f>
        <v>203.62</v>
      </c>
      <c r="M810" s="11">
        <v>137.61000000000001</v>
      </c>
    </row>
    <row r="811" spans="1:13" ht="15.75" customHeight="1" x14ac:dyDescent="0.3">
      <c r="A811" s="4" t="s">
        <v>184</v>
      </c>
      <c r="B811">
        <f t="shared" si="12"/>
        <v>3</v>
      </c>
      <c r="C811" s="2" t="s">
        <v>12</v>
      </c>
      <c r="D811" s="2" t="s">
        <v>288</v>
      </c>
      <c r="E811" s="7">
        <v>86.55</v>
      </c>
      <c r="F811" s="2">
        <v>7</v>
      </c>
      <c r="G811" s="7">
        <v>33.93</v>
      </c>
      <c r="H811" s="2" t="s">
        <v>328</v>
      </c>
      <c r="I811" s="2" t="s">
        <v>35</v>
      </c>
      <c r="J811" s="2" t="s">
        <v>30</v>
      </c>
      <c r="K811" s="2" t="s">
        <v>17</v>
      </c>
      <c r="L811" s="7">
        <f>Table3[[#This Row],[Revenue]]-Table3[[#This Row],[Ad Spend]]</f>
        <v>-52.62</v>
      </c>
      <c r="M811" s="11">
        <v>133.16</v>
      </c>
    </row>
    <row r="812" spans="1:13" ht="15.75" customHeight="1" x14ac:dyDescent="0.3">
      <c r="A812" s="4" t="s">
        <v>56</v>
      </c>
      <c r="B812">
        <f t="shared" si="12"/>
        <v>12</v>
      </c>
      <c r="C812" s="2" t="s">
        <v>32</v>
      </c>
      <c r="D812" s="2" t="s">
        <v>190</v>
      </c>
      <c r="E812" s="7">
        <v>45.57</v>
      </c>
      <c r="F812" s="2">
        <v>5</v>
      </c>
      <c r="G812" s="7">
        <v>297.88</v>
      </c>
      <c r="H812" s="2" t="s">
        <v>24</v>
      </c>
      <c r="I812" s="2" t="s">
        <v>15</v>
      </c>
      <c r="J812" s="2" t="s">
        <v>53</v>
      </c>
      <c r="K812" s="2" t="s">
        <v>17</v>
      </c>
      <c r="L812" s="7">
        <f>Table3[[#This Row],[Revenue]]-Table3[[#This Row],[Ad Spend]]</f>
        <v>252.31</v>
      </c>
      <c r="M812" s="11">
        <v>145.30000000000001</v>
      </c>
    </row>
    <row r="813" spans="1:13" ht="15.75" customHeight="1" x14ac:dyDescent="0.3">
      <c r="A813" s="4" t="s">
        <v>309</v>
      </c>
      <c r="B813">
        <f t="shared" si="12"/>
        <v>4</v>
      </c>
      <c r="C813" s="2" t="s">
        <v>32</v>
      </c>
      <c r="D813" s="2" t="s">
        <v>1071</v>
      </c>
      <c r="E813" s="7">
        <v>116.17</v>
      </c>
      <c r="F813" s="2">
        <v>8</v>
      </c>
      <c r="G813" s="7">
        <v>127.33</v>
      </c>
      <c r="H813" s="2" t="s">
        <v>1072</v>
      </c>
      <c r="I813" s="2" t="s">
        <v>35</v>
      </c>
      <c r="J813" s="2" t="s">
        <v>30</v>
      </c>
      <c r="K813" s="2" t="s">
        <v>17</v>
      </c>
      <c r="L813" s="7">
        <f>Table3[[#This Row],[Revenue]]-Table3[[#This Row],[Ad Spend]]</f>
        <v>11.159999999999997</v>
      </c>
      <c r="M813" s="11">
        <v>76.38</v>
      </c>
    </row>
    <row r="814" spans="1:13" ht="15.75" customHeight="1" x14ac:dyDescent="0.3">
      <c r="A814" s="4" t="s">
        <v>433</v>
      </c>
      <c r="B814">
        <f t="shared" si="12"/>
        <v>1</v>
      </c>
      <c r="C814" s="2" t="s">
        <v>63</v>
      </c>
      <c r="D814" s="2" t="s">
        <v>265</v>
      </c>
      <c r="E814" s="7">
        <v>69.709999999999994</v>
      </c>
      <c r="F814" s="2">
        <v>0</v>
      </c>
      <c r="G814" s="7">
        <v>112.96</v>
      </c>
      <c r="H814" s="2" t="s">
        <v>1073</v>
      </c>
      <c r="I814" s="2" t="s">
        <v>29</v>
      </c>
      <c r="J814" s="2" t="s">
        <v>87</v>
      </c>
      <c r="K814" s="2" t="s">
        <v>46</v>
      </c>
      <c r="L814" s="7">
        <f>Table3[[#This Row],[Revenue]]-Table3[[#This Row],[Ad Spend]]</f>
        <v>43.25</v>
      </c>
      <c r="M814" s="11">
        <v>135.25</v>
      </c>
    </row>
    <row r="815" spans="1:13" ht="15.75" customHeight="1" x14ac:dyDescent="0.3">
      <c r="A815" s="4" t="s">
        <v>376</v>
      </c>
      <c r="B815">
        <f t="shared" si="12"/>
        <v>4</v>
      </c>
      <c r="C815" s="2" t="s">
        <v>19</v>
      </c>
      <c r="D815" s="2" t="s">
        <v>865</v>
      </c>
      <c r="E815" s="7">
        <v>16.12</v>
      </c>
      <c r="F815" s="2">
        <v>4</v>
      </c>
      <c r="G815" s="7">
        <v>92.09</v>
      </c>
      <c r="H815" s="2" t="s">
        <v>364</v>
      </c>
      <c r="I815" s="2" t="s">
        <v>29</v>
      </c>
      <c r="J815" s="2" t="s">
        <v>30</v>
      </c>
      <c r="K815" s="2" t="s">
        <v>17</v>
      </c>
      <c r="L815" s="7">
        <f>Table3[[#This Row],[Revenue]]-Table3[[#This Row],[Ad Spend]]</f>
        <v>75.97</v>
      </c>
      <c r="M815" s="11">
        <v>134.5</v>
      </c>
    </row>
    <row r="816" spans="1:13" ht="15.75" customHeight="1" x14ac:dyDescent="0.3">
      <c r="A816" s="4" t="s">
        <v>241</v>
      </c>
      <c r="B816">
        <f t="shared" si="12"/>
        <v>12</v>
      </c>
      <c r="C816" s="2" t="s">
        <v>32</v>
      </c>
      <c r="D816" s="2" t="s">
        <v>1074</v>
      </c>
      <c r="E816" s="7">
        <v>137.47</v>
      </c>
      <c r="F816" s="2">
        <v>7</v>
      </c>
      <c r="G816" s="7">
        <v>83.31</v>
      </c>
      <c r="H816" s="2" t="s">
        <v>705</v>
      </c>
      <c r="I816" s="2" t="s">
        <v>29</v>
      </c>
      <c r="J816" s="2" t="s">
        <v>30</v>
      </c>
      <c r="K816" s="2" t="s">
        <v>17</v>
      </c>
      <c r="L816" s="7">
        <f>Table3[[#This Row],[Revenue]]-Table3[[#This Row],[Ad Spend]]</f>
        <v>-54.16</v>
      </c>
      <c r="M816" s="11">
        <v>132.22</v>
      </c>
    </row>
    <row r="817" spans="1:13" ht="15.75" customHeight="1" x14ac:dyDescent="0.3">
      <c r="A817" s="4" t="s">
        <v>131</v>
      </c>
      <c r="B817">
        <f t="shared" si="12"/>
        <v>11</v>
      </c>
      <c r="C817" s="2" t="s">
        <v>12</v>
      </c>
      <c r="D817" s="2" t="s">
        <v>486</v>
      </c>
      <c r="E817" s="7">
        <v>118.61</v>
      </c>
      <c r="F817" s="2">
        <v>5</v>
      </c>
      <c r="G817" s="7">
        <v>435.44</v>
      </c>
      <c r="H817" s="2" t="s">
        <v>1073</v>
      </c>
      <c r="I817" s="2" t="s">
        <v>29</v>
      </c>
      <c r="J817" s="2" t="s">
        <v>16</v>
      </c>
      <c r="K817" s="2" t="s">
        <v>17</v>
      </c>
      <c r="L817" s="7">
        <f>Table3[[#This Row],[Revenue]]-Table3[[#This Row],[Ad Spend]]</f>
        <v>316.83</v>
      </c>
      <c r="M817" s="11">
        <v>134.71</v>
      </c>
    </row>
    <row r="818" spans="1:13" ht="15.75" customHeight="1" x14ac:dyDescent="0.3">
      <c r="A818" s="4" t="s">
        <v>785</v>
      </c>
      <c r="B818">
        <f t="shared" si="12"/>
        <v>1</v>
      </c>
      <c r="C818" s="2" t="s">
        <v>32</v>
      </c>
      <c r="D818" s="2" t="s">
        <v>878</v>
      </c>
      <c r="E818" s="7">
        <v>32.68</v>
      </c>
      <c r="F818" s="2">
        <v>7</v>
      </c>
      <c r="G818" s="7">
        <v>63.41</v>
      </c>
      <c r="H818" s="2" t="s">
        <v>1075</v>
      </c>
      <c r="I818" s="2" t="s">
        <v>15</v>
      </c>
      <c r="J818" s="2" t="s">
        <v>25</v>
      </c>
      <c r="K818" s="2" t="s">
        <v>17</v>
      </c>
      <c r="L818" s="7">
        <f>Table3[[#This Row],[Revenue]]-Table3[[#This Row],[Ad Spend]]</f>
        <v>30.729999999999997</v>
      </c>
      <c r="M818" s="11">
        <v>48.47</v>
      </c>
    </row>
    <row r="819" spans="1:13" ht="15.75" customHeight="1" x14ac:dyDescent="0.3">
      <c r="A819" s="4" t="s">
        <v>421</v>
      </c>
      <c r="B819">
        <f t="shared" si="12"/>
        <v>11</v>
      </c>
      <c r="C819" s="2" t="s">
        <v>12</v>
      </c>
      <c r="D819" s="2" t="s">
        <v>1076</v>
      </c>
      <c r="E819" s="7">
        <v>64.819999999999993</v>
      </c>
      <c r="F819" s="2">
        <v>3</v>
      </c>
      <c r="G819" s="7">
        <v>488.8</v>
      </c>
      <c r="H819" s="2" t="s">
        <v>811</v>
      </c>
      <c r="I819" s="2" t="s">
        <v>35</v>
      </c>
      <c r="J819" s="2" t="s">
        <v>53</v>
      </c>
      <c r="K819" s="2" t="s">
        <v>17</v>
      </c>
      <c r="L819" s="7">
        <f>Table3[[#This Row],[Revenue]]-Table3[[#This Row],[Ad Spend]]</f>
        <v>423.98</v>
      </c>
      <c r="M819" s="11">
        <v>142.74</v>
      </c>
    </row>
    <row r="820" spans="1:13" ht="15.75" customHeight="1" x14ac:dyDescent="0.3">
      <c r="A820" s="4" t="s">
        <v>676</v>
      </c>
      <c r="B820">
        <f t="shared" si="12"/>
        <v>4</v>
      </c>
      <c r="C820" s="2" t="s">
        <v>12</v>
      </c>
      <c r="D820" s="2" t="s">
        <v>1076</v>
      </c>
      <c r="E820" s="7">
        <v>71.78</v>
      </c>
      <c r="F820" s="2">
        <v>5</v>
      </c>
      <c r="G820" s="7">
        <v>288.61</v>
      </c>
      <c r="H820" s="2" t="s">
        <v>395</v>
      </c>
      <c r="I820" s="2" t="s">
        <v>15</v>
      </c>
      <c r="J820" s="2" t="s">
        <v>30</v>
      </c>
      <c r="K820" s="2" t="s">
        <v>17</v>
      </c>
      <c r="L820" s="7">
        <f>Table3[[#This Row],[Revenue]]-Table3[[#This Row],[Ad Spend]]</f>
        <v>216.83</v>
      </c>
      <c r="M820" s="11">
        <v>147.46</v>
      </c>
    </row>
    <row r="821" spans="1:13" ht="15.75" customHeight="1" x14ac:dyDescent="0.3">
      <c r="A821" s="4" t="s">
        <v>647</v>
      </c>
      <c r="B821">
        <f t="shared" si="12"/>
        <v>11</v>
      </c>
      <c r="C821" s="2" t="s">
        <v>32</v>
      </c>
      <c r="D821" s="2" t="s">
        <v>358</v>
      </c>
      <c r="E821" s="7">
        <v>44</v>
      </c>
      <c r="F821" s="2">
        <v>9</v>
      </c>
      <c r="G821" s="7">
        <v>414.63</v>
      </c>
      <c r="H821" s="2" t="s">
        <v>286</v>
      </c>
      <c r="I821" s="2" t="s">
        <v>29</v>
      </c>
      <c r="J821" s="2" t="s">
        <v>16</v>
      </c>
      <c r="K821" s="2" t="s">
        <v>17</v>
      </c>
      <c r="L821" s="7">
        <f>Table3[[#This Row],[Revenue]]-Table3[[#This Row],[Ad Spend]]</f>
        <v>370.63</v>
      </c>
      <c r="M821" s="11">
        <v>118.36</v>
      </c>
    </row>
    <row r="822" spans="1:13" ht="15.75" customHeight="1" x14ac:dyDescent="0.3">
      <c r="A822" s="4" t="s">
        <v>392</v>
      </c>
      <c r="B822">
        <f t="shared" si="12"/>
        <v>1</v>
      </c>
      <c r="C822" s="2" t="s">
        <v>63</v>
      </c>
      <c r="D822" s="2" t="s">
        <v>572</v>
      </c>
      <c r="E822" s="7">
        <v>21.94</v>
      </c>
      <c r="F822" s="2">
        <v>8</v>
      </c>
      <c r="G822" s="7">
        <v>360.16</v>
      </c>
      <c r="H822" s="2" t="s">
        <v>267</v>
      </c>
      <c r="I822" s="2" t="s">
        <v>35</v>
      </c>
      <c r="J822" s="2" t="s">
        <v>87</v>
      </c>
      <c r="K822" s="2" t="s">
        <v>17</v>
      </c>
      <c r="L822" s="7">
        <f>Table3[[#This Row],[Revenue]]-Table3[[#This Row],[Ad Spend]]</f>
        <v>338.22</v>
      </c>
      <c r="M822" s="11">
        <v>115.58</v>
      </c>
    </row>
    <row r="823" spans="1:13" ht="15.75" customHeight="1" x14ac:dyDescent="0.3">
      <c r="A823" s="4" t="s">
        <v>623</v>
      </c>
      <c r="B823">
        <f t="shared" si="12"/>
        <v>1</v>
      </c>
      <c r="C823" s="2" t="s">
        <v>19</v>
      </c>
      <c r="D823" s="2" t="s">
        <v>1077</v>
      </c>
      <c r="E823" s="7">
        <v>89</v>
      </c>
      <c r="F823" s="2">
        <v>1</v>
      </c>
      <c r="G823" s="7">
        <v>181.02</v>
      </c>
      <c r="H823" s="2" t="s">
        <v>781</v>
      </c>
      <c r="I823" s="2" t="s">
        <v>35</v>
      </c>
      <c r="J823" s="2" t="s">
        <v>30</v>
      </c>
      <c r="K823" s="2" t="s">
        <v>17</v>
      </c>
      <c r="L823" s="7">
        <f>Table3[[#This Row],[Revenue]]-Table3[[#This Row],[Ad Spend]]</f>
        <v>92.02000000000001</v>
      </c>
      <c r="M823" s="11">
        <v>109.3</v>
      </c>
    </row>
    <row r="824" spans="1:13" ht="15.75" customHeight="1" x14ac:dyDescent="0.3">
      <c r="A824" s="4" t="s">
        <v>1061</v>
      </c>
      <c r="B824">
        <f t="shared" si="12"/>
        <v>4</v>
      </c>
      <c r="C824" s="2" t="s">
        <v>63</v>
      </c>
      <c r="D824" s="2" t="s">
        <v>1078</v>
      </c>
      <c r="E824" s="7">
        <v>52.17</v>
      </c>
      <c r="F824" s="2">
        <v>2</v>
      </c>
      <c r="G824" s="7">
        <v>284.85000000000002</v>
      </c>
      <c r="H824" s="2" t="s">
        <v>876</v>
      </c>
      <c r="I824" s="2" t="s">
        <v>15</v>
      </c>
      <c r="J824" s="2" t="s">
        <v>25</v>
      </c>
      <c r="K824" s="2" t="s">
        <v>17</v>
      </c>
      <c r="L824" s="7">
        <f>Table3[[#This Row],[Revenue]]-Table3[[#This Row],[Ad Spend]]</f>
        <v>232.68</v>
      </c>
      <c r="M824" s="11">
        <v>127.78</v>
      </c>
    </row>
    <row r="825" spans="1:13" ht="15.75" customHeight="1" x14ac:dyDescent="0.3">
      <c r="A825" s="4" t="s">
        <v>129</v>
      </c>
      <c r="B825">
        <f t="shared" si="12"/>
        <v>1</v>
      </c>
      <c r="C825" s="2" t="s">
        <v>19</v>
      </c>
      <c r="D825" s="2" t="s">
        <v>486</v>
      </c>
      <c r="E825" s="7">
        <v>91.46</v>
      </c>
      <c r="F825" s="2">
        <v>6</v>
      </c>
      <c r="G825" s="7">
        <v>410.83</v>
      </c>
      <c r="H825" s="2" t="s">
        <v>349</v>
      </c>
      <c r="I825" s="2" t="s">
        <v>35</v>
      </c>
      <c r="J825" s="2" t="s">
        <v>30</v>
      </c>
      <c r="K825" s="2" t="s">
        <v>17</v>
      </c>
      <c r="L825" s="7">
        <f>Table3[[#This Row],[Revenue]]-Table3[[#This Row],[Ad Spend]]</f>
        <v>319.37</v>
      </c>
      <c r="M825" s="11">
        <v>188.13</v>
      </c>
    </row>
    <row r="826" spans="1:13" ht="15.75" customHeight="1" x14ac:dyDescent="0.3">
      <c r="A826" s="4" t="s">
        <v>834</v>
      </c>
      <c r="B826">
        <f t="shared" si="12"/>
        <v>11</v>
      </c>
      <c r="C826" s="2" t="s">
        <v>63</v>
      </c>
      <c r="D826" s="2" t="s">
        <v>525</v>
      </c>
      <c r="E826" s="7">
        <v>133.41999999999999</v>
      </c>
      <c r="F826" s="2">
        <v>7</v>
      </c>
      <c r="G826" s="7">
        <v>201.62</v>
      </c>
      <c r="H826" s="2" t="s">
        <v>225</v>
      </c>
      <c r="I826" s="2" t="s">
        <v>29</v>
      </c>
      <c r="J826" s="2" t="s">
        <v>25</v>
      </c>
      <c r="K826" s="2" t="s">
        <v>17</v>
      </c>
      <c r="L826" s="7">
        <f>Table3[[#This Row],[Revenue]]-Table3[[#This Row],[Ad Spend]]</f>
        <v>68.200000000000017</v>
      </c>
      <c r="M826" s="11">
        <v>116</v>
      </c>
    </row>
    <row r="827" spans="1:13" ht="15.75" customHeight="1" x14ac:dyDescent="0.3">
      <c r="A827" s="4" t="s">
        <v>755</v>
      </c>
      <c r="B827">
        <f t="shared" si="12"/>
        <v>2</v>
      </c>
      <c r="C827" s="2" t="s">
        <v>12</v>
      </c>
      <c r="D827" s="2" t="s">
        <v>602</v>
      </c>
      <c r="E827" s="7">
        <v>85.48</v>
      </c>
      <c r="F827" s="2">
        <v>2</v>
      </c>
      <c r="G827" s="7">
        <v>125.57</v>
      </c>
      <c r="H827" s="2" t="s">
        <v>558</v>
      </c>
      <c r="I827" s="2" t="s">
        <v>15</v>
      </c>
      <c r="J827" s="2" t="s">
        <v>36</v>
      </c>
      <c r="K827" s="2" t="s">
        <v>17</v>
      </c>
      <c r="L827" s="7">
        <f>Table3[[#This Row],[Revenue]]-Table3[[#This Row],[Ad Spend]]</f>
        <v>40.089999999999989</v>
      </c>
      <c r="M827" s="11">
        <v>125.42</v>
      </c>
    </row>
    <row r="828" spans="1:13" ht="15.75" customHeight="1" x14ac:dyDescent="0.3">
      <c r="A828" s="4" t="s">
        <v>148</v>
      </c>
      <c r="B828">
        <f t="shared" si="12"/>
        <v>4</v>
      </c>
      <c r="C828" s="2" t="s">
        <v>12</v>
      </c>
      <c r="D828" s="2" t="s">
        <v>1079</v>
      </c>
      <c r="E828" s="7">
        <v>107.67</v>
      </c>
      <c r="F828" s="2">
        <v>1</v>
      </c>
      <c r="G828" s="7">
        <v>336.37</v>
      </c>
      <c r="H828" s="2" t="s">
        <v>112</v>
      </c>
      <c r="I828" s="2" t="s">
        <v>29</v>
      </c>
      <c r="J828" s="2" t="s">
        <v>25</v>
      </c>
      <c r="K828" s="2" t="s">
        <v>17</v>
      </c>
      <c r="L828" s="7">
        <f>Table3[[#This Row],[Revenue]]-Table3[[#This Row],[Ad Spend]]</f>
        <v>228.7</v>
      </c>
      <c r="M828" s="11">
        <v>114.5</v>
      </c>
    </row>
    <row r="829" spans="1:13" ht="15.75" customHeight="1" x14ac:dyDescent="0.3">
      <c r="A829" s="4" t="s">
        <v>472</v>
      </c>
      <c r="B829">
        <f t="shared" si="12"/>
        <v>4</v>
      </c>
      <c r="C829" s="2" t="s">
        <v>32</v>
      </c>
      <c r="D829" s="2" t="s">
        <v>641</v>
      </c>
      <c r="E829" s="7">
        <v>81.709999999999994</v>
      </c>
      <c r="F829" s="2">
        <v>9</v>
      </c>
      <c r="G829" s="7">
        <v>79.66</v>
      </c>
      <c r="H829" s="2" t="s">
        <v>389</v>
      </c>
      <c r="I829" s="2" t="s">
        <v>35</v>
      </c>
      <c r="J829" s="2" t="s">
        <v>87</v>
      </c>
      <c r="K829" s="2" t="s">
        <v>17</v>
      </c>
      <c r="L829" s="7">
        <f>Table3[[#This Row],[Revenue]]-Table3[[#This Row],[Ad Spend]]</f>
        <v>-2.0499999999999972</v>
      </c>
      <c r="M829" s="11">
        <v>112.86</v>
      </c>
    </row>
    <row r="830" spans="1:13" ht="15.75" customHeight="1" x14ac:dyDescent="0.3">
      <c r="A830" s="4" t="s">
        <v>131</v>
      </c>
      <c r="B830">
        <f t="shared" si="12"/>
        <v>11</v>
      </c>
      <c r="C830" s="2" t="s">
        <v>12</v>
      </c>
      <c r="D830" s="2" t="s">
        <v>1010</v>
      </c>
      <c r="E830" s="7">
        <v>18.57</v>
      </c>
      <c r="F830" s="2">
        <v>5</v>
      </c>
      <c r="G830" s="7">
        <v>400.45</v>
      </c>
      <c r="H830" s="2" t="s">
        <v>907</v>
      </c>
      <c r="I830" s="2" t="s">
        <v>35</v>
      </c>
      <c r="J830" s="2" t="s">
        <v>25</v>
      </c>
      <c r="K830" s="2" t="s">
        <v>17</v>
      </c>
      <c r="L830" s="7">
        <f>Table3[[#This Row],[Revenue]]-Table3[[#This Row],[Ad Spend]]</f>
        <v>381.88</v>
      </c>
      <c r="M830" s="11">
        <v>142.09</v>
      </c>
    </row>
    <row r="831" spans="1:13" ht="15.75" customHeight="1" x14ac:dyDescent="0.3">
      <c r="A831" s="4" t="s">
        <v>205</v>
      </c>
      <c r="B831">
        <f t="shared" si="12"/>
        <v>2</v>
      </c>
      <c r="C831" s="2" t="s">
        <v>32</v>
      </c>
      <c r="D831" s="2" t="s">
        <v>564</v>
      </c>
      <c r="E831" s="7">
        <v>109.35</v>
      </c>
      <c r="F831" s="2">
        <v>5</v>
      </c>
      <c r="G831" s="7">
        <v>394.46</v>
      </c>
      <c r="H831" s="2" t="s">
        <v>1080</v>
      </c>
      <c r="I831" s="2" t="s">
        <v>15</v>
      </c>
      <c r="J831" s="2" t="s">
        <v>36</v>
      </c>
      <c r="K831" s="2" t="s">
        <v>17</v>
      </c>
      <c r="L831" s="7">
        <f>Table3[[#This Row],[Revenue]]-Table3[[#This Row],[Ad Spend]]</f>
        <v>285.11</v>
      </c>
      <c r="M831" s="11">
        <v>186.16</v>
      </c>
    </row>
    <row r="832" spans="1:13" ht="15.75" customHeight="1" x14ac:dyDescent="0.3">
      <c r="A832" s="4" t="s">
        <v>360</v>
      </c>
      <c r="B832">
        <f t="shared" si="12"/>
        <v>1</v>
      </c>
      <c r="C832" s="2" t="s">
        <v>12</v>
      </c>
      <c r="D832" s="2" t="s">
        <v>769</v>
      </c>
      <c r="E832" s="7">
        <v>95.69</v>
      </c>
      <c r="F832" s="2">
        <v>3</v>
      </c>
      <c r="G832" s="7">
        <v>34.659999999999997</v>
      </c>
      <c r="H832" s="2" t="s">
        <v>14</v>
      </c>
      <c r="I832" s="2" t="s">
        <v>35</v>
      </c>
      <c r="J832" s="2" t="s">
        <v>30</v>
      </c>
      <c r="K832" s="2" t="s">
        <v>17</v>
      </c>
      <c r="L832" s="7">
        <f>Table3[[#This Row],[Revenue]]-Table3[[#This Row],[Ad Spend]]</f>
        <v>-61.03</v>
      </c>
      <c r="M832" s="11">
        <v>115.67</v>
      </c>
    </row>
    <row r="833" spans="1:13" ht="15.75" customHeight="1" x14ac:dyDescent="0.3">
      <c r="A833" s="4" t="s">
        <v>162</v>
      </c>
      <c r="B833">
        <f t="shared" si="12"/>
        <v>4</v>
      </c>
      <c r="C833" s="2" t="s">
        <v>32</v>
      </c>
      <c r="D833" s="2" t="s">
        <v>1081</v>
      </c>
      <c r="E833" s="7">
        <v>10.83</v>
      </c>
      <c r="F833" s="2">
        <v>9</v>
      </c>
      <c r="G833" s="7">
        <v>373.78</v>
      </c>
      <c r="H833" s="2" t="s">
        <v>987</v>
      </c>
      <c r="I833" s="2" t="s">
        <v>15</v>
      </c>
      <c r="J833" s="2" t="s">
        <v>30</v>
      </c>
      <c r="K833" s="2" t="s">
        <v>17</v>
      </c>
      <c r="L833" s="7">
        <f>Table3[[#This Row],[Revenue]]-Table3[[#This Row],[Ad Spend]]</f>
        <v>362.95</v>
      </c>
      <c r="M833" s="11">
        <v>167.56</v>
      </c>
    </row>
    <row r="834" spans="1:13" ht="15.75" customHeight="1" x14ac:dyDescent="0.3">
      <c r="A834" s="4" t="s">
        <v>360</v>
      </c>
      <c r="B834">
        <f t="shared" si="12"/>
        <v>1</v>
      </c>
      <c r="C834" s="2" t="s">
        <v>12</v>
      </c>
      <c r="D834" s="2" t="s">
        <v>80</v>
      </c>
      <c r="E834" s="7">
        <v>59.43</v>
      </c>
      <c r="F834" s="2">
        <v>1</v>
      </c>
      <c r="G834" s="7">
        <v>210.37</v>
      </c>
      <c r="H834" s="2" t="s">
        <v>372</v>
      </c>
      <c r="I834" s="2" t="s">
        <v>29</v>
      </c>
      <c r="J834" s="2" t="s">
        <v>30</v>
      </c>
      <c r="K834" s="2" t="s">
        <v>17</v>
      </c>
      <c r="L834" s="7">
        <f>Table3[[#This Row],[Revenue]]-Table3[[#This Row],[Ad Spend]]</f>
        <v>150.94</v>
      </c>
      <c r="M834" s="11">
        <v>116.43</v>
      </c>
    </row>
    <row r="835" spans="1:13" ht="15.75" customHeight="1" x14ac:dyDescent="0.3">
      <c r="A835" s="4" t="s">
        <v>351</v>
      </c>
      <c r="B835">
        <f t="shared" ref="B835:B898" si="13">MONTH(A835)</f>
        <v>4</v>
      </c>
      <c r="C835" s="2" t="s">
        <v>63</v>
      </c>
      <c r="D835" s="2" t="s">
        <v>436</v>
      </c>
      <c r="E835" s="7">
        <v>66.760000000000005</v>
      </c>
      <c r="F835" s="2">
        <v>5</v>
      </c>
      <c r="G835" s="7">
        <v>397.2</v>
      </c>
      <c r="H835" s="2" t="s">
        <v>207</v>
      </c>
      <c r="I835" s="2" t="s">
        <v>15</v>
      </c>
      <c r="J835" s="2" t="s">
        <v>30</v>
      </c>
      <c r="K835" s="2" t="s">
        <v>17</v>
      </c>
      <c r="L835" s="7">
        <f>Table3[[#This Row],[Revenue]]-Table3[[#This Row],[Ad Spend]]</f>
        <v>330.44</v>
      </c>
      <c r="M835" s="11">
        <v>172.46</v>
      </c>
    </row>
    <row r="836" spans="1:13" ht="15.75" customHeight="1" x14ac:dyDescent="0.3">
      <c r="A836" s="4" t="s">
        <v>383</v>
      </c>
      <c r="B836">
        <f t="shared" si="13"/>
        <v>12</v>
      </c>
      <c r="C836" s="2" t="s">
        <v>63</v>
      </c>
      <c r="D836" s="2" t="s">
        <v>581</v>
      </c>
      <c r="E836" s="7">
        <v>12.48</v>
      </c>
      <c r="F836" s="2">
        <v>3</v>
      </c>
      <c r="G836" s="7">
        <v>97.87</v>
      </c>
      <c r="H836" s="2" t="s">
        <v>374</v>
      </c>
      <c r="I836" s="2" t="s">
        <v>35</v>
      </c>
      <c r="J836" s="2" t="s">
        <v>87</v>
      </c>
      <c r="K836" s="2" t="s">
        <v>17</v>
      </c>
      <c r="L836" s="7">
        <f>Table3[[#This Row],[Revenue]]-Table3[[#This Row],[Ad Spend]]</f>
        <v>85.39</v>
      </c>
      <c r="M836" s="11">
        <v>128.07</v>
      </c>
    </row>
    <row r="837" spans="1:13" ht="15.75" customHeight="1" x14ac:dyDescent="0.3">
      <c r="A837" s="4" t="s">
        <v>623</v>
      </c>
      <c r="B837">
        <f t="shared" si="13"/>
        <v>1</v>
      </c>
      <c r="C837" s="2" t="s">
        <v>12</v>
      </c>
      <c r="D837" s="2" t="s">
        <v>344</v>
      </c>
      <c r="E837" s="7">
        <v>56.39</v>
      </c>
      <c r="F837" s="2">
        <v>9</v>
      </c>
      <c r="G837" s="7">
        <v>370.07</v>
      </c>
      <c r="H837" s="2" t="s">
        <v>1082</v>
      </c>
      <c r="I837" s="2" t="s">
        <v>35</v>
      </c>
      <c r="J837" s="2" t="s">
        <v>25</v>
      </c>
      <c r="K837" s="2" t="s">
        <v>17</v>
      </c>
      <c r="L837" s="7">
        <f>Table3[[#This Row],[Revenue]]-Table3[[#This Row],[Ad Spend]]</f>
        <v>313.68</v>
      </c>
      <c r="M837" s="11">
        <v>195.56</v>
      </c>
    </row>
    <row r="838" spans="1:13" ht="15.75" customHeight="1" x14ac:dyDescent="0.3">
      <c r="A838" s="4" t="s">
        <v>194</v>
      </c>
      <c r="B838">
        <f t="shared" si="13"/>
        <v>11</v>
      </c>
      <c r="C838" s="2" t="s">
        <v>63</v>
      </c>
      <c r="D838" s="2" t="s">
        <v>1017</v>
      </c>
      <c r="E838" s="7">
        <v>92.69</v>
      </c>
      <c r="F838" s="2">
        <v>5</v>
      </c>
      <c r="G838" s="7">
        <v>84.07</v>
      </c>
      <c r="H838" s="2" t="s">
        <v>827</v>
      </c>
      <c r="I838" s="2" t="s">
        <v>35</v>
      </c>
      <c r="J838" s="2" t="s">
        <v>87</v>
      </c>
      <c r="K838" s="2" t="s">
        <v>17</v>
      </c>
      <c r="L838" s="7">
        <f>Table3[[#This Row],[Revenue]]-Table3[[#This Row],[Ad Spend]]</f>
        <v>-8.6200000000000045</v>
      </c>
      <c r="M838" s="11">
        <v>86.4</v>
      </c>
    </row>
    <row r="839" spans="1:13" ht="15.75" customHeight="1" x14ac:dyDescent="0.3">
      <c r="A839" s="4" t="s">
        <v>247</v>
      </c>
      <c r="B839">
        <f t="shared" si="13"/>
        <v>3</v>
      </c>
      <c r="C839" s="2" t="s">
        <v>32</v>
      </c>
      <c r="D839" s="2" t="s">
        <v>752</v>
      </c>
      <c r="E839" s="7">
        <v>132.38999999999999</v>
      </c>
      <c r="F839" s="2">
        <v>3</v>
      </c>
      <c r="G839" s="7">
        <v>215.81</v>
      </c>
      <c r="H839" s="2" t="s">
        <v>225</v>
      </c>
      <c r="I839" s="2" t="s">
        <v>35</v>
      </c>
      <c r="J839" s="2" t="s">
        <v>25</v>
      </c>
      <c r="K839" s="2" t="s">
        <v>17</v>
      </c>
      <c r="L839" s="7">
        <f>Table3[[#This Row],[Revenue]]-Table3[[#This Row],[Ad Spend]]</f>
        <v>83.420000000000016</v>
      </c>
      <c r="M839" s="11">
        <v>119.67</v>
      </c>
    </row>
    <row r="840" spans="1:13" ht="15.75" customHeight="1" x14ac:dyDescent="0.3">
      <c r="A840" s="4" t="s">
        <v>673</v>
      </c>
      <c r="B840">
        <f t="shared" si="13"/>
        <v>12</v>
      </c>
      <c r="C840" s="2" t="s">
        <v>63</v>
      </c>
      <c r="D840" s="2" t="s">
        <v>1052</v>
      </c>
      <c r="E840" s="7">
        <v>87.61</v>
      </c>
      <c r="F840" s="2">
        <v>10</v>
      </c>
      <c r="G840" s="7">
        <v>271.7</v>
      </c>
      <c r="H840" s="2" t="s">
        <v>498</v>
      </c>
      <c r="I840" s="2" t="s">
        <v>15</v>
      </c>
      <c r="J840" s="2" t="s">
        <v>16</v>
      </c>
      <c r="K840" s="2" t="s">
        <v>17</v>
      </c>
      <c r="L840" s="7">
        <f>Table3[[#This Row],[Revenue]]-Table3[[#This Row],[Ad Spend]]</f>
        <v>184.08999999999997</v>
      </c>
      <c r="M840" s="11">
        <v>102.98</v>
      </c>
    </row>
    <row r="841" spans="1:13" ht="15.75" customHeight="1" x14ac:dyDescent="0.3">
      <c r="A841" s="4" t="s">
        <v>834</v>
      </c>
      <c r="B841">
        <f t="shared" si="13"/>
        <v>11</v>
      </c>
      <c r="C841" s="2" t="s">
        <v>19</v>
      </c>
      <c r="D841" s="2" t="s">
        <v>1083</v>
      </c>
      <c r="E841" s="7">
        <v>61.13</v>
      </c>
      <c r="F841" s="2">
        <v>6</v>
      </c>
      <c r="G841" s="7">
        <v>36.56</v>
      </c>
      <c r="H841" s="2" t="s">
        <v>225</v>
      </c>
      <c r="I841" s="2" t="s">
        <v>15</v>
      </c>
      <c r="J841" s="2" t="s">
        <v>25</v>
      </c>
      <c r="K841" s="2" t="s">
        <v>17</v>
      </c>
      <c r="L841" s="7">
        <f>Table3[[#This Row],[Revenue]]-Table3[[#This Row],[Ad Spend]]</f>
        <v>-24.57</v>
      </c>
      <c r="M841" s="11">
        <v>117.73</v>
      </c>
    </row>
    <row r="842" spans="1:13" ht="15.75" customHeight="1" x14ac:dyDescent="0.3">
      <c r="A842" s="4" t="s">
        <v>643</v>
      </c>
      <c r="B842">
        <f t="shared" si="13"/>
        <v>2</v>
      </c>
      <c r="C842" s="2" t="s">
        <v>12</v>
      </c>
      <c r="D842" s="2" t="s">
        <v>573</v>
      </c>
      <c r="E842" s="7">
        <v>85.92</v>
      </c>
      <c r="F842" s="2">
        <v>3</v>
      </c>
      <c r="G842" s="7">
        <v>326.24</v>
      </c>
      <c r="H842" s="2" t="s">
        <v>1084</v>
      </c>
      <c r="I842" s="2" t="s">
        <v>35</v>
      </c>
      <c r="J842" s="2" t="s">
        <v>25</v>
      </c>
      <c r="K842" s="2" t="s">
        <v>17</v>
      </c>
      <c r="L842" s="7">
        <f>Table3[[#This Row],[Revenue]]-Table3[[#This Row],[Ad Spend]]</f>
        <v>240.32</v>
      </c>
      <c r="M842" s="11">
        <v>88.74</v>
      </c>
    </row>
    <row r="843" spans="1:13" ht="15.75" customHeight="1" x14ac:dyDescent="0.3">
      <c r="A843" s="4" t="s">
        <v>191</v>
      </c>
      <c r="B843">
        <f t="shared" si="13"/>
        <v>11</v>
      </c>
      <c r="C843" s="2" t="s">
        <v>63</v>
      </c>
      <c r="D843" s="2" t="s">
        <v>182</v>
      </c>
      <c r="E843" s="7">
        <v>132.94999999999999</v>
      </c>
      <c r="F843" s="2">
        <v>7</v>
      </c>
      <c r="G843" s="7">
        <v>247.95</v>
      </c>
      <c r="H843" s="2" t="s">
        <v>570</v>
      </c>
      <c r="I843" s="2" t="s">
        <v>35</v>
      </c>
      <c r="J843" s="2" t="s">
        <v>36</v>
      </c>
      <c r="K843" s="2" t="s">
        <v>17</v>
      </c>
      <c r="L843" s="7">
        <f>Table3[[#This Row],[Revenue]]-Table3[[#This Row],[Ad Spend]]</f>
        <v>115</v>
      </c>
      <c r="M843" s="11">
        <v>110.58</v>
      </c>
    </row>
    <row r="844" spans="1:13" ht="15.75" customHeight="1" x14ac:dyDescent="0.3">
      <c r="A844" s="4" t="s">
        <v>84</v>
      </c>
      <c r="B844">
        <f t="shared" si="13"/>
        <v>10</v>
      </c>
      <c r="C844" s="2" t="s">
        <v>12</v>
      </c>
      <c r="D844" s="2" t="s">
        <v>1085</v>
      </c>
      <c r="E844" s="7">
        <v>42.53</v>
      </c>
      <c r="F844" s="2">
        <v>1</v>
      </c>
      <c r="G844" s="7">
        <v>426.55</v>
      </c>
      <c r="H844" s="2" t="s">
        <v>664</v>
      </c>
      <c r="I844" s="2" t="s">
        <v>29</v>
      </c>
      <c r="J844" s="2" t="s">
        <v>25</v>
      </c>
      <c r="K844" s="2" t="s">
        <v>17</v>
      </c>
      <c r="L844" s="7">
        <f>Table3[[#This Row],[Revenue]]-Table3[[#This Row],[Ad Spend]]</f>
        <v>384.02</v>
      </c>
      <c r="M844" s="11">
        <v>162.22</v>
      </c>
    </row>
    <row r="845" spans="1:13" ht="15.75" customHeight="1" x14ac:dyDescent="0.3">
      <c r="A845" s="4" t="s">
        <v>247</v>
      </c>
      <c r="B845">
        <f t="shared" si="13"/>
        <v>3</v>
      </c>
      <c r="C845" s="2" t="s">
        <v>63</v>
      </c>
      <c r="D845" s="2" t="s">
        <v>929</v>
      </c>
      <c r="E845" s="7">
        <v>86.37</v>
      </c>
      <c r="F845" s="2">
        <v>10</v>
      </c>
      <c r="G845" s="7">
        <v>295.98</v>
      </c>
      <c r="H845" s="2" t="s">
        <v>141</v>
      </c>
      <c r="I845" s="2" t="s">
        <v>15</v>
      </c>
      <c r="J845" s="2" t="s">
        <v>25</v>
      </c>
      <c r="K845" s="2" t="s">
        <v>17</v>
      </c>
      <c r="L845" s="7">
        <f>Table3[[#This Row],[Revenue]]-Table3[[#This Row],[Ad Spend]]</f>
        <v>209.61</v>
      </c>
      <c r="M845" s="11">
        <v>141.32</v>
      </c>
    </row>
    <row r="846" spans="1:13" ht="15.75" customHeight="1" x14ac:dyDescent="0.3">
      <c r="A846" s="4" t="s">
        <v>189</v>
      </c>
      <c r="B846">
        <f t="shared" si="13"/>
        <v>2</v>
      </c>
      <c r="C846" s="2" t="s">
        <v>12</v>
      </c>
      <c r="D846" s="2" t="s">
        <v>1086</v>
      </c>
      <c r="E846" s="7">
        <v>125.17</v>
      </c>
      <c r="F846" s="2">
        <v>4</v>
      </c>
      <c r="G846" s="7">
        <v>376.45</v>
      </c>
      <c r="H846" s="2" t="s">
        <v>180</v>
      </c>
      <c r="I846" s="2" t="s">
        <v>29</v>
      </c>
      <c r="J846" s="2" t="s">
        <v>25</v>
      </c>
      <c r="K846" s="2" t="s">
        <v>17</v>
      </c>
      <c r="L846" s="7">
        <f>Table3[[#This Row],[Revenue]]-Table3[[#This Row],[Ad Spend]]</f>
        <v>251.27999999999997</v>
      </c>
      <c r="M846" s="11">
        <v>132.36000000000001</v>
      </c>
    </row>
    <row r="847" spans="1:13" ht="15.75" customHeight="1" x14ac:dyDescent="0.3">
      <c r="A847" s="4" t="s">
        <v>241</v>
      </c>
      <c r="B847">
        <f t="shared" si="13"/>
        <v>12</v>
      </c>
      <c r="C847" s="2" t="s">
        <v>32</v>
      </c>
      <c r="D847" s="2" t="s">
        <v>1087</v>
      </c>
      <c r="E847" s="7">
        <v>99.52</v>
      </c>
      <c r="F847" s="2">
        <v>9</v>
      </c>
      <c r="G847" s="7">
        <v>387.07</v>
      </c>
      <c r="H847" s="2" t="s">
        <v>61</v>
      </c>
      <c r="I847" s="2" t="s">
        <v>15</v>
      </c>
      <c r="J847" s="2" t="s">
        <v>87</v>
      </c>
      <c r="K847" s="2" t="s">
        <v>17</v>
      </c>
      <c r="L847" s="7">
        <f>Table3[[#This Row],[Revenue]]-Table3[[#This Row],[Ad Spend]]</f>
        <v>287.55</v>
      </c>
      <c r="M847" s="11">
        <v>137.5</v>
      </c>
    </row>
    <row r="848" spans="1:13" ht="15.75" customHeight="1" x14ac:dyDescent="0.3">
      <c r="A848" s="4" t="s">
        <v>142</v>
      </c>
      <c r="B848">
        <f t="shared" si="13"/>
        <v>12</v>
      </c>
      <c r="C848" s="2" t="s">
        <v>12</v>
      </c>
      <c r="D848" s="2" t="s">
        <v>675</v>
      </c>
      <c r="E848" s="7">
        <v>30.54</v>
      </c>
      <c r="F848" s="2">
        <v>5</v>
      </c>
      <c r="G848" s="7">
        <v>72.28</v>
      </c>
      <c r="H848" s="2" t="s">
        <v>225</v>
      </c>
      <c r="I848" s="2" t="s">
        <v>29</v>
      </c>
      <c r="J848" s="2" t="s">
        <v>25</v>
      </c>
      <c r="K848" s="2" t="s">
        <v>17</v>
      </c>
      <c r="L848" s="7">
        <f>Table3[[#This Row],[Revenue]]-Table3[[#This Row],[Ad Spend]]</f>
        <v>41.74</v>
      </c>
      <c r="M848" s="11">
        <v>122.01</v>
      </c>
    </row>
    <row r="849" spans="1:13" ht="15.75" customHeight="1" x14ac:dyDescent="0.3">
      <c r="A849" s="4" t="s">
        <v>241</v>
      </c>
      <c r="B849">
        <f t="shared" si="13"/>
        <v>12</v>
      </c>
      <c r="C849" s="2" t="s">
        <v>12</v>
      </c>
      <c r="D849" s="2" t="s">
        <v>1088</v>
      </c>
      <c r="E849" s="7">
        <v>70.650000000000006</v>
      </c>
      <c r="F849" s="2">
        <v>3</v>
      </c>
      <c r="G849" s="7">
        <v>171.9</v>
      </c>
      <c r="H849" s="2" t="s">
        <v>861</v>
      </c>
      <c r="I849" s="2" t="s">
        <v>15</v>
      </c>
      <c r="J849" s="2" t="s">
        <v>36</v>
      </c>
      <c r="K849" s="2" t="s">
        <v>17</v>
      </c>
      <c r="L849" s="7">
        <f>Table3[[#This Row],[Revenue]]-Table3[[#This Row],[Ad Spend]]</f>
        <v>101.25</v>
      </c>
      <c r="M849" s="11">
        <v>116.42</v>
      </c>
    </row>
    <row r="850" spans="1:13" ht="15.75" customHeight="1" x14ac:dyDescent="0.3">
      <c r="A850" s="4" t="s">
        <v>683</v>
      </c>
      <c r="B850">
        <f t="shared" si="13"/>
        <v>11</v>
      </c>
      <c r="C850" s="2" t="s">
        <v>12</v>
      </c>
      <c r="D850" s="2" t="s">
        <v>1089</v>
      </c>
      <c r="E850" s="7">
        <v>134.61000000000001</v>
      </c>
      <c r="F850" s="2">
        <v>0</v>
      </c>
      <c r="G850" s="7">
        <v>315.98</v>
      </c>
      <c r="H850" s="2" t="s">
        <v>1090</v>
      </c>
      <c r="I850" s="2" t="s">
        <v>35</v>
      </c>
      <c r="J850" s="2" t="s">
        <v>30</v>
      </c>
      <c r="K850" s="2" t="s">
        <v>46</v>
      </c>
      <c r="L850" s="7">
        <f>Table3[[#This Row],[Revenue]]-Table3[[#This Row],[Ad Spend]]</f>
        <v>181.37</v>
      </c>
      <c r="M850" s="11">
        <v>166.56</v>
      </c>
    </row>
    <row r="851" spans="1:13" ht="15.75" customHeight="1" x14ac:dyDescent="0.3">
      <c r="A851" s="4" t="s">
        <v>409</v>
      </c>
      <c r="B851">
        <f t="shared" si="13"/>
        <v>11</v>
      </c>
      <c r="C851" s="2" t="s">
        <v>63</v>
      </c>
      <c r="D851" s="2" t="s">
        <v>1091</v>
      </c>
      <c r="E851" s="7">
        <v>122.35</v>
      </c>
      <c r="F851" s="2">
        <v>4</v>
      </c>
      <c r="G851" s="7">
        <v>239.82</v>
      </c>
      <c r="H851" s="2" t="s">
        <v>467</v>
      </c>
      <c r="I851" s="2" t="s">
        <v>29</v>
      </c>
      <c r="J851" s="2" t="s">
        <v>87</v>
      </c>
      <c r="K851" s="2" t="s">
        <v>17</v>
      </c>
      <c r="L851" s="7">
        <f>Table3[[#This Row],[Revenue]]-Table3[[#This Row],[Ad Spend]]</f>
        <v>117.47</v>
      </c>
      <c r="M851" s="11">
        <v>141.47</v>
      </c>
    </row>
    <row r="852" spans="1:13" ht="15.75" customHeight="1" x14ac:dyDescent="0.3">
      <c r="A852" s="4" t="s">
        <v>309</v>
      </c>
      <c r="B852">
        <f t="shared" si="13"/>
        <v>4</v>
      </c>
      <c r="C852" s="2" t="s">
        <v>32</v>
      </c>
      <c r="D852" s="2" t="s">
        <v>1092</v>
      </c>
      <c r="E852" s="7">
        <v>146.71</v>
      </c>
      <c r="F852" s="2">
        <v>7</v>
      </c>
      <c r="G852" s="7">
        <v>371.84</v>
      </c>
      <c r="H852" s="2" t="s">
        <v>1093</v>
      </c>
      <c r="I852" s="2" t="s">
        <v>29</v>
      </c>
      <c r="J852" s="2" t="s">
        <v>25</v>
      </c>
      <c r="K852" s="2" t="s">
        <v>17</v>
      </c>
      <c r="L852" s="7">
        <f>Table3[[#This Row],[Revenue]]-Table3[[#This Row],[Ad Spend]]</f>
        <v>225.12999999999997</v>
      </c>
      <c r="M852" s="11">
        <v>118.85</v>
      </c>
    </row>
    <row r="853" spans="1:13" ht="15.75" customHeight="1" x14ac:dyDescent="0.3">
      <c r="A853" s="4" t="s">
        <v>428</v>
      </c>
      <c r="B853">
        <f t="shared" si="13"/>
        <v>3</v>
      </c>
      <c r="C853" s="2" t="s">
        <v>32</v>
      </c>
      <c r="D853" s="2" t="s">
        <v>1094</v>
      </c>
      <c r="E853" s="7">
        <v>70.709999999999994</v>
      </c>
      <c r="F853" s="2">
        <v>2</v>
      </c>
      <c r="G853" s="7">
        <v>456.82</v>
      </c>
      <c r="H853" s="2" t="s">
        <v>432</v>
      </c>
      <c r="I853" s="2" t="s">
        <v>15</v>
      </c>
      <c r="J853" s="2" t="s">
        <v>25</v>
      </c>
      <c r="K853" s="2" t="s">
        <v>17</v>
      </c>
      <c r="L853" s="7">
        <f>Table3[[#This Row],[Revenue]]-Table3[[#This Row],[Ad Spend]]</f>
        <v>386.11</v>
      </c>
      <c r="M853" s="11">
        <v>170.8</v>
      </c>
    </row>
    <row r="854" spans="1:13" ht="15.75" customHeight="1" x14ac:dyDescent="0.3">
      <c r="A854" s="4" t="s">
        <v>638</v>
      </c>
      <c r="B854">
        <f t="shared" si="13"/>
        <v>1</v>
      </c>
      <c r="C854" s="2" t="s">
        <v>63</v>
      </c>
      <c r="D854" s="2" t="s">
        <v>121</v>
      </c>
      <c r="E854" s="7">
        <v>145.13</v>
      </c>
      <c r="F854" s="2">
        <v>2</v>
      </c>
      <c r="G854" s="7">
        <v>393.64</v>
      </c>
      <c r="H854" s="2" t="s">
        <v>330</v>
      </c>
      <c r="I854" s="2" t="s">
        <v>15</v>
      </c>
      <c r="J854" s="2" t="s">
        <v>87</v>
      </c>
      <c r="K854" s="2" t="s">
        <v>17</v>
      </c>
      <c r="L854" s="7">
        <f>Table3[[#This Row],[Revenue]]-Table3[[#This Row],[Ad Spend]]</f>
        <v>248.51</v>
      </c>
      <c r="M854" s="11">
        <v>128.75</v>
      </c>
    </row>
    <row r="855" spans="1:13" ht="15.75" customHeight="1" x14ac:dyDescent="0.3">
      <c r="A855" s="4" t="s">
        <v>320</v>
      </c>
      <c r="B855">
        <f t="shared" si="13"/>
        <v>4</v>
      </c>
      <c r="C855" s="2" t="s">
        <v>12</v>
      </c>
      <c r="D855" s="2" t="s">
        <v>127</v>
      </c>
      <c r="E855" s="7">
        <v>5.68</v>
      </c>
      <c r="F855" s="2">
        <v>0</v>
      </c>
      <c r="G855" s="7">
        <v>20.239999999999998</v>
      </c>
      <c r="H855" s="2" t="s">
        <v>313</v>
      </c>
      <c r="I855" s="2" t="s">
        <v>15</v>
      </c>
      <c r="J855" s="2" t="s">
        <v>25</v>
      </c>
      <c r="K855" s="2" t="s">
        <v>46</v>
      </c>
      <c r="L855" s="7">
        <f>Table3[[#This Row],[Revenue]]-Table3[[#This Row],[Ad Spend]]</f>
        <v>14.559999999999999</v>
      </c>
      <c r="M855" s="11">
        <v>116.12</v>
      </c>
    </row>
    <row r="856" spans="1:13" ht="15.75" customHeight="1" x14ac:dyDescent="0.3">
      <c r="A856" s="4" t="s">
        <v>236</v>
      </c>
      <c r="B856">
        <f t="shared" si="13"/>
        <v>4</v>
      </c>
      <c r="C856" s="2" t="s">
        <v>32</v>
      </c>
      <c r="D856" s="2" t="s">
        <v>817</v>
      </c>
      <c r="E856" s="7">
        <v>83.85</v>
      </c>
      <c r="F856" s="2">
        <v>10</v>
      </c>
      <c r="G856" s="7">
        <v>369.64</v>
      </c>
      <c r="H856" s="2" t="s">
        <v>301</v>
      </c>
      <c r="I856" s="2" t="s">
        <v>29</v>
      </c>
      <c r="J856" s="2" t="s">
        <v>16</v>
      </c>
      <c r="K856" s="2" t="s">
        <v>17</v>
      </c>
      <c r="L856" s="7">
        <f>Table3[[#This Row],[Revenue]]-Table3[[#This Row],[Ad Spend]]</f>
        <v>285.78999999999996</v>
      </c>
      <c r="M856" s="11">
        <v>144.16999999999999</v>
      </c>
    </row>
    <row r="857" spans="1:13" ht="15.75" customHeight="1" x14ac:dyDescent="0.3">
      <c r="A857" s="4" t="s">
        <v>208</v>
      </c>
      <c r="B857">
        <f t="shared" si="13"/>
        <v>11</v>
      </c>
      <c r="C857" s="2" t="s">
        <v>19</v>
      </c>
      <c r="D857" s="2" t="s">
        <v>1095</v>
      </c>
      <c r="E857" s="7">
        <v>113.6</v>
      </c>
      <c r="F857" s="2">
        <v>10</v>
      </c>
      <c r="G857" s="7">
        <v>119.16</v>
      </c>
      <c r="H857" s="2" t="s">
        <v>161</v>
      </c>
      <c r="I857" s="2" t="s">
        <v>15</v>
      </c>
      <c r="J857" s="2" t="s">
        <v>30</v>
      </c>
      <c r="K857" s="2" t="s">
        <v>17</v>
      </c>
      <c r="L857" s="7">
        <f>Table3[[#This Row],[Revenue]]-Table3[[#This Row],[Ad Spend]]</f>
        <v>5.5600000000000023</v>
      </c>
      <c r="M857" s="11">
        <v>119.09</v>
      </c>
    </row>
    <row r="858" spans="1:13" ht="15.75" customHeight="1" x14ac:dyDescent="0.3">
      <c r="A858" s="4" t="s">
        <v>472</v>
      </c>
      <c r="B858">
        <f t="shared" si="13"/>
        <v>4</v>
      </c>
      <c r="C858" s="2" t="s">
        <v>12</v>
      </c>
      <c r="D858" s="2" t="s">
        <v>41</v>
      </c>
      <c r="E858" s="7">
        <v>127.56</v>
      </c>
      <c r="F858" s="2">
        <v>10</v>
      </c>
      <c r="G858" s="7">
        <v>182.09</v>
      </c>
      <c r="H858" s="2" t="s">
        <v>763</v>
      </c>
      <c r="I858" s="2" t="s">
        <v>35</v>
      </c>
      <c r="J858" s="2" t="s">
        <v>30</v>
      </c>
      <c r="K858" s="2" t="s">
        <v>17</v>
      </c>
      <c r="L858" s="7">
        <f>Table3[[#This Row],[Revenue]]-Table3[[#This Row],[Ad Spend]]</f>
        <v>54.53</v>
      </c>
      <c r="M858" s="11">
        <v>145.78</v>
      </c>
    </row>
    <row r="859" spans="1:13" ht="15.75" customHeight="1" x14ac:dyDescent="0.3">
      <c r="A859" s="4" t="s">
        <v>335</v>
      </c>
      <c r="B859">
        <f t="shared" si="13"/>
        <v>11</v>
      </c>
      <c r="C859" s="2" t="s">
        <v>63</v>
      </c>
      <c r="D859" s="2" t="s">
        <v>121</v>
      </c>
      <c r="E859" s="7">
        <v>125.5</v>
      </c>
      <c r="F859" s="2">
        <v>3</v>
      </c>
      <c r="G859" s="7">
        <v>56.69</v>
      </c>
      <c r="H859" s="2" t="s">
        <v>1096</v>
      </c>
      <c r="I859" s="2" t="s">
        <v>29</v>
      </c>
      <c r="J859" s="2" t="s">
        <v>30</v>
      </c>
      <c r="K859" s="2" t="s">
        <v>17</v>
      </c>
      <c r="L859" s="7">
        <f>Table3[[#This Row],[Revenue]]-Table3[[#This Row],[Ad Spend]]</f>
        <v>-68.81</v>
      </c>
      <c r="M859" s="11">
        <v>96.19</v>
      </c>
    </row>
    <row r="860" spans="1:13" ht="15.75" customHeight="1" x14ac:dyDescent="0.3">
      <c r="A860" s="4" t="s">
        <v>496</v>
      </c>
      <c r="B860">
        <f t="shared" si="13"/>
        <v>1</v>
      </c>
      <c r="C860" s="2" t="s">
        <v>63</v>
      </c>
      <c r="D860" s="2" t="s">
        <v>807</v>
      </c>
      <c r="E860" s="7">
        <v>88.46</v>
      </c>
      <c r="F860" s="2">
        <v>2</v>
      </c>
      <c r="G860" s="7">
        <v>209.76</v>
      </c>
      <c r="H860" s="2" t="s">
        <v>101</v>
      </c>
      <c r="I860" s="2" t="s">
        <v>29</v>
      </c>
      <c r="J860" s="2" t="s">
        <v>53</v>
      </c>
      <c r="K860" s="2" t="s">
        <v>17</v>
      </c>
      <c r="L860" s="7">
        <f>Table3[[#This Row],[Revenue]]-Table3[[#This Row],[Ad Spend]]</f>
        <v>121.3</v>
      </c>
      <c r="M860" s="11">
        <v>124.63</v>
      </c>
    </row>
    <row r="861" spans="1:13" ht="15.75" customHeight="1" x14ac:dyDescent="0.3">
      <c r="A861" s="4" t="s">
        <v>205</v>
      </c>
      <c r="B861">
        <f t="shared" si="13"/>
        <v>2</v>
      </c>
      <c r="C861" s="2" t="s">
        <v>63</v>
      </c>
      <c r="D861" s="2" t="s">
        <v>1097</v>
      </c>
      <c r="E861" s="7">
        <v>50.62</v>
      </c>
      <c r="F861" s="2">
        <v>2</v>
      </c>
      <c r="G861" s="7">
        <v>29.61</v>
      </c>
      <c r="H861" s="2" t="s">
        <v>1098</v>
      </c>
      <c r="I861" s="2" t="s">
        <v>29</v>
      </c>
      <c r="J861" s="2" t="s">
        <v>30</v>
      </c>
      <c r="K861" s="2" t="s">
        <v>17</v>
      </c>
      <c r="L861" s="7">
        <f>Table3[[#This Row],[Revenue]]-Table3[[#This Row],[Ad Spend]]</f>
        <v>-21.009999999999998</v>
      </c>
      <c r="M861" s="11">
        <v>69.17</v>
      </c>
    </row>
    <row r="862" spans="1:13" ht="15.75" customHeight="1" x14ac:dyDescent="0.3">
      <c r="A862" s="4" t="s">
        <v>76</v>
      </c>
      <c r="B862">
        <f t="shared" si="13"/>
        <v>1</v>
      </c>
      <c r="C862" s="2" t="s">
        <v>32</v>
      </c>
      <c r="D862" s="2" t="s">
        <v>1099</v>
      </c>
      <c r="E862" s="7">
        <v>57.12</v>
      </c>
      <c r="F862" s="2">
        <v>6</v>
      </c>
      <c r="G862" s="7">
        <v>67.33</v>
      </c>
      <c r="H862" s="2" t="s">
        <v>887</v>
      </c>
      <c r="I862" s="2" t="s">
        <v>15</v>
      </c>
      <c r="J862" s="2" t="s">
        <v>36</v>
      </c>
      <c r="K862" s="2" t="s">
        <v>17</v>
      </c>
      <c r="L862" s="7">
        <f>Table3[[#This Row],[Revenue]]-Table3[[#This Row],[Ad Spend]]</f>
        <v>10.210000000000001</v>
      </c>
      <c r="M862" s="11">
        <v>111.07</v>
      </c>
    </row>
    <row r="863" spans="1:13" ht="15.75" customHeight="1" x14ac:dyDescent="0.3">
      <c r="A863" s="4" t="s">
        <v>131</v>
      </c>
      <c r="B863">
        <f t="shared" si="13"/>
        <v>11</v>
      </c>
      <c r="C863" s="2" t="s">
        <v>32</v>
      </c>
      <c r="D863" s="2" t="s">
        <v>1100</v>
      </c>
      <c r="E863" s="7">
        <v>28.3</v>
      </c>
      <c r="F863" s="2">
        <v>5</v>
      </c>
      <c r="G863" s="7">
        <v>355.28</v>
      </c>
      <c r="H863" s="2" t="s">
        <v>65</v>
      </c>
      <c r="I863" s="2" t="s">
        <v>35</v>
      </c>
      <c r="J863" s="2" t="s">
        <v>30</v>
      </c>
      <c r="K863" s="2" t="s">
        <v>17</v>
      </c>
      <c r="L863" s="7">
        <f>Table3[[#This Row],[Revenue]]-Table3[[#This Row],[Ad Spend]]</f>
        <v>326.97999999999996</v>
      </c>
      <c r="M863" s="11">
        <v>124.64</v>
      </c>
    </row>
    <row r="864" spans="1:13" ht="15.75" customHeight="1" x14ac:dyDescent="0.3">
      <c r="A864" s="4" t="s">
        <v>214</v>
      </c>
      <c r="B864">
        <f t="shared" si="13"/>
        <v>3</v>
      </c>
      <c r="C864" s="2" t="s">
        <v>32</v>
      </c>
      <c r="D864" s="2" t="s">
        <v>1101</v>
      </c>
      <c r="E864" s="7">
        <v>124.88</v>
      </c>
      <c r="F864" s="2">
        <v>7</v>
      </c>
      <c r="G864" s="7">
        <v>287.89999999999998</v>
      </c>
      <c r="H864" s="2" t="s">
        <v>1102</v>
      </c>
      <c r="I864" s="2" t="s">
        <v>35</v>
      </c>
      <c r="J864" s="2" t="s">
        <v>30</v>
      </c>
      <c r="K864" s="2" t="s">
        <v>17</v>
      </c>
      <c r="L864" s="7">
        <f>Table3[[#This Row],[Revenue]]-Table3[[#This Row],[Ad Spend]]</f>
        <v>163.01999999999998</v>
      </c>
      <c r="M864" s="11">
        <v>107.94</v>
      </c>
    </row>
    <row r="865" spans="1:13" ht="15.75" customHeight="1" x14ac:dyDescent="0.3">
      <c r="A865" s="4" t="s">
        <v>241</v>
      </c>
      <c r="B865">
        <f t="shared" si="13"/>
        <v>12</v>
      </c>
      <c r="C865" s="2" t="s">
        <v>32</v>
      </c>
      <c r="D865" s="2" t="s">
        <v>1103</v>
      </c>
      <c r="E865" s="7">
        <v>103.24</v>
      </c>
      <c r="F865" s="2">
        <v>0</v>
      </c>
      <c r="G865" s="7">
        <v>250.62</v>
      </c>
      <c r="H865" s="2" t="s">
        <v>1104</v>
      </c>
      <c r="I865" s="2" t="s">
        <v>15</v>
      </c>
      <c r="J865" s="2" t="s">
        <v>16</v>
      </c>
      <c r="K865" s="2" t="s">
        <v>46</v>
      </c>
      <c r="L865" s="7">
        <f>Table3[[#This Row],[Revenue]]-Table3[[#This Row],[Ad Spend]]</f>
        <v>147.38</v>
      </c>
      <c r="M865" s="11">
        <v>118.79</v>
      </c>
    </row>
    <row r="866" spans="1:13" ht="15.75" customHeight="1" x14ac:dyDescent="0.3">
      <c r="A866" s="4" t="s">
        <v>649</v>
      </c>
      <c r="B866">
        <f t="shared" si="13"/>
        <v>1</v>
      </c>
      <c r="C866" s="2" t="s">
        <v>19</v>
      </c>
      <c r="D866" s="2" t="s">
        <v>263</v>
      </c>
      <c r="E866" s="7">
        <v>147.75</v>
      </c>
      <c r="F866" s="2">
        <v>0</v>
      </c>
      <c r="G866" s="7">
        <v>67.2</v>
      </c>
      <c r="H866" s="2" t="s">
        <v>279</v>
      </c>
      <c r="I866" s="2" t="s">
        <v>35</v>
      </c>
      <c r="J866" s="2" t="s">
        <v>87</v>
      </c>
      <c r="K866" s="2" t="s">
        <v>46</v>
      </c>
      <c r="L866" s="7">
        <f>Table3[[#This Row],[Revenue]]-Table3[[#This Row],[Ad Spend]]</f>
        <v>-80.55</v>
      </c>
      <c r="M866" s="11">
        <v>134.1</v>
      </c>
    </row>
    <row r="867" spans="1:13" ht="15.75" customHeight="1" x14ac:dyDescent="0.3">
      <c r="A867" s="4" t="s">
        <v>133</v>
      </c>
      <c r="B867">
        <f t="shared" si="13"/>
        <v>3</v>
      </c>
      <c r="C867" s="2" t="s">
        <v>19</v>
      </c>
      <c r="D867" s="2" t="s">
        <v>507</v>
      </c>
      <c r="E867" s="7">
        <v>77.78</v>
      </c>
      <c r="F867" s="2">
        <v>7</v>
      </c>
      <c r="G867" s="7">
        <v>132.52000000000001</v>
      </c>
      <c r="H867" s="2" t="s">
        <v>267</v>
      </c>
      <c r="I867" s="2" t="s">
        <v>15</v>
      </c>
      <c r="J867" s="2" t="s">
        <v>16</v>
      </c>
      <c r="K867" s="2" t="s">
        <v>17</v>
      </c>
      <c r="L867" s="7">
        <f>Table3[[#This Row],[Revenue]]-Table3[[#This Row],[Ad Spend]]</f>
        <v>54.740000000000009</v>
      </c>
      <c r="M867" s="11">
        <v>121.33</v>
      </c>
    </row>
    <row r="868" spans="1:13" ht="15.75" customHeight="1" x14ac:dyDescent="0.3">
      <c r="A868" s="4" t="s">
        <v>875</v>
      </c>
      <c r="B868">
        <f t="shared" si="13"/>
        <v>12</v>
      </c>
      <c r="C868" s="2" t="s">
        <v>32</v>
      </c>
      <c r="D868" s="2" t="s">
        <v>815</v>
      </c>
      <c r="E868" s="7">
        <v>60.86</v>
      </c>
      <c r="F868" s="2">
        <v>4</v>
      </c>
      <c r="G868" s="7">
        <v>75.91</v>
      </c>
      <c r="H868" s="2" t="s">
        <v>235</v>
      </c>
      <c r="I868" s="2" t="s">
        <v>15</v>
      </c>
      <c r="J868" s="2" t="s">
        <v>36</v>
      </c>
      <c r="K868" s="2" t="s">
        <v>17</v>
      </c>
      <c r="L868" s="7">
        <f>Table3[[#This Row],[Revenue]]-Table3[[#This Row],[Ad Spend]]</f>
        <v>15.049999999999997</v>
      </c>
      <c r="M868" s="11">
        <v>130.03</v>
      </c>
    </row>
    <row r="869" spans="1:13" ht="15.75" customHeight="1" x14ac:dyDescent="0.3">
      <c r="A869" s="4" t="s">
        <v>287</v>
      </c>
      <c r="B869">
        <f t="shared" si="13"/>
        <v>2</v>
      </c>
      <c r="C869" s="2" t="s">
        <v>19</v>
      </c>
      <c r="D869" s="2" t="s">
        <v>1105</v>
      </c>
      <c r="E869" s="7">
        <v>98.7</v>
      </c>
      <c r="F869" s="2">
        <v>0</v>
      </c>
      <c r="G869" s="7">
        <v>69.02</v>
      </c>
      <c r="H869" s="2" t="s">
        <v>1106</v>
      </c>
      <c r="I869" s="2" t="s">
        <v>35</v>
      </c>
      <c r="J869" s="2" t="s">
        <v>16</v>
      </c>
      <c r="K869" s="2" t="s">
        <v>46</v>
      </c>
      <c r="L869" s="7">
        <f>Table3[[#This Row],[Revenue]]-Table3[[#This Row],[Ad Spend]]</f>
        <v>-29.680000000000007</v>
      </c>
      <c r="M869" s="11">
        <v>55.13</v>
      </c>
    </row>
    <row r="870" spans="1:13" ht="15.75" customHeight="1" x14ac:dyDescent="0.3">
      <c r="A870" s="4" t="s">
        <v>164</v>
      </c>
      <c r="B870">
        <f t="shared" si="13"/>
        <v>2</v>
      </c>
      <c r="C870" s="2" t="s">
        <v>12</v>
      </c>
      <c r="D870" s="2" t="s">
        <v>957</v>
      </c>
      <c r="E870" s="7">
        <v>11.77</v>
      </c>
      <c r="F870" s="2">
        <v>3</v>
      </c>
      <c r="G870" s="7">
        <v>382.19</v>
      </c>
      <c r="H870" s="2" t="s">
        <v>973</v>
      </c>
      <c r="I870" s="2" t="s">
        <v>35</v>
      </c>
      <c r="J870" s="2" t="s">
        <v>25</v>
      </c>
      <c r="K870" s="2" t="s">
        <v>17</v>
      </c>
      <c r="L870" s="7">
        <f>Table3[[#This Row],[Revenue]]-Table3[[#This Row],[Ad Spend]]</f>
        <v>370.42</v>
      </c>
      <c r="M870" s="11">
        <v>158.63999999999999</v>
      </c>
    </row>
    <row r="871" spans="1:13" ht="15.75" customHeight="1" x14ac:dyDescent="0.3">
      <c r="A871" s="4" t="s">
        <v>812</v>
      </c>
      <c r="B871">
        <f t="shared" si="13"/>
        <v>12</v>
      </c>
      <c r="C871" s="2" t="s">
        <v>12</v>
      </c>
      <c r="D871" s="2" t="s">
        <v>1107</v>
      </c>
      <c r="E871" s="7">
        <v>77.430000000000007</v>
      </c>
      <c r="F871" s="2">
        <v>3</v>
      </c>
      <c r="G871" s="7">
        <v>391.01</v>
      </c>
      <c r="H871" s="2" t="s">
        <v>1108</v>
      </c>
      <c r="I871" s="2" t="s">
        <v>29</v>
      </c>
      <c r="J871" s="2" t="s">
        <v>36</v>
      </c>
      <c r="K871" s="2" t="s">
        <v>17</v>
      </c>
      <c r="L871" s="7">
        <f>Table3[[#This Row],[Revenue]]-Table3[[#This Row],[Ad Spend]]</f>
        <v>313.58</v>
      </c>
      <c r="M871" s="11">
        <v>184.81</v>
      </c>
    </row>
    <row r="872" spans="1:13" ht="15.75" customHeight="1" x14ac:dyDescent="0.3">
      <c r="A872" s="4" t="s">
        <v>448</v>
      </c>
      <c r="B872">
        <f t="shared" si="13"/>
        <v>12</v>
      </c>
      <c r="C872" s="2" t="s">
        <v>63</v>
      </c>
      <c r="D872" s="2" t="s">
        <v>1071</v>
      </c>
      <c r="E872" s="7">
        <v>129.33000000000001</v>
      </c>
      <c r="F872" s="2">
        <v>0</v>
      </c>
      <c r="G872" s="7">
        <v>33.15</v>
      </c>
      <c r="H872" s="2" t="s">
        <v>1109</v>
      </c>
      <c r="I872" s="2" t="s">
        <v>29</v>
      </c>
      <c r="J872" s="2" t="s">
        <v>53</v>
      </c>
      <c r="K872" s="2" t="s">
        <v>46</v>
      </c>
      <c r="L872" s="7">
        <f>Table3[[#This Row],[Revenue]]-Table3[[#This Row],[Ad Spend]]</f>
        <v>-96.18</v>
      </c>
      <c r="M872" s="11">
        <v>35.03</v>
      </c>
    </row>
    <row r="873" spans="1:13" ht="15.75" customHeight="1" x14ac:dyDescent="0.3">
      <c r="A873" s="4" t="s">
        <v>351</v>
      </c>
      <c r="B873">
        <f t="shared" si="13"/>
        <v>4</v>
      </c>
      <c r="C873" s="2" t="s">
        <v>19</v>
      </c>
      <c r="D873" s="2" t="s">
        <v>548</v>
      </c>
      <c r="E873" s="7">
        <v>21.93</v>
      </c>
      <c r="F873" s="2">
        <v>4</v>
      </c>
      <c r="G873" s="7">
        <v>207.02</v>
      </c>
      <c r="H873" s="2" t="s">
        <v>213</v>
      </c>
      <c r="I873" s="2" t="s">
        <v>15</v>
      </c>
      <c r="J873" s="2" t="s">
        <v>30</v>
      </c>
      <c r="K873" s="2" t="s">
        <v>17</v>
      </c>
      <c r="L873" s="7">
        <f>Table3[[#This Row],[Revenue]]-Table3[[#This Row],[Ad Spend]]</f>
        <v>185.09</v>
      </c>
      <c r="M873" s="11">
        <v>112.18</v>
      </c>
    </row>
    <row r="874" spans="1:13" ht="15.75" customHeight="1" x14ac:dyDescent="0.3">
      <c r="A874" s="4" t="s">
        <v>189</v>
      </c>
      <c r="B874">
        <f t="shared" si="13"/>
        <v>2</v>
      </c>
      <c r="C874" s="2" t="s">
        <v>12</v>
      </c>
      <c r="D874" s="2" t="s">
        <v>891</v>
      </c>
      <c r="E874" s="7">
        <v>14.4</v>
      </c>
      <c r="F874" s="2">
        <v>7</v>
      </c>
      <c r="G874" s="7">
        <v>398.7</v>
      </c>
      <c r="H874" s="2" t="s">
        <v>147</v>
      </c>
      <c r="I874" s="2" t="s">
        <v>29</v>
      </c>
      <c r="J874" s="2" t="s">
        <v>53</v>
      </c>
      <c r="K874" s="2" t="s">
        <v>17</v>
      </c>
      <c r="L874" s="7">
        <f>Table3[[#This Row],[Revenue]]-Table3[[#This Row],[Ad Spend]]</f>
        <v>384.3</v>
      </c>
      <c r="M874" s="11">
        <v>143.04</v>
      </c>
    </row>
    <row r="875" spans="1:13" ht="15.75" customHeight="1" x14ac:dyDescent="0.3">
      <c r="A875" s="4" t="s">
        <v>387</v>
      </c>
      <c r="B875">
        <f t="shared" si="13"/>
        <v>2</v>
      </c>
      <c r="C875" s="2" t="s">
        <v>63</v>
      </c>
      <c r="D875" s="2" t="s">
        <v>687</v>
      </c>
      <c r="E875" s="7">
        <v>68.36</v>
      </c>
      <c r="F875" s="2">
        <v>2</v>
      </c>
      <c r="G875" s="7">
        <v>265.33999999999997</v>
      </c>
      <c r="H875" s="2" t="s">
        <v>267</v>
      </c>
      <c r="I875" s="2" t="s">
        <v>15</v>
      </c>
      <c r="J875" s="2" t="s">
        <v>87</v>
      </c>
      <c r="K875" s="2" t="s">
        <v>17</v>
      </c>
      <c r="L875" s="7">
        <f>Table3[[#This Row],[Revenue]]-Table3[[#This Row],[Ad Spend]]</f>
        <v>196.97999999999996</v>
      </c>
      <c r="M875" s="11">
        <v>117.56</v>
      </c>
    </row>
    <row r="876" spans="1:13" ht="15.75" customHeight="1" x14ac:dyDescent="0.3">
      <c r="A876" s="4" t="s">
        <v>40</v>
      </c>
      <c r="B876">
        <f t="shared" si="13"/>
        <v>3</v>
      </c>
      <c r="C876" s="2" t="s">
        <v>19</v>
      </c>
      <c r="D876" s="2" t="s">
        <v>521</v>
      </c>
      <c r="E876" s="7">
        <v>34.21</v>
      </c>
      <c r="F876" s="2">
        <v>9</v>
      </c>
      <c r="G876" s="7">
        <v>237.59</v>
      </c>
      <c r="H876" s="2" t="s">
        <v>147</v>
      </c>
      <c r="I876" s="2" t="s">
        <v>29</v>
      </c>
      <c r="J876" s="2" t="s">
        <v>30</v>
      </c>
      <c r="K876" s="2" t="s">
        <v>17</v>
      </c>
      <c r="L876" s="7">
        <f>Table3[[#This Row],[Revenue]]-Table3[[#This Row],[Ad Spend]]</f>
        <v>203.38</v>
      </c>
      <c r="M876" s="11">
        <v>136.19999999999999</v>
      </c>
    </row>
    <row r="877" spans="1:13" ht="15.75" customHeight="1" x14ac:dyDescent="0.3">
      <c r="A877" s="4" t="s">
        <v>1061</v>
      </c>
      <c r="B877">
        <f t="shared" si="13"/>
        <v>4</v>
      </c>
      <c r="C877" s="2" t="s">
        <v>12</v>
      </c>
      <c r="D877" s="2" t="s">
        <v>1110</v>
      </c>
      <c r="E877" s="7">
        <v>131.19</v>
      </c>
      <c r="F877" s="2">
        <v>9</v>
      </c>
      <c r="G877" s="7">
        <v>272.04000000000002</v>
      </c>
      <c r="H877" s="2" t="s">
        <v>650</v>
      </c>
      <c r="I877" s="2" t="s">
        <v>35</v>
      </c>
      <c r="J877" s="2" t="s">
        <v>87</v>
      </c>
      <c r="K877" s="2" t="s">
        <v>17</v>
      </c>
      <c r="L877" s="7">
        <f>Table3[[#This Row],[Revenue]]-Table3[[#This Row],[Ad Spend]]</f>
        <v>140.85000000000002</v>
      </c>
      <c r="M877" s="11">
        <v>150.66999999999999</v>
      </c>
    </row>
    <row r="878" spans="1:13" ht="15.75" customHeight="1" x14ac:dyDescent="0.3">
      <c r="A878" s="4" t="s">
        <v>129</v>
      </c>
      <c r="B878">
        <f t="shared" si="13"/>
        <v>1</v>
      </c>
      <c r="C878" s="2" t="s">
        <v>63</v>
      </c>
      <c r="D878" s="2" t="s">
        <v>1002</v>
      </c>
      <c r="E878" s="7">
        <v>83.84</v>
      </c>
      <c r="F878" s="2">
        <v>7</v>
      </c>
      <c r="G878" s="7">
        <v>112.98</v>
      </c>
      <c r="H878" s="2" t="s">
        <v>1111</v>
      </c>
      <c r="I878" s="2" t="s">
        <v>29</v>
      </c>
      <c r="J878" s="2" t="s">
        <v>30</v>
      </c>
      <c r="K878" s="2" t="s">
        <v>17</v>
      </c>
      <c r="L878" s="7">
        <f>Table3[[#This Row],[Revenue]]-Table3[[#This Row],[Ad Spend]]</f>
        <v>29.14</v>
      </c>
      <c r="M878" s="11">
        <v>120.14</v>
      </c>
    </row>
    <row r="879" spans="1:13" ht="15.75" customHeight="1" x14ac:dyDescent="0.3">
      <c r="A879" s="4" t="s">
        <v>438</v>
      </c>
      <c r="B879">
        <f t="shared" si="13"/>
        <v>4</v>
      </c>
      <c r="C879" s="2" t="s">
        <v>19</v>
      </c>
      <c r="D879" s="2" t="s">
        <v>1112</v>
      </c>
      <c r="E879" s="7">
        <v>19.079999999999998</v>
      </c>
      <c r="F879" s="2">
        <v>9</v>
      </c>
      <c r="G879" s="7">
        <v>165.13</v>
      </c>
      <c r="H879" s="2" t="s">
        <v>1113</v>
      </c>
      <c r="I879" s="2" t="s">
        <v>29</v>
      </c>
      <c r="J879" s="2" t="s">
        <v>53</v>
      </c>
      <c r="K879" s="2" t="s">
        <v>17</v>
      </c>
      <c r="L879" s="7">
        <f>Table3[[#This Row],[Revenue]]-Table3[[#This Row],[Ad Spend]]</f>
        <v>146.05000000000001</v>
      </c>
      <c r="M879" s="11">
        <v>78.459999999999994</v>
      </c>
    </row>
    <row r="880" spans="1:13" ht="15.75" customHeight="1" x14ac:dyDescent="0.3">
      <c r="A880" s="4" t="s">
        <v>723</v>
      </c>
      <c r="B880">
        <f t="shared" si="13"/>
        <v>12</v>
      </c>
      <c r="C880" s="2" t="s">
        <v>32</v>
      </c>
      <c r="D880" s="2" t="s">
        <v>1037</v>
      </c>
      <c r="E880" s="7">
        <v>34.61</v>
      </c>
      <c r="F880" s="2">
        <v>2</v>
      </c>
      <c r="G880" s="7">
        <v>74.790000000000006</v>
      </c>
      <c r="H880" s="2" t="s">
        <v>1114</v>
      </c>
      <c r="I880" s="2" t="s">
        <v>15</v>
      </c>
      <c r="J880" s="2" t="s">
        <v>30</v>
      </c>
      <c r="K880" s="2" t="s">
        <v>17</v>
      </c>
      <c r="L880" s="7">
        <f>Table3[[#This Row],[Revenue]]-Table3[[#This Row],[Ad Spend]]</f>
        <v>40.180000000000007</v>
      </c>
      <c r="M880" s="11">
        <v>58.51</v>
      </c>
    </row>
    <row r="881" spans="1:13" ht="15.75" customHeight="1" x14ac:dyDescent="0.3">
      <c r="A881" s="4" t="s">
        <v>56</v>
      </c>
      <c r="B881">
        <f t="shared" si="13"/>
        <v>12</v>
      </c>
      <c r="C881" s="2" t="s">
        <v>32</v>
      </c>
      <c r="D881" s="2" t="s">
        <v>1115</v>
      </c>
      <c r="E881" s="7">
        <v>91.69</v>
      </c>
      <c r="F881" s="2">
        <v>6</v>
      </c>
      <c r="G881" s="7">
        <v>87.04</v>
      </c>
      <c r="H881" s="2" t="s">
        <v>1116</v>
      </c>
      <c r="I881" s="2" t="s">
        <v>35</v>
      </c>
      <c r="J881" s="2" t="s">
        <v>30</v>
      </c>
      <c r="K881" s="2" t="s">
        <v>17</v>
      </c>
      <c r="L881" s="7">
        <f>Table3[[#This Row],[Revenue]]-Table3[[#This Row],[Ad Spend]]</f>
        <v>-4.6499999999999915</v>
      </c>
      <c r="M881" s="11">
        <v>63.69</v>
      </c>
    </row>
    <row r="882" spans="1:13" ht="15.75" customHeight="1" x14ac:dyDescent="0.3">
      <c r="A882" s="4" t="s">
        <v>280</v>
      </c>
      <c r="B882">
        <f t="shared" si="13"/>
        <v>2</v>
      </c>
      <c r="C882" s="2" t="s">
        <v>19</v>
      </c>
      <c r="D882" s="2" t="s">
        <v>223</v>
      </c>
      <c r="E882" s="7">
        <v>130.02000000000001</v>
      </c>
      <c r="F882" s="2">
        <v>10</v>
      </c>
      <c r="G882" s="7">
        <v>443.2</v>
      </c>
      <c r="H882" s="2" t="s">
        <v>879</v>
      </c>
      <c r="I882" s="2" t="s">
        <v>35</v>
      </c>
      <c r="J882" s="2" t="s">
        <v>30</v>
      </c>
      <c r="K882" s="2" t="s">
        <v>17</v>
      </c>
      <c r="L882" s="7">
        <f>Table3[[#This Row],[Revenue]]-Table3[[#This Row],[Ad Spend]]</f>
        <v>313.17999999999995</v>
      </c>
      <c r="M882" s="11">
        <v>138.30000000000001</v>
      </c>
    </row>
    <row r="883" spans="1:13" ht="15.75" customHeight="1" x14ac:dyDescent="0.3">
      <c r="A883" s="4" t="s">
        <v>43</v>
      </c>
      <c r="B883">
        <f t="shared" si="13"/>
        <v>11</v>
      </c>
      <c r="C883" s="2" t="s">
        <v>19</v>
      </c>
      <c r="D883" s="2" t="s">
        <v>542</v>
      </c>
      <c r="E883" s="7">
        <v>104.77</v>
      </c>
      <c r="F883" s="2">
        <v>4</v>
      </c>
      <c r="G883" s="7">
        <v>152.38999999999999</v>
      </c>
      <c r="H883" s="2" t="s">
        <v>1117</v>
      </c>
      <c r="I883" s="2" t="s">
        <v>35</v>
      </c>
      <c r="J883" s="2" t="s">
        <v>87</v>
      </c>
      <c r="K883" s="2" t="s">
        <v>17</v>
      </c>
      <c r="L883" s="7">
        <f>Table3[[#This Row],[Revenue]]-Table3[[#This Row],[Ad Spend]]</f>
        <v>47.61999999999999</v>
      </c>
      <c r="M883" s="11">
        <v>117.38</v>
      </c>
    </row>
    <row r="884" spans="1:13" ht="15.75" customHeight="1" x14ac:dyDescent="0.3">
      <c r="A884" s="4" t="s">
        <v>142</v>
      </c>
      <c r="B884">
        <f t="shared" si="13"/>
        <v>12</v>
      </c>
      <c r="C884" s="2" t="s">
        <v>12</v>
      </c>
      <c r="D884" s="2" t="s">
        <v>1105</v>
      </c>
      <c r="E884" s="7">
        <v>19.12</v>
      </c>
      <c r="F884" s="2">
        <v>0</v>
      </c>
      <c r="G884" s="7">
        <v>230.12</v>
      </c>
      <c r="H884" s="2" t="s">
        <v>49</v>
      </c>
      <c r="I884" s="2" t="s">
        <v>29</v>
      </c>
      <c r="J884" s="2" t="s">
        <v>30</v>
      </c>
      <c r="K884" s="2" t="s">
        <v>46</v>
      </c>
      <c r="L884" s="7">
        <f>Table3[[#This Row],[Revenue]]-Table3[[#This Row],[Ad Spend]]</f>
        <v>211</v>
      </c>
      <c r="M884" s="11">
        <v>130.47999999999999</v>
      </c>
    </row>
    <row r="885" spans="1:13" ht="15.75" customHeight="1" x14ac:dyDescent="0.3">
      <c r="A885" s="4" t="s">
        <v>216</v>
      </c>
      <c r="B885">
        <f t="shared" si="13"/>
        <v>2</v>
      </c>
      <c r="C885" s="2" t="s">
        <v>12</v>
      </c>
      <c r="D885" s="2" t="s">
        <v>106</v>
      </c>
      <c r="E885" s="7">
        <v>63.95</v>
      </c>
      <c r="F885" s="2">
        <v>2</v>
      </c>
      <c r="G885" s="7">
        <v>408.99</v>
      </c>
      <c r="H885" s="2" t="s">
        <v>286</v>
      </c>
      <c r="I885" s="2" t="s">
        <v>35</v>
      </c>
      <c r="J885" s="2" t="s">
        <v>25</v>
      </c>
      <c r="K885" s="2" t="s">
        <v>17</v>
      </c>
      <c r="L885" s="7">
        <f>Table3[[#This Row],[Revenue]]-Table3[[#This Row],[Ad Spend]]</f>
        <v>345.04</v>
      </c>
      <c r="M885" s="11">
        <v>117.29</v>
      </c>
    </row>
    <row r="886" spans="1:13" ht="15.75" customHeight="1" x14ac:dyDescent="0.3">
      <c r="A886" s="4" t="s">
        <v>283</v>
      </c>
      <c r="B886">
        <f t="shared" si="13"/>
        <v>11</v>
      </c>
      <c r="C886" s="2" t="s">
        <v>19</v>
      </c>
      <c r="D886" s="2" t="s">
        <v>1118</v>
      </c>
      <c r="E886" s="7">
        <v>143.51</v>
      </c>
      <c r="F886" s="2">
        <v>3</v>
      </c>
      <c r="G886" s="7">
        <v>486.26</v>
      </c>
      <c r="H886" s="2" t="s">
        <v>289</v>
      </c>
      <c r="I886" s="2" t="s">
        <v>29</v>
      </c>
      <c r="J886" s="2" t="s">
        <v>53</v>
      </c>
      <c r="K886" s="2" t="s">
        <v>17</v>
      </c>
      <c r="L886" s="7">
        <f>Table3[[#This Row],[Revenue]]-Table3[[#This Row],[Ad Spend]]</f>
        <v>342.75</v>
      </c>
      <c r="M886" s="11">
        <v>169.06</v>
      </c>
    </row>
    <row r="887" spans="1:13" ht="15.75" customHeight="1" x14ac:dyDescent="0.3">
      <c r="A887" s="4" t="s">
        <v>82</v>
      </c>
      <c r="B887">
        <f t="shared" si="13"/>
        <v>4</v>
      </c>
      <c r="C887" s="2" t="s">
        <v>63</v>
      </c>
      <c r="D887" s="2" t="s">
        <v>906</v>
      </c>
      <c r="E887" s="7">
        <v>14.69</v>
      </c>
      <c r="F887" s="2">
        <v>1</v>
      </c>
      <c r="G887" s="7">
        <v>77.290000000000006</v>
      </c>
      <c r="H887" s="2" t="s">
        <v>61</v>
      </c>
      <c r="I887" s="2" t="s">
        <v>35</v>
      </c>
      <c r="J887" s="2" t="s">
        <v>30</v>
      </c>
      <c r="K887" s="2" t="s">
        <v>17</v>
      </c>
      <c r="L887" s="7">
        <f>Table3[[#This Row],[Revenue]]-Table3[[#This Row],[Ad Spend]]</f>
        <v>62.600000000000009</v>
      </c>
      <c r="M887" s="11">
        <v>135.1</v>
      </c>
    </row>
    <row r="888" spans="1:13" ht="15.75" customHeight="1" x14ac:dyDescent="0.3">
      <c r="A888" s="4" t="s">
        <v>340</v>
      </c>
      <c r="B888">
        <f t="shared" si="13"/>
        <v>11</v>
      </c>
      <c r="C888" s="2" t="s">
        <v>12</v>
      </c>
      <c r="D888" s="2" t="s">
        <v>92</v>
      </c>
      <c r="E888" s="7">
        <v>28.69</v>
      </c>
      <c r="F888" s="2">
        <v>8</v>
      </c>
      <c r="G888" s="7">
        <v>247.21</v>
      </c>
      <c r="H888" s="2" t="s">
        <v>138</v>
      </c>
      <c r="I888" s="2" t="s">
        <v>15</v>
      </c>
      <c r="J888" s="2" t="s">
        <v>25</v>
      </c>
      <c r="K888" s="2" t="s">
        <v>17</v>
      </c>
      <c r="L888" s="7">
        <f>Table3[[#This Row],[Revenue]]-Table3[[#This Row],[Ad Spend]]</f>
        <v>218.52</v>
      </c>
      <c r="M888" s="11">
        <v>130.31</v>
      </c>
    </row>
    <row r="889" spans="1:13" ht="15.75" customHeight="1" x14ac:dyDescent="0.3">
      <c r="A889" s="4" t="s">
        <v>194</v>
      </c>
      <c r="B889">
        <f t="shared" si="13"/>
        <v>11</v>
      </c>
      <c r="C889" s="2" t="s">
        <v>12</v>
      </c>
      <c r="D889" s="2" t="s">
        <v>517</v>
      </c>
      <c r="E889" s="7">
        <v>15.31</v>
      </c>
      <c r="F889" s="2">
        <v>0</v>
      </c>
      <c r="G889" s="7">
        <v>68.31</v>
      </c>
      <c r="H889" s="2" t="s">
        <v>960</v>
      </c>
      <c r="I889" s="2" t="s">
        <v>15</v>
      </c>
      <c r="J889" s="2" t="s">
        <v>87</v>
      </c>
      <c r="K889" s="2" t="s">
        <v>46</v>
      </c>
      <c r="L889" s="7">
        <f>Table3[[#This Row],[Revenue]]-Table3[[#This Row],[Ad Spend]]</f>
        <v>53</v>
      </c>
      <c r="M889" s="11">
        <v>123.21</v>
      </c>
    </row>
    <row r="890" spans="1:13" ht="15.75" customHeight="1" x14ac:dyDescent="0.3">
      <c r="A890" s="4" t="s">
        <v>368</v>
      </c>
      <c r="B890">
        <f t="shared" si="13"/>
        <v>3</v>
      </c>
      <c r="C890" s="2" t="s">
        <v>63</v>
      </c>
      <c r="D890" s="2" t="s">
        <v>1119</v>
      </c>
      <c r="E890" s="7">
        <v>75.16</v>
      </c>
      <c r="F890" s="2">
        <v>4</v>
      </c>
      <c r="G890" s="7">
        <v>153.58000000000001</v>
      </c>
      <c r="H890" s="2" t="s">
        <v>395</v>
      </c>
      <c r="I890" s="2" t="s">
        <v>15</v>
      </c>
      <c r="J890" s="2" t="s">
        <v>25</v>
      </c>
      <c r="K890" s="2" t="s">
        <v>17</v>
      </c>
      <c r="L890" s="7">
        <f>Table3[[#This Row],[Revenue]]-Table3[[#This Row],[Ad Spend]]</f>
        <v>78.420000000000016</v>
      </c>
      <c r="M890" s="11">
        <v>152.47</v>
      </c>
    </row>
    <row r="891" spans="1:13" ht="15.75" customHeight="1" x14ac:dyDescent="0.3">
      <c r="A891" s="4" t="s">
        <v>153</v>
      </c>
      <c r="B891">
        <f t="shared" si="13"/>
        <v>1</v>
      </c>
      <c r="C891" s="2" t="s">
        <v>32</v>
      </c>
      <c r="D891" s="2" t="s">
        <v>788</v>
      </c>
      <c r="E891" s="7">
        <v>89.55</v>
      </c>
      <c r="F891" s="2">
        <v>6</v>
      </c>
      <c r="G891" s="7">
        <v>27.58</v>
      </c>
      <c r="H891" s="2" t="s">
        <v>229</v>
      </c>
      <c r="I891" s="2" t="s">
        <v>35</v>
      </c>
      <c r="J891" s="2" t="s">
        <v>36</v>
      </c>
      <c r="K891" s="2" t="s">
        <v>17</v>
      </c>
      <c r="L891" s="7">
        <f>Table3[[#This Row],[Revenue]]-Table3[[#This Row],[Ad Spend]]</f>
        <v>-61.97</v>
      </c>
      <c r="M891" s="11">
        <v>101.62</v>
      </c>
    </row>
    <row r="892" spans="1:13" ht="15.75" customHeight="1" x14ac:dyDescent="0.3">
      <c r="A892" s="4" t="s">
        <v>126</v>
      </c>
      <c r="B892">
        <f t="shared" si="13"/>
        <v>11</v>
      </c>
      <c r="C892" s="2" t="s">
        <v>32</v>
      </c>
      <c r="D892" s="2" t="s">
        <v>1120</v>
      </c>
      <c r="E892" s="7">
        <v>131.06</v>
      </c>
      <c r="F892" s="2">
        <v>4</v>
      </c>
      <c r="G892" s="7">
        <v>295.72000000000003</v>
      </c>
      <c r="H892" s="2" t="s">
        <v>52</v>
      </c>
      <c r="I892" s="2" t="s">
        <v>15</v>
      </c>
      <c r="J892" s="2" t="s">
        <v>30</v>
      </c>
      <c r="K892" s="2" t="s">
        <v>17</v>
      </c>
      <c r="L892" s="7">
        <f>Table3[[#This Row],[Revenue]]-Table3[[#This Row],[Ad Spend]]</f>
        <v>164.66000000000003</v>
      </c>
      <c r="M892" s="11">
        <v>120.93</v>
      </c>
    </row>
    <row r="893" spans="1:13" ht="15.75" customHeight="1" x14ac:dyDescent="0.3">
      <c r="A893" s="4" t="s">
        <v>656</v>
      </c>
      <c r="B893">
        <f t="shared" si="13"/>
        <v>4</v>
      </c>
      <c r="C893" s="2" t="s">
        <v>63</v>
      </c>
      <c r="D893" s="2" t="s">
        <v>1121</v>
      </c>
      <c r="E893" s="7">
        <v>81.239999999999995</v>
      </c>
      <c r="F893" s="2">
        <v>1</v>
      </c>
      <c r="G893" s="7">
        <v>381.75</v>
      </c>
      <c r="H893" s="2" t="s">
        <v>166</v>
      </c>
      <c r="I893" s="2" t="s">
        <v>35</v>
      </c>
      <c r="J893" s="2" t="s">
        <v>25</v>
      </c>
      <c r="K893" s="2" t="s">
        <v>17</v>
      </c>
      <c r="L893" s="7">
        <f>Table3[[#This Row],[Revenue]]-Table3[[#This Row],[Ad Spend]]</f>
        <v>300.51</v>
      </c>
      <c r="M893" s="11">
        <v>135.47999999999999</v>
      </c>
    </row>
    <row r="894" spans="1:13" ht="15.75" customHeight="1" x14ac:dyDescent="0.3">
      <c r="A894" s="4" t="s">
        <v>392</v>
      </c>
      <c r="B894">
        <f t="shared" si="13"/>
        <v>1</v>
      </c>
      <c r="C894" s="2" t="s">
        <v>12</v>
      </c>
      <c r="D894" s="2" t="s">
        <v>1122</v>
      </c>
      <c r="E894" s="7">
        <v>109.4</v>
      </c>
      <c r="F894" s="2">
        <v>7</v>
      </c>
      <c r="G894" s="7">
        <v>199.47</v>
      </c>
      <c r="H894" s="2" t="s">
        <v>973</v>
      </c>
      <c r="I894" s="2" t="s">
        <v>29</v>
      </c>
      <c r="J894" s="2" t="s">
        <v>36</v>
      </c>
      <c r="K894" s="2" t="s">
        <v>17</v>
      </c>
      <c r="L894" s="7">
        <f>Table3[[#This Row],[Revenue]]-Table3[[#This Row],[Ad Spend]]</f>
        <v>90.07</v>
      </c>
      <c r="M894" s="11">
        <v>154.66</v>
      </c>
    </row>
    <row r="895" spans="1:13" ht="15.75" customHeight="1" x14ac:dyDescent="0.3">
      <c r="A895" s="4" t="s">
        <v>238</v>
      </c>
      <c r="B895">
        <f t="shared" si="13"/>
        <v>3</v>
      </c>
      <c r="C895" s="2" t="s">
        <v>63</v>
      </c>
      <c r="D895" s="2" t="s">
        <v>1123</v>
      </c>
      <c r="E895" s="7">
        <v>120.95</v>
      </c>
      <c r="F895" s="2">
        <v>8</v>
      </c>
      <c r="G895" s="7">
        <v>152.99</v>
      </c>
      <c r="H895" s="2" t="s">
        <v>34</v>
      </c>
      <c r="I895" s="2" t="s">
        <v>35</v>
      </c>
      <c r="J895" s="2" t="s">
        <v>36</v>
      </c>
      <c r="K895" s="2" t="s">
        <v>17</v>
      </c>
      <c r="L895" s="7">
        <f>Table3[[#This Row],[Revenue]]-Table3[[#This Row],[Ad Spend]]</f>
        <v>32.040000000000006</v>
      </c>
      <c r="M895" s="11">
        <v>129.38</v>
      </c>
    </row>
    <row r="896" spans="1:13" ht="15.75" customHeight="1" x14ac:dyDescent="0.3">
      <c r="A896" s="4" t="s">
        <v>216</v>
      </c>
      <c r="B896">
        <f t="shared" si="13"/>
        <v>2</v>
      </c>
      <c r="C896" s="2" t="s">
        <v>12</v>
      </c>
      <c r="D896" s="2" t="s">
        <v>1124</v>
      </c>
      <c r="E896" s="7">
        <v>32.950000000000003</v>
      </c>
      <c r="F896" s="2">
        <v>10</v>
      </c>
      <c r="G896" s="7">
        <v>251.15</v>
      </c>
      <c r="H896" s="2" t="s">
        <v>471</v>
      </c>
      <c r="I896" s="2" t="s">
        <v>29</v>
      </c>
      <c r="J896" s="2" t="s">
        <v>30</v>
      </c>
      <c r="K896" s="2" t="s">
        <v>17</v>
      </c>
      <c r="L896" s="7">
        <f>Table3[[#This Row],[Revenue]]-Table3[[#This Row],[Ad Spend]]</f>
        <v>218.2</v>
      </c>
      <c r="M896" s="11">
        <v>125.81</v>
      </c>
    </row>
    <row r="897" spans="1:13" ht="15.75" customHeight="1" x14ac:dyDescent="0.3">
      <c r="A897" s="4" t="s">
        <v>400</v>
      </c>
      <c r="B897">
        <f t="shared" si="13"/>
        <v>2</v>
      </c>
      <c r="C897" s="2" t="s">
        <v>12</v>
      </c>
      <c r="D897" s="2" t="s">
        <v>796</v>
      </c>
      <c r="E897" s="7">
        <v>60.54</v>
      </c>
      <c r="F897" s="2">
        <v>7</v>
      </c>
      <c r="G897" s="7">
        <v>22.05</v>
      </c>
      <c r="H897" s="2" t="s">
        <v>65</v>
      </c>
      <c r="I897" s="2" t="s">
        <v>35</v>
      </c>
      <c r="J897" s="2" t="s">
        <v>87</v>
      </c>
      <c r="K897" s="2" t="s">
        <v>17</v>
      </c>
      <c r="L897" s="7">
        <f>Table3[[#This Row],[Revenue]]-Table3[[#This Row],[Ad Spend]]</f>
        <v>-38.489999999999995</v>
      </c>
      <c r="M897" s="11">
        <v>125.58</v>
      </c>
    </row>
    <row r="898" spans="1:13" ht="15.75" customHeight="1" x14ac:dyDescent="0.3">
      <c r="A898" s="4" t="s">
        <v>595</v>
      </c>
      <c r="B898">
        <f t="shared" si="13"/>
        <v>3</v>
      </c>
      <c r="C898" s="2" t="s">
        <v>63</v>
      </c>
      <c r="D898" s="2" t="s">
        <v>784</v>
      </c>
      <c r="E898" s="7">
        <v>29.45</v>
      </c>
      <c r="F898" s="2">
        <v>2</v>
      </c>
      <c r="G898" s="7">
        <v>438.32</v>
      </c>
      <c r="H898" s="2" t="s">
        <v>138</v>
      </c>
      <c r="I898" s="2" t="s">
        <v>29</v>
      </c>
      <c r="J898" s="2" t="s">
        <v>25</v>
      </c>
      <c r="K898" s="2" t="s">
        <v>17</v>
      </c>
      <c r="L898" s="7">
        <f>Table3[[#This Row],[Revenue]]-Table3[[#This Row],[Ad Spend]]</f>
        <v>408.87</v>
      </c>
      <c r="M898" s="11">
        <v>136.78</v>
      </c>
    </row>
    <row r="899" spans="1:13" ht="15.75" customHeight="1" x14ac:dyDescent="0.3">
      <c r="A899" s="4" t="s">
        <v>914</v>
      </c>
      <c r="B899">
        <f t="shared" ref="B899:B962" si="14">MONTH(A899)</f>
        <v>11</v>
      </c>
      <c r="C899" s="2" t="s">
        <v>63</v>
      </c>
      <c r="D899" s="2" t="s">
        <v>1088</v>
      </c>
      <c r="E899" s="7">
        <v>47.63</v>
      </c>
      <c r="F899" s="2">
        <v>0</v>
      </c>
      <c r="G899" s="7">
        <v>273.13</v>
      </c>
      <c r="H899" s="2" t="s">
        <v>332</v>
      </c>
      <c r="I899" s="2" t="s">
        <v>15</v>
      </c>
      <c r="J899" s="2" t="s">
        <v>16</v>
      </c>
      <c r="K899" s="2" t="s">
        <v>46</v>
      </c>
      <c r="L899" s="7">
        <f>Table3[[#This Row],[Revenue]]-Table3[[#This Row],[Ad Spend]]</f>
        <v>225.5</v>
      </c>
      <c r="M899" s="11">
        <v>156.13</v>
      </c>
    </row>
    <row r="900" spans="1:13" ht="15.75" customHeight="1" x14ac:dyDescent="0.3">
      <c r="A900" s="4" t="s">
        <v>236</v>
      </c>
      <c r="B900">
        <f t="shared" si="14"/>
        <v>4</v>
      </c>
      <c r="C900" s="2" t="s">
        <v>19</v>
      </c>
      <c r="D900" s="2" t="s">
        <v>23</v>
      </c>
      <c r="E900" s="7">
        <v>83.38</v>
      </c>
      <c r="F900" s="2">
        <v>7</v>
      </c>
      <c r="G900" s="7">
        <v>295.08999999999997</v>
      </c>
      <c r="H900" s="2" t="s">
        <v>364</v>
      </c>
      <c r="I900" s="2" t="s">
        <v>35</v>
      </c>
      <c r="J900" s="2" t="s">
        <v>87</v>
      </c>
      <c r="K900" s="2" t="s">
        <v>17</v>
      </c>
      <c r="L900" s="7">
        <f>Table3[[#This Row],[Revenue]]-Table3[[#This Row],[Ad Spend]]</f>
        <v>211.70999999999998</v>
      </c>
      <c r="M900" s="11">
        <v>122.6</v>
      </c>
    </row>
    <row r="901" spans="1:13" ht="15.75" customHeight="1" x14ac:dyDescent="0.3">
      <c r="A901" s="4" t="s">
        <v>71</v>
      </c>
      <c r="B901">
        <f t="shared" si="14"/>
        <v>12</v>
      </c>
      <c r="C901" s="2" t="s">
        <v>12</v>
      </c>
      <c r="D901" s="2" t="s">
        <v>423</v>
      </c>
      <c r="E901" s="7">
        <v>115.26</v>
      </c>
      <c r="F901" s="2">
        <v>3</v>
      </c>
      <c r="G901" s="7">
        <v>364.51</v>
      </c>
      <c r="H901" s="2" t="s">
        <v>28</v>
      </c>
      <c r="I901" s="2" t="s">
        <v>15</v>
      </c>
      <c r="J901" s="2" t="s">
        <v>87</v>
      </c>
      <c r="K901" s="2" t="s">
        <v>17</v>
      </c>
      <c r="L901" s="7">
        <f>Table3[[#This Row],[Revenue]]-Table3[[#This Row],[Ad Spend]]</f>
        <v>249.25</v>
      </c>
      <c r="M901" s="11">
        <v>143.02000000000001</v>
      </c>
    </row>
    <row r="902" spans="1:13" ht="15.75" customHeight="1" x14ac:dyDescent="0.3">
      <c r="A902" s="4" t="s">
        <v>753</v>
      </c>
      <c r="B902">
        <f t="shared" si="14"/>
        <v>11</v>
      </c>
      <c r="C902" s="2" t="s">
        <v>19</v>
      </c>
      <c r="D902" s="2" t="s">
        <v>455</v>
      </c>
      <c r="E902" s="7">
        <v>69.44</v>
      </c>
      <c r="F902" s="2">
        <v>7</v>
      </c>
      <c r="G902" s="7">
        <v>192.69</v>
      </c>
      <c r="H902" s="2" t="s">
        <v>166</v>
      </c>
      <c r="I902" s="2" t="s">
        <v>29</v>
      </c>
      <c r="J902" s="2" t="s">
        <v>53</v>
      </c>
      <c r="K902" s="2" t="s">
        <v>17</v>
      </c>
      <c r="L902" s="7">
        <f>Table3[[#This Row],[Revenue]]-Table3[[#This Row],[Ad Spend]]</f>
        <v>123.25</v>
      </c>
      <c r="M902" s="11">
        <v>139.82</v>
      </c>
    </row>
    <row r="903" spans="1:13" ht="15.75" customHeight="1" x14ac:dyDescent="0.3">
      <c r="A903" s="4" t="s">
        <v>683</v>
      </c>
      <c r="B903">
        <f t="shared" si="14"/>
        <v>11</v>
      </c>
      <c r="C903" s="2" t="s">
        <v>12</v>
      </c>
      <c r="D903" s="2" t="s">
        <v>396</v>
      </c>
      <c r="E903" s="7">
        <v>8.39</v>
      </c>
      <c r="F903" s="2">
        <v>4</v>
      </c>
      <c r="G903" s="7">
        <v>100.86</v>
      </c>
      <c r="H903" s="2" t="s">
        <v>1125</v>
      </c>
      <c r="I903" s="2" t="s">
        <v>15</v>
      </c>
      <c r="J903" s="2" t="s">
        <v>16</v>
      </c>
      <c r="K903" s="2" t="s">
        <v>17</v>
      </c>
      <c r="L903" s="7">
        <f>Table3[[#This Row],[Revenue]]-Table3[[#This Row],[Ad Spend]]</f>
        <v>92.47</v>
      </c>
      <c r="M903" s="11">
        <v>83.67</v>
      </c>
    </row>
    <row r="904" spans="1:13" ht="15.75" customHeight="1" x14ac:dyDescent="0.3">
      <c r="A904" s="4" t="s">
        <v>74</v>
      </c>
      <c r="B904">
        <f t="shared" si="14"/>
        <v>11</v>
      </c>
      <c r="C904" s="2" t="s">
        <v>12</v>
      </c>
      <c r="D904" s="2" t="s">
        <v>518</v>
      </c>
      <c r="E904" s="7">
        <v>35.380000000000003</v>
      </c>
      <c r="F904" s="2">
        <v>1</v>
      </c>
      <c r="G904" s="7">
        <v>431.37</v>
      </c>
      <c r="H904" s="2" t="s">
        <v>34</v>
      </c>
      <c r="I904" s="2" t="s">
        <v>29</v>
      </c>
      <c r="J904" s="2" t="s">
        <v>30</v>
      </c>
      <c r="K904" s="2" t="s">
        <v>17</v>
      </c>
      <c r="L904" s="7">
        <f>Table3[[#This Row],[Revenue]]-Table3[[#This Row],[Ad Spend]]</f>
        <v>395.99</v>
      </c>
      <c r="M904" s="11">
        <v>122.18</v>
      </c>
    </row>
    <row r="905" spans="1:13" ht="15.75" customHeight="1" x14ac:dyDescent="0.3">
      <c r="A905" s="4" t="s">
        <v>184</v>
      </c>
      <c r="B905">
        <f t="shared" si="14"/>
        <v>3</v>
      </c>
      <c r="C905" s="2" t="s">
        <v>32</v>
      </c>
      <c r="D905" s="2" t="s">
        <v>444</v>
      </c>
      <c r="E905" s="7">
        <v>109.44</v>
      </c>
      <c r="F905" s="2">
        <v>10</v>
      </c>
      <c r="G905" s="7">
        <v>242.23</v>
      </c>
      <c r="H905" s="2" t="s">
        <v>831</v>
      </c>
      <c r="I905" s="2" t="s">
        <v>15</v>
      </c>
      <c r="J905" s="2" t="s">
        <v>53</v>
      </c>
      <c r="K905" s="2" t="s">
        <v>17</v>
      </c>
      <c r="L905" s="7">
        <f>Table3[[#This Row],[Revenue]]-Table3[[#This Row],[Ad Spend]]</f>
        <v>132.79</v>
      </c>
      <c r="M905" s="11">
        <v>77.349999999999994</v>
      </c>
    </row>
    <row r="906" spans="1:13" ht="15.75" customHeight="1" x14ac:dyDescent="0.3">
      <c r="A906" s="4" t="s">
        <v>37</v>
      </c>
      <c r="B906">
        <f t="shared" si="14"/>
        <v>12</v>
      </c>
      <c r="C906" s="2" t="s">
        <v>63</v>
      </c>
      <c r="D906" s="2" t="s">
        <v>253</v>
      </c>
      <c r="E906" s="7">
        <v>83.29</v>
      </c>
      <c r="F906" s="2">
        <v>1</v>
      </c>
      <c r="G906" s="7">
        <v>180.31</v>
      </c>
      <c r="H906" s="2" t="s">
        <v>104</v>
      </c>
      <c r="I906" s="2" t="s">
        <v>29</v>
      </c>
      <c r="J906" s="2" t="s">
        <v>30</v>
      </c>
      <c r="K906" s="2" t="s">
        <v>17</v>
      </c>
      <c r="L906" s="7">
        <f>Table3[[#This Row],[Revenue]]-Table3[[#This Row],[Ad Spend]]</f>
        <v>97.02</v>
      </c>
      <c r="M906" s="11">
        <v>114.36</v>
      </c>
    </row>
    <row r="907" spans="1:13" ht="15.75" customHeight="1" x14ac:dyDescent="0.3">
      <c r="A907" s="4" t="s">
        <v>47</v>
      </c>
      <c r="B907">
        <f t="shared" si="14"/>
        <v>12</v>
      </c>
      <c r="C907" s="2" t="s">
        <v>19</v>
      </c>
      <c r="D907" s="2" t="s">
        <v>870</v>
      </c>
      <c r="E907" s="7">
        <v>127.82</v>
      </c>
      <c r="F907" s="2">
        <v>6</v>
      </c>
      <c r="G907" s="7">
        <v>246.01</v>
      </c>
      <c r="H907" s="2" t="s">
        <v>1126</v>
      </c>
      <c r="I907" s="2" t="s">
        <v>29</v>
      </c>
      <c r="J907" s="2" t="s">
        <v>30</v>
      </c>
      <c r="K907" s="2" t="s">
        <v>17</v>
      </c>
      <c r="L907" s="7">
        <f>Table3[[#This Row],[Revenue]]-Table3[[#This Row],[Ad Spend]]</f>
        <v>118.19</v>
      </c>
      <c r="M907" s="11">
        <v>136.02000000000001</v>
      </c>
    </row>
    <row r="908" spans="1:13" ht="15.75" customHeight="1" x14ac:dyDescent="0.3">
      <c r="A908" s="4" t="s">
        <v>785</v>
      </c>
      <c r="B908">
        <f t="shared" si="14"/>
        <v>1</v>
      </c>
      <c r="C908" s="2" t="s">
        <v>32</v>
      </c>
      <c r="D908" s="2" t="s">
        <v>1127</v>
      </c>
      <c r="E908" s="7">
        <v>92.02</v>
      </c>
      <c r="F908" s="2">
        <v>1</v>
      </c>
      <c r="G908" s="7">
        <v>24.56</v>
      </c>
      <c r="H908" s="2" t="s">
        <v>1004</v>
      </c>
      <c r="I908" s="2" t="s">
        <v>35</v>
      </c>
      <c r="J908" s="2" t="s">
        <v>30</v>
      </c>
      <c r="K908" s="2" t="s">
        <v>17</v>
      </c>
      <c r="L908" s="7">
        <f>Table3[[#This Row],[Revenue]]-Table3[[#This Row],[Ad Spend]]</f>
        <v>-67.459999999999994</v>
      </c>
      <c r="M908" s="11">
        <v>74.349999999999994</v>
      </c>
    </row>
    <row r="909" spans="1:13" ht="15.75" customHeight="1" x14ac:dyDescent="0.3">
      <c r="A909" s="4" t="s">
        <v>187</v>
      </c>
      <c r="B909">
        <f t="shared" si="14"/>
        <v>1</v>
      </c>
      <c r="C909" s="2" t="s">
        <v>12</v>
      </c>
      <c r="D909" s="2" t="s">
        <v>1128</v>
      </c>
      <c r="E909" s="7">
        <v>92.55</v>
      </c>
      <c r="F909" s="2">
        <v>3</v>
      </c>
      <c r="G909" s="7">
        <v>116.63</v>
      </c>
      <c r="H909" s="2" t="s">
        <v>491</v>
      </c>
      <c r="I909" s="2" t="s">
        <v>35</v>
      </c>
      <c r="J909" s="2" t="s">
        <v>30</v>
      </c>
      <c r="K909" s="2" t="s">
        <v>17</v>
      </c>
      <c r="L909" s="7">
        <f>Table3[[#This Row],[Revenue]]-Table3[[#This Row],[Ad Spend]]</f>
        <v>24.08</v>
      </c>
      <c r="M909" s="11">
        <v>126.19</v>
      </c>
    </row>
    <row r="910" spans="1:13" ht="15.75" customHeight="1" x14ac:dyDescent="0.3">
      <c r="A910" s="4" t="s">
        <v>472</v>
      </c>
      <c r="B910">
        <f t="shared" si="14"/>
        <v>4</v>
      </c>
      <c r="C910" s="2" t="s">
        <v>19</v>
      </c>
      <c r="D910" s="2" t="s">
        <v>1007</v>
      </c>
      <c r="E910" s="7">
        <v>37.93</v>
      </c>
      <c r="F910" s="2">
        <v>5</v>
      </c>
      <c r="G910" s="7">
        <v>439.67</v>
      </c>
      <c r="H910" s="2" t="s">
        <v>1129</v>
      </c>
      <c r="I910" s="2" t="s">
        <v>15</v>
      </c>
      <c r="J910" s="2" t="s">
        <v>30</v>
      </c>
      <c r="K910" s="2" t="s">
        <v>17</v>
      </c>
      <c r="L910" s="7">
        <f>Table3[[#This Row],[Revenue]]-Table3[[#This Row],[Ad Spend]]</f>
        <v>401.74</v>
      </c>
      <c r="M910" s="11">
        <v>204.21</v>
      </c>
    </row>
    <row r="911" spans="1:13" ht="15.75" customHeight="1" x14ac:dyDescent="0.3">
      <c r="A911" s="4" t="s">
        <v>202</v>
      </c>
      <c r="B911">
        <f t="shared" si="14"/>
        <v>3</v>
      </c>
      <c r="C911" s="2" t="s">
        <v>32</v>
      </c>
      <c r="D911" s="2" t="s">
        <v>697</v>
      </c>
      <c r="E911" s="7">
        <v>102.78</v>
      </c>
      <c r="F911" s="2">
        <v>10</v>
      </c>
      <c r="G911" s="7">
        <v>457.37</v>
      </c>
      <c r="H911" s="2" t="s">
        <v>451</v>
      </c>
      <c r="I911" s="2" t="s">
        <v>35</v>
      </c>
      <c r="J911" s="2" t="s">
        <v>16</v>
      </c>
      <c r="K911" s="2" t="s">
        <v>17</v>
      </c>
      <c r="L911" s="7">
        <f>Table3[[#This Row],[Revenue]]-Table3[[#This Row],[Ad Spend]]</f>
        <v>354.59000000000003</v>
      </c>
      <c r="M911" s="11">
        <v>138.07</v>
      </c>
    </row>
    <row r="912" spans="1:13" ht="15.75" customHeight="1" x14ac:dyDescent="0.3">
      <c r="A912" s="4" t="s">
        <v>459</v>
      </c>
      <c r="B912">
        <f t="shared" si="14"/>
        <v>4</v>
      </c>
      <c r="C912" s="2" t="s">
        <v>32</v>
      </c>
      <c r="D912" s="2" t="s">
        <v>644</v>
      </c>
      <c r="E912" s="7">
        <v>66.92</v>
      </c>
      <c r="F912" s="2">
        <v>10</v>
      </c>
      <c r="G912" s="7">
        <v>93.99</v>
      </c>
      <c r="H912" s="2" t="s">
        <v>1130</v>
      </c>
      <c r="I912" s="2" t="s">
        <v>29</v>
      </c>
      <c r="J912" s="2" t="s">
        <v>30</v>
      </c>
      <c r="K912" s="2" t="s">
        <v>17</v>
      </c>
      <c r="L912" s="7">
        <f>Table3[[#This Row],[Revenue]]-Table3[[#This Row],[Ad Spend]]</f>
        <v>27.069999999999993</v>
      </c>
      <c r="M912" s="11">
        <v>54.41</v>
      </c>
    </row>
    <row r="913" spans="1:13" ht="15.75" customHeight="1" x14ac:dyDescent="0.3">
      <c r="A913" s="4" t="s">
        <v>659</v>
      </c>
      <c r="B913">
        <f t="shared" si="14"/>
        <v>4</v>
      </c>
      <c r="C913" s="2" t="s">
        <v>12</v>
      </c>
      <c r="D913" s="2" t="s">
        <v>1103</v>
      </c>
      <c r="E913" s="7">
        <v>115.92</v>
      </c>
      <c r="F913" s="2">
        <v>1</v>
      </c>
      <c r="G913" s="7">
        <v>338.2</v>
      </c>
      <c r="H913" s="2" t="s">
        <v>112</v>
      </c>
      <c r="I913" s="2" t="s">
        <v>15</v>
      </c>
      <c r="J913" s="2" t="s">
        <v>30</v>
      </c>
      <c r="K913" s="2" t="s">
        <v>17</v>
      </c>
      <c r="L913" s="7">
        <f>Table3[[#This Row],[Revenue]]-Table3[[#This Row],[Ad Spend]]</f>
        <v>222.27999999999997</v>
      </c>
      <c r="M913" s="11">
        <v>118.69</v>
      </c>
    </row>
    <row r="914" spans="1:13" ht="15.75" customHeight="1" x14ac:dyDescent="0.3">
      <c r="A914" s="4" t="s">
        <v>184</v>
      </c>
      <c r="B914">
        <f t="shared" si="14"/>
        <v>3</v>
      </c>
      <c r="C914" s="2" t="s">
        <v>32</v>
      </c>
      <c r="D914" s="2" t="s">
        <v>991</v>
      </c>
      <c r="E914" s="7">
        <v>52.35</v>
      </c>
      <c r="F914" s="2">
        <v>6</v>
      </c>
      <c r="G914" s="7">
        <v>421.93</v>
      </c>
      <c r="H914" s="2" t="s">
        <v>911</v>
      </c>
      <c r="I914" s="2" t="s">
        <v>35</v>
      </c>
      <c r="J914" s="2" t="s">
        <v>30</v>
      </c>
      <c r="K914" s="2" t="s">
        <v>17</v>
      </c>
      <c r="L914" s="7">
        <f>Table3[[#This Row],[Revenue]]-Table3[[#This Row],[Ad Spend]]</f>
        <v>369.58</v>
      </c>
      <c r="M914" s="11">
        <v>128.44999999999999</v>
      </c>
    </row>
    <row r="915" spans="1:13" ht="15.75" customHeight="1" x14ac:dyDescent="0.3">
      <c r="A915" s="4" t="s">
        <v>421</v>
      </c>
      <c r="B915">
        <f t="shared" si="14"/>
        <v>11</v>
      </c>
      <c r="C915" s="2" t="s">
        <v>19</v>
      </c>
      <c r="D915" s="2" t="s">
        <v>680</v>
      </c>
      <c r="E915" s="7">
        <v>126.36</v>
      </c>
      <c r="F915" s="2">
        <v>8</v>
      </c>
      <c r="G915" s="7">
        <v>464.72</v>
      </c>
      <c r="H915" s="2" t="s">
        <v>138</v>
      </c>
      <c r="I915" s="2" t="s">
        <v>35</v>
      </c>
      <c r="J915" s="2" t="s">
        <v>30</v>
      </c>
      <c r="K915" s="2" t="s">
        <v>17</v>
      </c>
      <c r="L915" s="7">
        <f>Table3[[#This Row],[Revenue]]-Table3[[#This Row],[Ad Spend]]</f>
        <v>338.36</v>
      </c>
      <c r="M915" s="11">
        <v>135.03</v>
      </c>
    </row>
    <row r="916" spans="1:13" ht="15.75" customHeight="1" x14ac:dyDescent="0.3">
      <c r="A916" s="4" t="s">
        <v>105</v>
      </c>
      <c r="B916">
        <f t="shared" si="14"/>
        <v>1</v>
      </c>
      <c r="C916" s="2" t="s">
        <v>12</v>
      </c>
      <c r="D916" s="2" t="s">
        <v>1131</v>
      </c>
      <c r="E916" s="7">
        <v>103.89</v>
      </c>
      <c r="F916" s="2">
        <v>7</v>
      </c>
      <c r="G916" s="7">
        <v>88.27</v>
      </c>
      <c r="H916" s="2" t="s">
        <v>128</v>
      </c>
      <c r="I916" s="2" t="s">
        <v>15</v>
      </c>
      <c r="J916" s="2" t="s">
        <v>36</v>
      </c>
      <c r="K916" s="2" t="s">
        <v>17</v>
      </c>
      <c r="L916" s="7">
        <f>Table3[[#This Row],[Revenue]]-Table3[[#This Row],[Ad Spend]]</f>
        <v>-15.620000000000005</v>
      </c>
      <c r="M916" s="11">
        <v>115.64</v>
      </c>
    </row>
    <row r="917" spans="1:13" ht="15.75" customHeight="1" x14ac:dyDescent="0.3">
      <c r="A917" s="4" t="s">
        <v>261</v>
      </c>
      <c r="B917">
        <f t="shared" si="14"/>
        <v>10</v>
      </c>
      <c r="C917" s="2" t="s">
        <v>32</v>
      </c>
      <c r="D917" s="2" t="s">
        <v>1132</v>
      </c>
      <c r="E917" s="7">
        <v>46.17</v>
      </c>
      <c r="F917" s="2">
        <v>9</v>
      </c>
      <c r="G917" s="7">
        <v>77.92</v>
      </c>
      <c r="H917" s="2" t="s">
        <v>313</v>
      </c>
      <c r="I917" s="2" t="s">
        <v>15</v>
      </c>
      <c r="J917" s="2" t="s">
        <v>25</v>
      </c>
      <c r="K917" s="2" t="s">
        <v>17</v>
      </c>
      <c r="L917" s="7">
        <f>Table3[[#This Row],[Revenue]]-Table3[[#This Row],[Ad Spend]]</f>
        <v>31.75</v>
      </c>
      <c r="M917" s="11">
        <v>122.02</v>
      </c>
    </row>
    <row r="918" spans="1:13" ht="15.75" customHeight="1" x14ac:dyDescent="0.3">
      <c r="A918" s="4" t="s">
        <v>619</v>
      </c>
      <c r="B918">
        <f t="shared" si="14"/>
        <v>1</v>
      </c>
      <c r="C918" s="2" t="s">
        <v>12</v>
      </c>
      <c r="D918" s="2" t="s">
        <v>1133</v>
      </c>
      <c r="E918" s="7">
        <v>148.96</v>
      </c>
      <c r="F918" s="2">
        <v>5</v>
      </c>
      <c r="G918" s="7">
        <v>451.83</v>
      </c>
      <c r="H918" s="2" t="s">
        <v>78</v>
      </c>
      <c r="I918" s="2" t="s">
        <v>15</v>
      </c>
      <c r="J918" s="2" t="s">
        <v>25</v>
      </c>
      <c r="K918" s="2" t="s">
        <v>17</v>
      </c>
      <c r="L918" s="7">
        <f>Table3[[#This Row],[Revenue]]-Table3[[#This Row],[Ad Spend]]</f>
        <v>302.87</v>
      </c>
      <c r="M918" s="11">
        <v>155.41999999999999</v>
      </c>
    </row>
    <row r="919" spans="1:13" ht="15.75" customHeight="1" x14ac:dyDescent="0.3">
      <c r="A919" s="4" t="s">
        <v>836</v>
      </c>
      <c r="B919">
        <f t="shared" si="14"/>
        <v>11</v>
      </c>
      <c r="C919" s="2" t="s">
        <v>19</v>
      </c>
      <c r="D919" s="2" t="s">
        <v>1134</v>
      </c>
      <c r="E919" s="7">
        <v>138.61000000000001</v>
      </c>
      <c r="F919" s="2">
        <v>3</v>
      </c>
      <c r="G919" s="7">
        <v>163.69999999999999</v>
      </c>
      <c r="H919" s="2" t="s">
        <v>260</v>
      </c>
      <c r="I919" s="2" t="s">
        <v>15</v>
      </c>
      <c r="J919" s="2" t="s">
        <v>30</v>
      </c>
      <c r="K919" s="2" t="s">
        <v>17</v>
      </c>
      <c r="L919" s="7">
        <f>Table3[[#This Row],[Revenue]]-Table3[[#This Row],[Ad Spend]]</f>
        <v>25.089999999999975</v>
      </c>
      <c r="M919" s="11">
        <v>132.4</v>
      </c>
    </row>
    <row r="920" spans="1:13" ht="15.75" customHeight="1" x14ac:dyDescent="0.3">
      <c r="A920" s="4" t="s">
        <v>850</v>
      </c>
      <c r="B920">
        <f t="shared" si="14"/>
        <v>11</v>
      </c>
      <c r="C920" s="2" t="s">
        <v>19</v>
      </c>
      <c r="D920" s="2" t="s">
        <v>1135</v>
      </c>
      <c r="E920" s="7">
        <v>25.09</v>
      </c>
      <c r="F920" s="2">
        <v>8</v>
      </c>
      <c r="G920" s="7">
        <v>384.78</v>
      </c>
      <c r="H920" s="2" t="s">
        <v>112</v>
      </c>
      <c r="I920" s="2" t="s">
        <v>29</v>
      </c>
      <c r="J920" s="2" t="s">
        <v>36</v>
      </c>
      <c r="K920" s="2" t="s">
        <v>17</v>
      </c>
      <c r="L920" s="7">
        <f>Table3[[#This Row],[Revenue]]-Table3[[#This Row],[Ad Spend]]</f>
        <v>359.69</v>
      </c>
      <c r="M920" s="11">
        <v>115.83</v>
      </c>
    </row>
    <row r="921" spans="1:13" ht="15.75" customHeight="1" x14ac:dyDescent="0.3">
      <c r="A921" s="4" t="s">
        <v>194</v>
      </c>
      <c r="B921">
        <f t="shared" si="14"/>
        <v>11</v>
      </c>
      <c r="C921" s="2" t="s">
        <v>12</v>
      </c>
      <c r="D921" s="2" t="s">
        <v>1136</v>
      </c>
      <c r="E921" s="7">
        <v>124.33</v>
      </c>
      <c r="F921" s="2">
        <v>8</v>
      </c>
      <c r="G921" s="7">
        <v>335.61</v>
      </c>
      <c r="H921" s="2" t="s">
        <v>489</v>
      </c>
      <c r="I921" s="2" t="s">
        <v>35</v>
      </c>
      <c r="J921" s="2" t="s">
        <v>53</v>
      </c>
      <c r="K921" s="2" t="s">
        <v>17</v>
      </c>
      <c r="L921" s="7">
        <f>Table3[[#This Row],[Revenue]]-Table3[[#This Row],[Ad Spend]]</f>
        <v>211.28000000000003</v>
      </c>
      <c r="M921" s="11">
        <v>144.6</v>
      </c>
    </row>
    <row r="922" spans="1:13" ht="15.75" customHeight="1" x14ac:dyDescent="0.3">
      <c r="A922" s="4" t="s">
        <v>164</v>
      </c>
      <c r="B922">
        <f t="shared" si="14"/>
        <v>2</v>
      </c>
      <c r="C922" s="2" t="s">
        <v>63</v>
      </c>
      <c r="D922" s="2" t="s">
        <v>641</v>
      </c>
      <c r="E922" s="7">
        <v>27.21</v>
      </c>
      <c r="F922" s="2">
        <v>2</v>
      </c>
      <c r="G922" s="7">
        <v>468.59</v>
      </c>
      <c r="H922" s="2" t="s">
        <v>854</v>
      </c>
      <c r="I922" s="2" t="s">
        <v>29</v>
      </c>
      <c r="J922" s="2" t="s">
        <v>87</v>
      </c>
      <c r="K922" s="2" t="s">
        <v>17</v>
      </c>
      <c r="L922" s="7">
        <f>Table3[[#This Row],[Revenue]]-Table3[[#This Row],[Ad Spend]]</f>
        <v>441.38</v>
      </c>
      <c r="M922" s="11">
        <v>153.63</v>
      </c>
    </row>
    <row r="923" spans="1:13" ht="15.75" customHeight="1" x14ac:dyDescent="0.3">
      <c r="A923" s="4" t="s">
        <v>691</v>
      </c>
      <c r="B923">
        <f t="shared" si="14"/>
        <v>2</v>
      </c>
      <c r="C923" s="2" t="s">
        <v>32</v>
      </c>
      <c r="D923" s="2" t="s">
        <v>1137</v>
      </c>
      <c r="E923" s="7">
        <v>9.57</v>
      </c>
      <c r="F923" s="2">
        <v>3</v>
      </c>
      <c r="G923" s="7">
        <v>165.29</v>
      </c>
      <c r="H923" s="2" t="s">
        <v>28</v>
      </c>
      <c r="I923" s="2" t="s">
        <v>29</v>
      </c>
      <c r="J923" s="2" t="s">
        <v>30</v>
      </c>
      <c r="K923" s="2" t="s">
        <v>17</v>
      </c>
      <c r="L923" s="7">
        <f>Table3[[#This Row],[Revenue]]-Table3[[#This Row],[Ad Spend]]</f>
        <v>155.72</v>
      </c>
      <c r="M923" s="11">
        <v>138</v>
      </c>
    </row>
    <row r="924" spans="1:13" ht="15.75" customHeight="1" x14ac:dyDescent="0.3">
      <c r="A924" s="4" t="s">
        <v>485</v>
      </c>
      <c r="B924">
        <f t="shared" si="14"/>
        <v>12</v>
      </c>
      <c r="C924" s="2" t="s">
        <v>32</v>
      </c>
      <c r="D924" s="2" t="s">
        <v>1138</v>
      </c>
      <c r="E924" s="7">
        <v>128.36000000000001</v>
      </c>
      <c r="F924" s="2">
        <v>5</v>
      </c>
      <c r="G924" s="7">
        <v>70.290000000000006</v>
      </c>
      <c r="H924" s="2" t="s">
        <v>198</v>
      </c>
      <c r="I924" s="2" t="s">
        <v>15</v>
      </c>
      <c r="J924" s="2" t="s">
        <v>25</v>
      </c>
      <c r="K924" s="2" t="s">
        <v>17</v>
      </c>
      <c r="L924" s="7">
        <f>Table3[[#This Row],[Revenue]]-Table3[[#This Row],[Ad Spend]]</f>
        <v>-58.070000000000007</v>
      </c>
      <c r="M924" s="11">
        <v>108.87</v>
      </c>
    </row>
    <row r="925" spans="1:13" ht="15.75" customHeight="1" x14ac:dyDescent="0.3">
      <c r="A925" s="4" t="s">
        <v>623</v>
      </c>
      <c r="B925">
        <f t="shared" si="14"/>
        <v>1</v>
      </c>
      <c r="C925" s="2" t="s">
        <v>63</v>
      </c>
      <c r="D925" s="2" t="s">
        <v>668</v>
      </c>
      <c r="E925" s="7">
        <v>114.14</v>
      </c>
      <c r="F925" s="2">
        <v>5</v>
      </c>
      <c r="G925" s="7">
        <v>338.83</v>
      </c>
      <c r="H925" s="2" t="s">
        <v>529</v>
      </c>
      <c r="I925" s="2" t="s">
        <v>35</v>
      </c>
      <c r="J925" s="2" t="s">
        <v>25</v>
      </c>
      <c r="K925" s="2" t="s">
        <v>17</v>
      </c>
      <c r="L925" s="7">
        <f>Table3[[#This Row],[Revenue]]-Table3[[#This Row],[Ad Spend]]</f>
        <v>224.69</v>
      </c>
      <c r="M925" s="11">
        <v>141.16999999999999</v>
      </c>
    </row>
    <row r="926" spans="1:13" ht="15.75" customHeight="1" x14ac:dyDescent="0.3">
      <c r="A926" s="4" t="s">
        <v>552</v>
      </c>
      <c r="B926">
        <f t="shared" si="14"/>
        <v>11</v>
      </c>
      <c r="C926" s="2" t="s">
        <v>63</v>
      </c>
      <c r="D926" s="2" t="s">
        <v>316</v>
      </c>
      <c r="E926" s="7">
        <v>127.33</v>
      </c>
      <c r="F926" s="2">
        <v>10</v>
      </c>
      <c r="G926" s="7">
        <v>474.61</v>
      </c>
      <c r="H926" s="2" t="s">
        <v>1139</v>
      </c>
      <c r="I926" s="2" t="s">
        <v>15</v>
      </c>
      <c r="J926" s="2" t="s">
        <v>16</v>
      </c>
      <c r="K926" s="2" t="s">
        <v>17</v>
      </c>
      <c r="L926" s="7">
        <f>Table3[[#This Row],[Revenue]]-Table3[[#This Row],[Ad Spend]]</f>
        <v>347.28000000000003</v>
      </c>
      <c r="M926" s="11">
        <v>162.37</v>
      </c>
    </row>
    <row r="927" spans="1:13" ht="15.75" customHeight="1" x14ac:dyDescent="0.3">
      <c r="A927" s="4" t="s">
        <v>676</v>
      </c>
      <c r="B927">
        <f t="shared" si="14"/>
        <v>4</v>
      </c>
      <c r="C927" s="2" t="s">
        <v>12</v>
      </c>
      <c r="D927" s="2" t="s">
        <v>1066</v>
      </c>
      <c r="E927" s="7">
        <v>93.33</v>
      </c>
      <c r="F927" s="2">
        <v>4</v>
      </c>
      <c r="G927" s="7">
        <v>423.14</v>
      </c>
      <c r="H927" s="2" t="s">
        <v>621</v>
      </c>
      <c r="I927" s="2" t="s">
        <v>15</v>
      </c>
      <c r="J927" s="2" t="s">
        <v>53</v>
      </c>
      <c r="K927" s="2" t="s">
        <v>17</v>
      </c>
      <c r="L927" s="7">
        <f>Table3[[#This Row],[Revenue]]-Table3[[#This Row],[Ad Spend]]</f>
        <v>329.81</v>
      </c>
      <c r="M927" s="11">
        <v>195.6</v>
      </c>
    </row>
    <row r="928" spans="1:13" ht="15.75" customHeight="1" x14ac:dyDescent="0.3">
      <c r="A928" s="4" t="s">
        <v>875</v>
      </c>
      <c r="B928">
        <f t="shared" si="14"/>
        <v>12</v>
      </c>
      <c r="C928" s="2" t="s">
        <v>19</v>
      </c>
      <c r="D928" s="2" t="s">
        <v>870</v>
      </c>
      <c r="E928" s="7">
        <v>47.16</v>
      </c>
      <c r="F928" s="2">
        <v>8</v>
      </c>
      <c r="G928" s="7">
        <v>30.26</v>
      </c>
      <c r="H928" s="2" t="s">
        <v>529</v>
      </c>
      <c r="I928" s="2" t="s">
        <v>29</v>
      </c>
      <c r="J928" s="2" t="s">
        <v>30</v>
      </c>
      <c r="K928" s="2" t="s">
        <v>17</v>
      </c>
      <c r="L928" s="7">
        <f>Table3[[#This Row],[Revenue]]-Table3[[#This Row],[Ad Spend]]</f>
        <v>-16.899999999999995</v>
      </c>
      <c r="M928" s="11">
        <v>144.09</v>
      </c>
    </row>
    <row r="929" spans="1:13" ht="15.75" customHeight="1" x14ac:dyDescent="0.3">
      <c r="A929" s="4" t="s">
        <v>519</v>
      </c>
      <c r="B929">
        <f t="shared" si="14"/>
        <v>4</v>
      </c>
      <c r="C929" s="2" t="s">
        <v>19</v>
      </c>
      <c r="D929" s="2" t="s">
        <v>55</v>
      </c>
      <c r="E929" s="7">
        <v>79.42</v>
      </c>
      <c r="F929" s="2">
        <v>10</v>
      </c>
      <c r="G929" s="7">
        <v>362.3</v>
      </c>
      <c r="H929" s="2" t="s">
        <v>235</v>
      </c>
      <c r="I929" s="2" t="s">
        <v>29</v>
      </c>
      <c r="J929" s="2" t="s">
        <v>87</v>
      </c>
      <c r="K929" s="2" t="s">
        <v>17</v>
      </c>
      <c r="L929" s="7">
        <f>Table3[[#This Row],[Revenue]]-Table3[[#This Row],[Ad Spend]]</f>
        <v>282.88</v>
      </c>
      <c r="M929" s="11">
        <v>127.31</v>
      </c>
    </row>
    <row r="930" spans="1:13" ht="15.75" customHeight="1" x14ac:dyDescent="0.3">
      <c r="A930" s="4" t="s">
        <v>162</v>
      </c>
      <c r="B930">
        <f t="shared" si="14"/>
        <v>4</v>
      </c>
      <c r="C930" s="2" t="s">
        <v>12</v>
      </c>
      <c r="D930" s="2" t="s">
        <v>1140</v>
      </c>
      <c r="E930" s="7">
        <v>53.52</v>
      </c>
      <c r="F930" s="2">
        <v>4</v>
      </c>
      <c r="G930" s="7">
        <v>25.72</v>
      </c>
      <c r="H930" s="2" t="s">
        <v>1084</v>
      </c>
      <c r="I930" s="2" t="s">
        <v>29</v>
      </c>
      <c r="J930" s="2" t="s">
        <v>30</v>
      </c>
      <c r="K930" s="2" t="s">
        <v>17</v>
      </c>
      <c r="L930" s="7">
        <f>Table3[[#This Row],[Revenue]]-Table3[[#This Row],[Ad Spend]]</f>
        <v>-27.800000000000004</v>
      </c>
      <c r="M930" s="11">
        <v>95.89</v>
      </c>
    </row>
    <row r="931" spans="1:13" ht="15.75" customHeight="1" x14ac:dyDescent="0.3">
      <c r="A931" s="4" t="s">
        <v>37</v>
      </c>
      <c r="B931">
        <f t="shared" si="14"/>
        <v>12</v>
      </c>
      <c r="C931" s="2" t="s">
        <v>19</v>
      </c>
      <c r="D931" s="2" t="s">
        <v>948</v>
      </c>
      <c r="E931" s="7">
        <v>73.63</v>
      </c>
      <c r="F931" s="2">
        <v>7</v>
      </c>
      <c r="G931" s="7">
        <v>366.67</v>
      </c>
      <c r="H931" s="2" t="s">
        <v>427</v>
      </c>
      <c r="I931" s="2" t="s">
        <v>35</v>
      </c>
      <c r="J931" s="2" t="s">
        <v>53</v>
      </c>
      <c r="K931" s="2" t="s">
        <v>17</v>
      </c>
      <c r="L931" s="7">
        <f>Table3[[#This Row],[Revenue]]-Table3[[#This Row],[Ad Spend]]</f>
        <v>293.04000000000002</v>
      </c>
      <c r="M931" s="11">
        <v>131.28</v>
      </c>
    </row>
    <row r="932" spans="1:13" ht="15.75" customHeight="1" x14ac:dyDescent="0.3">
      <c r="A932" s="4" t="s">
        <v>236</v>
      </c>
      <c r="B932">
        <f t="shared" si="14"/>
        <v>4</v>
      </c>
      <c r="C932" s="2" t="s">
        <v>12</v>
      </c>
      <c r="D932" s="2" t="s">
        <v>1141</v>
      </c>
      <c r="E932" s="7">
        <v>54.4</v>
      </c>
      <c r="F932" s="2">
        <v>2</v>
      </c>
      <c r="G932" s="7">
        <v>488.15</v>
      </c>
      <c r="H932" s="2" t="s">
        <v>1142</v>
      </c>
      <c r="I932" s="2" t="s">
        <v>15</v>
      </c>
      <c r="J932" s="2" t="s">
        <v>87</v>
      </c>
      <c r="K932" s="2" t="s">
        <v>17</v>
      </c>
      <c r="L932" s="7">
        <f>Table3[[#This Row],[Revenue]]-Table3[[#This Row],[Ad Spend]]</f>
        <v>433.75</v>
      </c>
      <c r="M932" s="11">
        <v>214.55</v>
      </c>
    </row>
    <row r="933" spans="1:13" ht="15.75" customHeight="1" x14ac:dyDescent="0.3">
      <c r="A933" s="4" t="s">
        <v>638</v>
      </c>
      <c r="B933">
        <f t="shared" si="14"/>
        <v>1</v>
      </c>
      <c r="C933" s="2" t="s">
        <v>19</v>
      </c>
      <c r="D933" s="2" t="s">
        <v>1143</v>
      </c>
      <c r="E933" s="7">
        <v>105.78</v>
      </c>
      <c r="F933" s="2">
        <v>9</v>
      </c>
      <c r="G933" s="7">
        <v>366.69</v>
      </c>
      <c r="H933" s="2" t="s">
        <v>491</v>
      </c>
      <c r="I933" s="2" t="s">
        <v>29</v>
      </c>
      <c r="J933" s="2" t="s">
        <v>87</v>
      </c>
      <c r="K933" s="2" t="s">
        <v>17</v>
      </c>
      <c r="L933" s="7">
        <f>Table3[[#This Row],[Revenue]]-Table3[[#This Row],[Ad Spend]]</f>
        <v>260.90999999999997</v>
      </c>
      <c r="M933" s="11">
        <v>132.16</v>
      </c>
    </row>
    <row r="934" spans="1:13" ht="15.75" customHeight="1" x14ac:dyDescent="0.3">
      <c r="A934" s="4" t="s">
        <v>194</v>
      </c>
      <c r="B934">
        <f t="shared" si="14"/>
        <v>11</v>
      </c>
      <c r="C934" s="2" t="s">
        <v>19</v>
      </c>
      <c r="D934" s="2" t="s">
        <v>1144</v>
      </c>
      <c r="E934" s="7">
        <v>141.66999999999999</v>
      </c>
      <c r="F934" s="2">
        <v>3</v>
      </c>
      <c r="G934" s="7">
        <v>153.55000000000001</v>
      </c>
      <c r="H934" s="2" t="s">
        <v>471</v>
      </c>
      <c r="I934" s="2" t="s">
        <v>15</v>
      </c>
      <c r="J934" s="2" t="s">
        <v>30</v>
      </c>
      <c r="K934" s="2" t="s">
        <v>17</v>
      </c>
      <c r="L934" s="7">
        <f>Table3[[#This Row],[Revenue]]-Table3[[#This Row],[Ad Spend]]</f>
        <v>11.880000000000024</v>
      </c>
      <c r="M934" s="11">
        <v>120.15</v>
      </c>
    </row>
    <row r="935" spans="1:13" ht="15.75" customHeight="1" x14ac:dyDescent="0.3">
      <c r="A935" s="4" t="s">
        <v>11</v>
      </c>
      <c r="B935">
        <f t="shared" si="14"/>
        <v>1</v>
      </c>
      <c r="C935" s="2" t="s">
        <v>12</v>
      </c>
      <c r="D935" s="2" t="s">
        <v>234</v>
      </c>
      <c r="E935" s="7">
        <v>141.86000000000001</v>
      </c>
      <c r="F935" s="2">
        <v>0</v>
      </c>
      <c r="G935" s="7">
        <v>379.98</v>
      </c>
      <c r="H935" s="2" t="s">
        <v>449</v>
      </c>
      <c r="I935" s="2" t="s">
        <v>29</v>
      </c>
      <c r="J935" s="2" t="s">
        <v>53</v>
      </c>
      <c r="K935" s="2" t="s">
        <v>46</v>
      </c>
      <c r="L935" s="7">
        <f>Table3[[#This Row],[Revenue]]-Table3[[#This Row],[Ad Spend]]</f>
        <v>238.12</v>
      </c>
      <c r="M935" s="11">
        <v>195.2</v>
      </c>
    </row>
    <row r="936" spans="1:13" ht="15.75" customHeight="1" x14ac:dyDescent="0.3">
      <c r="A936" s="4" t="s">
        <v>836</v>
      </c>
      <c r="B936">
        <f t="shared" si="14"/>
        <v>11</v>
      </c>
      <c r="C936" s="2" t="s">
        <v>63</v>
      </c>
      <c r="D936" s="2" t="s">
        <v>1145</v>
      </c>
      <c r="E936" s="7">
        <v>14.18</v>
      </c>
      <c r="F936" s="2">
        <v>7</v>
      </c>
      <c r="G936" s="7">
        <v>106.87</v>
      </c>
      <c r="H936" s="2" t="s">
        <v>1146</v>
      </c>
      <c r="I936" s="2" t="s">
        <v>15</v>
      </c>
      <c r="J936" s="2" t="s">
        <v>30</v>
      </c>
      <c r="K936" s="2" t="s">
        <v>17</v>
      </c>
      <c r="L936" s="7">
        <f>Table3[[#This Row],[Revenue]]-Table3[[#This Row],[Ad Spend]]</f>
        <v>92.69</v>
      </c>
      <c r="M936" s="11">
        <v>63.23</v>
      </c>
    </row>
    <row r="937" spans="1:13" ht="15.75" customHeight="1" x14ac:dyDescent="0.3">
      <c r="A937" s="4" t="s">
        <v>113</v>
      </c>
      <c r="B937">
        <f t="shared" si="14"/>
        <v>3</v>
      </c>
      <c r="C937" s="2" t="s">
        <v>12</v>
      </c>
      <c r="D937" s="2" t="s">
        <v>1147</v>
      </c>
      <c r="E937" s="7">
        <v>90.52</v>
      </c>
      <c r="F937" s="2">
        <v>6</v>
      </c>
      <c r="G937" s="7">
        <v>209.78</v>
      </c>
      <c r="H937" s="2" t="s">
        <v>695</v>
      </c>
      <c r="I937" s="2" t="s">
        <v>29</v>
      </c>
      <c r="J937" s="2" t="s">
        <v>87</v>
      </c>
      <c r="K937" s="2" t="s">
        <v>17</v>
      </c>
      <c r="L937" s="7">
        <f>Table3[[#This Row],[Revenue]]-Table3[[#This Row],[Ad Spend]]</f>
        <v>119.26</v>
      </c>
      <c r="M937" s="11">
        <v>123.3</v>
      </c>
    </row>
    <row r="938" spans="1:13" ht="15.75" customHeight="1" x14ac:dyDescent="0.3">
      <c r="A938" s="4" t="s">
        <v>226</v>
      </c>
      <c r="B938">
        <f t="shared" si="14"/>
        <v>2</v>
      </c>
      <c r="C938" s="2" t="s">
        <v>32</v>
      </c>
      <c r="D938" s="2" t="s">
        <v>1148</v>
      </c>
      <c r="E938" s="7">
        <v>49.9</v>
      </c>
      <c r="F938" s="2">
        <v>2</v>
      </c>
      <c r="G938" s="7">
        <v>365.01</v>
      </c>
      <c r="H938" s="2" t="s">
        <v>395</v>
      </c>
      <c r="I938" s="2" t="s">
        <v>15</v>
      </c>
      <c r="J938" s="2" t="s">
        <v>30</v>
      </c>
      <c r="K938" s="2" t="s">
        <v>17</v>
      </c>
      <c r="L938" s="7">
        <f>Table3[[#This Row],[Revenue]]-Table3[[#This Row],[Ad Spend]]</f>
        <v>315.11</v>
      </c>
      <c r="M938" s="11">
        <v>151.69999999999999</v>
      </c>
    </row>
    <row r="939" spans="1:13" ht="15.75" customHeight="1" x14ac:dyDescent="0.3">
      <c r="A939" s="4" t="s">
        <v>202</v>
      </c>
      <c r="B939">
        <f t="shared" si="14"/>
        <v>3</v>
      </c>
      <c r="C939" s="2" t="s">
        <v>63</v>
      </c>
      <c r="D939" s="2" t="s">
        <v>1149</v>
      </c>
      <c r="E939" s="7">
        <v>48.81</v>
      </c>
      <c r="F939" s="2">
        <v>3</v>
      </c>
      <c r="G939" s="7">
        <v>207.14</v>
      </c>
      <c r="H939" s="2" t="s">
        <v>186</v>
      </c>
      <c r="I939" s="2" t="s">
        <v>15</v>
      </c>
      <c r="J939" s="2" t="s">
        <v>25</v>
      </c>
      <c r="K939" s="2" t="s">
        <v>17</v>
      </c>
      <c r="L939" s="7">
        <f>Table3[[#This Row],[Revenue]]-Table3[[#This Row],[Ad Spend]]</f>
        <v>158.32999999999998</v>
      </c>
      <c r="M939" s="11">
        <v>120.72</v>
      </c>
    </row>
    <row r="940" spans="1:13" ht="15.75" customHeight="1" x14ac:dyDescent="0.3">
      <c r="A940" s="4" t="s">
        <v>84</v>
      </c>
      <c r="B940">
        <f t="shared" si="14"/>
        <v>10</v>
      </c>
      <c r="C940" s="2" t="s">
        <v>12</v>
      </c>
      <c r="D940" s="2" t="s">
        <v>985</v>
      </c>
      <c r="E940" s="7">
        <v>61.58</v>
      </c>
      <c r="F940" s="2">
        <v>9</v>
      </c>
      <c r="G940" s="7">
        <v>150.51</v>
      </c>
      <c r="H940" s="2" t="s">
        <v>1150</v>
      </c>
      <c r="I940" s="2" t="s">
        <v>15</v>
      </c>
      <c r="J940" s="2" t="s">
        <v>25</v>
      </c>
      <c r="K940" s="2" t="s">
        <v>17</v>
      </c>
      <c r="L940" s="7">
        <f>Table3[[#This Row],[Revenue]]-Table3[[#This Row],[Ad Spend]]</f>
        <v>88.929999999999993</v>
      </c>
      <c r="M940" s="11">
        <v>121.71</v>
      </c>
    </row>
    <row r="941" spans="1:13" ht="15.75" customHeight="1" x14ac:dyDescent="0.3">
      <c r="A941" s="4" t="s">
        <v>273</v>
      </c>
      <c r="B941">
        <f t="shared" si="14"/>
        <v>11</v>
      </c>
      <c r="C941" s="2" t="s">
        <v>19</v>
      </c>
      <c r="D941" s="2" t="s">
        <v>66</v>
      </c>
      <c r="E941" s="7">
        <v>42.52</v>
      </c>
      <c r="F941" s="2">
        <v>5</v>
      </c>
      <c r="G941" s="7">
        <v>441.12</v>
      </c>
      <c r="H941" s="2" t="s">
        <v>864</v>
      </c>
      <c r="I941" s="2" t="s">
        <v>29</v>
      </c>
      <c r="J941" s="2" t="s">
        <v>16</v>
      </c>
      <c r="K941" s="2" t="s">
        <v>17</v>
      </c>
      <c r="L941" s="7">
        <f>Table3[[#This Row],[Revenue]]-Table3[[#This Row],[Ad Spend]]</f>
        <v>398.6</v>
      </c>
      <c r="M941" s="11">
        <v>156.05000000000001</v>
      </c>
    </row>
    <row r="942" spans="1:13" ht="15.75" customHeight="1" x14ac:dyDescent="0.3">
      <c r="A942" s="4" t="s">
        <v>472</v>
      </c>
      <c r="B942">
        <f t="shared" si="14"/>
        <v>4</v>
      </c>
      <c r="C942" s="2" t="s">
        <v>63</v>
      </c>
      <c r="D942" s="2" t="s">
        <v>1151</v>
      </c>
      <c r="E942" s="7">
        <v>25.04</v>
      </c>
      <c r="F942" s="2">
        <v>3</v>
      </c>
      <c r="G942" s="7">
        <v>199.28</v>
      </c>
      <c r="H942" s="2" t="s">
        <v>306</v>
      </c>
      <c r="I942" s="2" t="s">
        <v>29</v>
      </c>
      <c r="J942" s="2" t="s">
        <v>16</v>
      </c>
      <c r="K942" s="2" t="s">
        <v>17</v>
      </c>
      <c r="L942" s="7">
        <f>Table3[[#This Row],[Revenue]]-Table3[[#This Row],[Ad Spend]]</f>
        <v>174.24</v>
      </c>
      <c r="M942" s="11">
        <v>150.68</v>
      </c>
    </row>
    <row r="943" spans="1:13" ht="15.75" customHeight="1" x14ac:dyDescent="0.3">
      <c r="A943" s="4" t="s">
        <v>56</v>
      </c>
      <c r="B943">
        <f t="shared" si="14"/>
        <v>12</v>
      </c>
      <c r="C943" s="2" t="s">
        <v>12</v>
      </c>
      <c r="D943" s="2" t="s">
        <v>348</v>
      </c>
      <c r="E943" s="7">
        <v>108.2</v>
      </c>
      <c r="F943" s="2">
        <v>1</v>
      </c>
      <c r="G943" s="7">
        <v>91.4</v>
      </c>
      <c r="H943" s="2" t="s">
        <v>833</v>
      </c>
      <c r="I943" s="2" t="s">
        <v>29</v>
      </c>
      <c r="J943" s="2" t="s">
        <v>25</v>
      </c>
      <c r="K943" s="2" t="s">
        <v>17</v>
      </c>
      <c r="L943" s="7">
        <f>Table3[[#This Row],[Revenue]]-Table3[[#This Row],[Ad Spend]]</f>
        <v>-16.799999999999997</v>
      </c>
      <c r="M943" s="11">
        <v>121.69</v>
      </c>
    </row>
    <row r="944" spans="1:13" ht="15.75" customHeight="1" x14ac:dyDescent="0.3">
      <c r="A944" s="4" t="s">
        <v>812</v>
      </c>
      <c r="B944">
        <f t="shared" si="14"/>
        <v>12</v>
      </c>
      <c r="C944" s="2" t="s">
        <v>63</v>
      </c>
      <c r="D944" s="2" t="s">
        <v>1152</v>
      </c>
      <c r="E944" s="7">
        <v>27.25</v>
      </c>
      <c r="F944" s="2">
        <v>4</v>
      </c>
      <c r="G944" s="7">
        <v>130.62</v>
      </c>
      <c r="H944" s="2" t="s">
        <v>174</v>
      </c>
      <c r="I944" s="2" t="s">
        <v>29</v>
      </c>
      <c r="J944" s="2" t="s">
        <v>16</v>
      </c>
      <c r="K944" s="2" t="s">
        <v>17</v>
      </c>
      <c r="L944" s="7">
        <f>Table3[[#This Row],[Revenue]]-Table3[[#This Row],[Ad Spend]]</f>
        <v>103.37</v>
      </c>
      <c r="M944" s="11">
        <v>107.05</v>
      </c>
    </row>
    <row r="945" spans="1:13" ht="15.75" customHeight="1" x14ac:dyDescent="0.3">
      <c r="A945" s="4" t="s">
        <v>133</v>
      </c>
      <c r="B945">
        <f t="shared" si="14"/>
        <v>3</v>
      </c>
      <c r="C945" s="2" t="s">
        <v>63</v>
      </c>
      <c r="D945" s="2" t="s">
        <v>1153</v>
      </c>
      <c r="E945" s="7">
        <v>80.739999999999995</v>
      </c>
      <c r="F945" s="2">
        <v>7</v>
      </c>
      <c r="G945" s="7">
        <v>90.2</v>
      </c>
      <c r="H945" s="2" t="s">
        <v>104</v>
      </c>
      <c r="I945" s="2" t="s">
        <v>15</v>
      </c>
      <c r="J945" s="2" t="s">
        <v>25</v>
      </c>
      <c r="K945" s="2" t="s">
        <v>17</v>
      </c>
      <c r="L945" s="7">
        <f>Table3[[#This Row],[Revenue]]-Table3[[#This Row],[Ad Spend]]</f>
        <v>9.460000000000008</v>
      </c>
      <c r="M945" s="11">
        <v>120.71</v>
      </c>
    </row>
    <row r="946" spans="1:13" ht="15.75" customHeight="1" x14ac:dyDescent="0.3">
      <c r="A946" s="4" t="s">
        <v>400</v>
      </c>
      <c r="B946">
        <f t="shared" si="14"/>
        <v>2</v>
      </c>
      <c r="C946" s="2" t="s">
        <v>32</v>
      </c>
      <c r="D946" s="2" t="s">
        <v>1154</v>
      </c>
      <c r="E946" s="7">
        <v>47.82</v>
      </c>
      <c r="F946" s="2">
        <v>7</v>
      </c>
      <c r="G946" s="7">
        <v>229.98</v>
      </c>
      <c r="H946" s="2" t="s">
        <v>161</v>
      </c>
      <c r="I946" s="2" t="s">
        <v>35</v>
      </c>
      <c r="J946" s="2" t="s">
        <v>30</v>
      </c>
      <c r="K946" s="2" t="s">
        <v>17</v>
      </c>
      <c r="L946" s="7">
        <f>Table3[[#This Row],[Revenue]]-Table3[[#This Row],[Ad Spend]]</f>
        <v>182.16</v>
      </c>
      <c r="M946" s="11">
        <v>118.95</v>
      </c>
    </row>
    <row r="947" spans="1:13" ht="15.75" customHeight="1" x14ac:dyDescent="0.3">
      <c r="A947" s="4" t="s">
        <v>409</v>
      </c>
      <c r="B947">
        <f t="shared" si="14"/>
        <v>11</v>
      </c>
      <c r="C947" s="2" t="s">
        <v>32</v>
      </c>
      <c r="D947" s="2" t="s">
        <v>1155</v>
      </c>
      <c r="E947" s="7">
        <v>18.239999999999998</v>
      </c>
      <c r="F947" s="2">
        <v>1</v>
      </c>
      <c r="G947" s="7">
        <v>27.95</v>
      </c>
      <c r="H947" s="2" t="s">
        <v>112</v>
      </c>
      <c r="I947" s="2" t="s">
        <v>35</v>
      </c>
      <c r="J947" s="2" t="s">
        <v>25</v>
      </c>
      <c r="K947" s="2" t="s">
        <v>17</v>
      </c>
      <c r="L947" s="7">
        <f>Table3[[#This Row],[Revenue]]-Table3[[#This Row],[Ad Spend]]</f>
        <v>9.7100000000000009</v>
      </c>
      <c r="M947" s="11">
        <v>123.28</v>
      </c>
    </row>
    <row r="948" spans="1:13" ht="15.75" customHeight="1" x14ac:dyDescent="0.3">
      <c r="A948" s="4" t="s">
        <v>233</v>
      </c>
      <c r="B948">
        <f t="shared" si="14"/>
        <v>3</v>
      </c>
      <c r="C948" s="2" t="s">
        <v>32</v>
      </c>
      <c r="D948" s="2" t="s">
        <v>316</v>
      </c>
      <c r="E948" s="7">
        <v>115.55</v>
      </c>
      <c r="F948" s="2">
        <v>4</v>
      </c>
      <c r="G948" s="7">
        <v>168.3</v>
      </c>
      <c r="H948" s="2" t="s">
        <v>695</v>
      </c>
      <c r="I948" s="2" t="s">
        <v>15</v>
      </c>
      <c r="J948" s="2" t="s">
        <v>25</v>
      </c>
      <c r="K948" s="2" t="s">
        <v>17</v>
      </c>
      <c r="L948" s="7">
        <f>Table3[[#This Row],[Revenue]]-Table3[[#This Row],[Ad Spend]]</f>
        <v>52.750000000000014</v>
      </c>
      <c r="M948" s="11">
        <v>125.78</v>
      </c>
    </row>
    <row r="949" spans="1:13" ht="15.75" customHeight="1" x14ac:dyDescent="0.3">
      <c r="A949" s="4" t="s">
        <v>43</v>
      </c>
      <c r="B949">
        <f t="shared" si="14"/>
        <v>11</v>
      </c>
      <c r="C949" s="2" t="s">
        <v>12</v>
      </c>
      <c r="D949" s="2" t="s">
        <v>1156</v>
      </c>
      <c r="E949" s="7">
        <v>110.99</v>
      </c>
      <c r="F949" s="2">
        <v>7</v>
      </c>
      <c r="G949" s="7">
        <v>313.02</v>
      </c>
      <c r="H949" s="2" t="s">
        <v>1157</v>
      </c>
      <c r="I949" s="2" t="s">
        <v>15</v>
      </c>
      <c r="J949" s="2" t="s">
        <v>30</v>
      </c>
      <c r="K949" s="2" t="s">
        <v>17</v>
      </c>
      <c r="L949" s="7">
        <f>Table3[[#This Row],[Revenue]]-Table3[[#This Row],[Ad Spend]]</f>
        <v>202.02999999999997</v>
      </c>
      <c r="M949" s="11">
        <v>144.16</v>
      </c>
    </row>
    <row r="950" spans="1:13" ht="15.75" customHeight="1" x14ac:dyDescent="0.3">
      <c r="A950" s="4" t="s">
        <v>673</v>
      </c>
      <c r="B950">
        <f t="shared" si="14"/>
        <v>12</v>
      </c>
      <c r="C950" s="2" t="s">
        <v>32</v>
      </c>
      <c r="D950" s="2" t="s">
        <v>1158</v>
      </c>
      <c r="E950" s="7">
        <v>147.22</v>
      </c>
      <c r="F950" s="2">
        <v>2</v>
      </c>
      <c r="G950" s="7">
        <v>29.17</v>
      </c>
      <c r="H950" s="2" t="s">
        <v>910</v>
      </c>
      <c r="I950" s="2" t="s">
        <v>35</v>
      </c>
      <c r="J950" s="2" t="s">
        <v>25</v>
      </c>
      <c r="K950" s="2" t="s">
        <v>17</v>
      </c>
      <c r="L950" s="7">
        <f>Table3[[#This Row],[Revenue]]-Table3[[#This Row],[Ad Spend]]</f>
        <v>-118.05</v>
      </c>
      <c r="M950" s="11">
        <v>122.11</v>
      </c>
    </row>
    <row r="951" spans="1:13" ht="15.75" customHeight="1" x14ac:dyDescent="0.3">
      <c r="A951" s="4" t="s">
        <v>875</v>
      </c>
      <c r="B951">
        <f t="shared" si="14"/>
        <v>12</v>
      </c>
      <c r="C951" s="2" t="s">
        <v>63</v>
      </c>
      <c r="D951" s="2" t="s">
        <v>1159</v>
      </c>
      <c r="E951" s="7">
        <v>79.28</v>
      </c>
      <c r="F951" s="2">
        <v>2</v>
      </c>
      <c r="G951" s="7">
        <v>312.81</v>
      </c>
      <c r="H951" s="2" t="s">
        <v>907</v>
      </c>
      <c r="I951" s="2" t="s">
        <v>15</v>
      </c>
      <c r="J951" s="2" t="s">
        <v>87</v>
      </c>
      <c r="K951" s="2" t="s">
        <v>17</v>
      </c>
      <c r="L951" s="7">
        <f>Table3[[#This Row],[Revenue]]-Table3[[#This Row],[Ad Spend]]</f>
        <v>233.53</v>
      </c>
      <c r="M951" s="11">
        <v>142.44</v>
      </c>
    </row>
    <row r="952" spans="1:13" ht="15.75" customHeight="1" x14ac:dyDescent="0.3">
      <c r="A952" s="4" t="s">
        <v>643</v>
      </c>
      <c r="B952">
        <f t="shared" si="14"/>
        <v>2</v>
      </c>
      <c r="C952" s="2" t="s">
        <v>63</v>
      </c>
      <c r="D952" s="2" t="s">
        <v>697</v>
      </c>
      <c r="E952" s="7">
        <v>143.53</v>
      </c>
      <c r="F952" s="2">
        <v>0</v>
      </c>
      <c r="G952" s="7">
        <v>318.70999999999998</v>
      </c>
      <c r="H952" s="2" t="s">
        <v>1160</v>
      </c>
      <c r="I952" s="2" t="s">
        <v>35</v>
      </c>
      <c r="J952" s="2" t="s">
        <v>25</v>
      </c>
      <c r="K952" s="2" t="s">
        <v>46</v>
      </c>
      <c r="L952" s="7">
        <f>Table3[[#This Row],[Revenue]]-Table3[[#This Row],[Ad Spend]]</f>
        <v>175.17999999999998</v>
      </c>
      <c r="M952" s="11">
        <v>124.09</v>
      </c>
    </row>
    <row r="953" spans="1:13" ht="15.75" customHeight="1" x14ac:dyDescent="0.3">
      <c r="A953" s="4" t="s">
        <v>293</v>
      </c>
      <c r="B953">
        <f t="shared" si="14"/>
        <v>11</v>
      </c>
      <c r="C953" s="2" t="s">
        <v>32</v>
      </c>
      <c r="D953" s="2" t="s">
        <v>1026</v>
      </c>
      <c r="E953" s="7">
        <v>128.74</v>
      </c>
      <c r="F953" s="2">
        <v>3</v>
      </c>
      <c r="G953" s="7">
        <v>427.77</v>
      </c>
      <c r="H953" s="2" t="s">
        <v>260</v>
      </c>
      <c r="I953" s="2" t="s">
        <v>35</v>
      </c>
      <c r="J953" s="2" t="s">
        <v>30</v>
      </c>
      <c r="K953" s="2" t="s">
        <v>17</v>
      </c>
      <c r="L953" s="7">
        <f>Table3[[#This Row],[Revenue]]-Table3[[#This Row],[Ad Spend]]</f>
        <v>299.02999999999997</v>
      </c>
      <c r="M953" s="11">
        <v>135.16</v>
      </c>
    </row>
    <row r="954" spans="1:13" ht="15.75" customHeight="1" x14ac:dyDescent="0.3">
      <c r="A954" s="4" t="s">
        <v>136</v>
      </c>
      <c r="B954">
        <f t="shared" si="14"/>
        <v>2</v>
      </c>
      <c r="C954" s="2" t="s">
        <v>12</v>
      </c>
      <c r="D954" s="2" t="s">
        <v>346</v>
      </c>
      <c r="E954" s="7">
        <v>9.82</v>
      </c>
      <c r="F954" s="2">
        <v>5</v>
      </c>
      <c r="G954" s="7">
        <v>123.17</v>
      </c>
      <c r="H954" s="2" t="s">
        <v>549</v>
      </c>
      <c r="I954" s="2" t="s">
        <v>35</v>
      </c>
      <c r="J954" s="2" t="s">
        <v>25</v>
      </c>
      <c r="K954" s="2" t="s">
        <v>17</v>
      </c>
      <c r="L954" s="7">
        <f>Table3[[#This Row],[Revenue]]-Table3[[#This Row],[Ad Spend]]</f>
        <v>113.35</v>
      </c>
      <c r="M954" s="11">
        <v>109.57</v>
      </c>
    </row>
    <row r="955" spans="1:13" ht="15.75" customHeight="1" x14ac:dyDescent="0.3">
      <c r="A955" s="4" t="s">
        <v>400</v>
      </c>
      <c r="B955">
        <f t="shared" si="14"/>
        <v>2</v>
      </c>
      <c r="C955" s="2" t="s">
        <v>63</v>
      </c>
      <c r="D955" s="2" t="s">
        <v>895</v>
      </c>
      <c r="E955" s="7">
        <v>74.16</v>
      </c>
      <c r="F955" s="2">
        <v>8</v>
      </c>
      <c r="G955" s="7">
        <v>348.17</v>
      </c>
      <c r="H955" s="2" t="s">
        <v>232</v>
      </c>
      <c r="I955" s="2" t="s">
        <v>29</v>
      </c>
      <c r="J955" s="2" t="s">
        <v>16</v>
      </c>
      <c r="K955" s="2" t="s">
        <v>17</v>
      </c>
      <c r="L955" s="7">
        <f>Table3[[#This Row],[Revenue]]-Table3[[#This Row],[Ad Spend]]</f>
        <v>274.01</v>
      </c>
      <c r="M955" s="11">
        <v>127.03</v>
      </c>
    </row>
    <row r="956" spans="1:13" ht="15.75" customHeight="1" x14ac:dyDescent="0.3">
      <c r="A956" s="4" t="s">
        <v>951</v>
      </c>
      <c r="B956">
        <f t="shared" si="14"/>
        <v>12</v>
      </c>
      <c r="C956" s="2" t="s">
        <v>32</v>
      </c>
      <c r="D956" s="2" t="s">
        <v>1050</v>
      </c>
      <c r="E956" s="7">
        <v>107.43</v>
      </c>
      <c r="F956" s="2">
        <v>0</v>
      </c>
      <c r="G956" s="7">
        <v>127.47</v>
      </c>
      <c r="H956" s="2" t="s">
        <v>168</v>
      </c>
      <c r="I956" s="2" t="s">
        <v>29</v>
      </c>
      <c r="J956" s="2" t="s">
        <v>30</v>
      </c>
      <c r="K956" s="2" t="s">
        <v>46</v>
      </c>
      <c r="L956" s="7">
        <f>Table3[[#This Row],[Revenue]]-Table3[[#This Row],[Ad Spend]]</f>
        <v>20.039999999999992</v>
      </c>
      <c r="M956" s="11">
        <v>136.69</v>
      </c>
    </row>
    <row r="957" spans="1:13" ht="15.75" customHeight="1" x14ac:dyDescent="0.3">
      <c r="A957" s="4" t="s">
        <v>402</v>
      </c>
      <c r="B957">
        <f t="shared" si="14"/>
        <v>3</v>
      </c>
      <c r="C957" s="2" t="s">
        <v>12</v>
      </c>
      <c r="D957" s="2" t="s">
        <v>1141</v>
      </c>
      <c r="E957" s="7">
        <v>14.28</v>
      </c>
      <c r="F957" s="2">
        <v>2</v>
      </c>
      <c r="G957" s="7">
        <v>261.31</v>
      </c>
      <c r="H957" s="2" t="s">
        <v>389</v>
      </c>
      <c r="I957" s="2" t="s">
        <v>35</v>
      </c>
      <c r="J957" s="2" t="s">
        <v>36</v>
      </c>
      <c r="K957" s="2" t="s">
        <v>17</v>
      </c>
      <c r="L957" s="7">
        <f>Table3[[#This Row],[Revenue]]-Table3[[#This Row],[Ad Spend]]</f>
        <v>247.03</v>
      </c>
      <c r="M957" s="11">
        <v>110</v>
      </c>
    </row>
    <row r="958" spans="1:13" ht="15.75" customHeight="1" x14ac:dyDescent="0.3">
      <c r="A958" s="4" t="s">
        <v>472</v>
      </c>
      <c r="B958">
        <f t="shared" si="14"/>
        <v>4</v>
      </c>
      <c r="C958" s="2" t="s">
        <v>19</v>
      </c>
      <c r="D958" s="2" t="s">
        <v>275</v>
      </c>
      <c r="E958" s="7">
        <v>8.6300000000000008</v>
      </c>
      <c r="F958" s="2">
        <v>4</v>
      </c>
      <c r="G958" s="7">
        <v>65.47</v>
      </c>
      <c r="H958" s="2" t="s">
        <v>618</v>
      </c>
      <c r="I958" s="2" t="s">
        <v>29</v>
      </c>
      <c r="J958" s="2" t="s">
        <v>53</v>
      </c>
      <c r="K958" s="2" t="s">
        <v>17</v>
      </c>
      <c r="L958" s="7">
        <f>Table3[[#This Row],[Revenue]]-Table3[[#This Row],[Ad Spend]]</f>
        <v>56.839999999999996</v>
      </c>
      <c r="M958" s="11">
        <v>128.47999999999999</v>
      </c>
    </row>
    <row r="959" spans="1:13" ht="15.75" customHeight="1" x14ac:dyDescent="0.3">
      <c r="A959" s="4" t="s">
        <v>322</v>
      </c>
      <c r="B959">
        <f t="shared" si="14"/>
        <v>11</v>
      </c>
      <c r="C959" s="2" t="s">
        <v>32</v>
      </c>
      <c r="D959" s="2" t="s">
        <v>536</v>
      </c>
      <c r="E959" s="7">
        <v>114.88</v>
      </c>
      <c r="F959" s="2">
        <v>4</v>
      </c>
      <c r="G959" s="7">
        <v>414.29</v>
      </c>
      <c r="H959" s="2" t="s">
        <v>147</v>
      </c>
      <c r="I959" s="2" t="s">
        <v>15</v>
      </c>
      <c r="J959" s="2" t="s">
        <v>25</v>
      </c>
      <c r="K959" s="2" t="s">
        <v>17</v>
      </c>
      <c r="L959" s="7">
        <f>Table3[[#This Row],[Revenue]]-Table3[[#This Row],[Ad Spend]]</f>
        <v>299.41000000000003</v>
      </c>
      <c r="M959" s="11">
        <v>136.74</v>
      </c>
    </row>
    <row r="960" spans="1:13" ht="15.75" customHeight="1" x14ac:dyDescent="0.3">
      <c r="A960" s="4" t="s">
        <v>283</v>
      </c>
      <c r="B960">
        <f t="shared" si="14"/>
        <v>11</v>
      </c>
      <c r="C960" s="2" t="s">
        <v>12</v>
      </c>
      <c r="D960" s="2" t="s">
        <v>32</v>
      </c>
      <c r="E960" s="7">
        <v>107.82</v>
      </c>
      <c r="F960" s="2">
        <v>5</v>
      </c>
      <c r="G960" s="7">
        <v>147</v>
      </c>
      <c r="H960" s="2" t="s">
        <v>147</v>
      </c>
      <c r="I960" s="2" t="s">
        <v>15</v>
      </c>
      <c r="J960" s="2" t="s">
        <v>30</v>
      </c>
      <c r="K960" s="2" t="s">
        <v>17</v>
      </c>
      <c r="L960" s="7">
        <f>Table3[[#This Row],[Revenue]]-Table3[[#This Row],[Ad Spend]]</f>
        <v>39.180000000000007</v>
      </c>
      <c r="M960" s="11">
        <v>137.32</v>
      </c>
    </row>
    <row r="961" spans="1:13" ht="15.75" customHeight="1" x14ac:dyDescent="0.3">
      <c r="A961" s="4" t="s">
        <v>102</v>
      </c>
      <c r="B961">
        <f t="shared" si="14"/>
        <v>3</v>
      </c>
      <c r="C961" s="2" t="s">
        <v>12</v>
      </c>
      <c r="D961" s="2" t="s">
        <v>1161</v>
      </c>
      <c r="E961" s="7">
        <v>104.42</v>
      </c>
      <c r="F961" s="2">
        <v>0</v>
      </c>
      <c r="G961" s="7">
        <v>216.62</v>
      </c>
      <c r="H961" s="2" t="s">
        <v>28</v>
      </c>
      <c r="I961" s="2" t="s">
        <v>35</v>
      </c>
      <c r="J961" s="2" t="s">
        <v>25</v>
      </c>
      <c r="K961" s="2" t="s">
        <v>46</v>
      </c>
      <c r="L961" s="7">
        <f>Table3[[#This Row],[Revenue]]-Table3[[#This Row],[Ad Spend]]</f>
        <v>112.2</v>
      </c>
      <c r="M961" s="11">
        <v>133.84</v>
      </c>
    </row>
    <row r="962" spans="1:13" ht="15.75" customHeight="1" x14ac:dyDescent="0.3">
      <c r="A962" s="4" t="s">
        <v>62</v>
      </c>
      <c r="B962">
        <f t="shared" si="14"/>
        <v>2</v>
      </c>
      <c r="C962" s="2" t="s">
        <v>32</v>
      </c>
      <c r="D962" s="2" t="s">
        <v>741</v>
      </c>
      <c r="E962" s="7">
        <v>123.83</v>
      </c>
      <c r="F962" s="2">
        <v>7</v>
      </c>
      <c r="G962" s="7">
        <v>437.42</v>
      </c>
      <c r="H962" s="2" t="s">
        <v>1162</v>
      </c>
      <c r="I962" s="2" t="s">
        <v>29</v>
      </c>
      <c r="J962" s="2" t="s">
        <v>36</v>
      </c>
      <c r="K962" s="2" t="s">
        <v>17</v>
      </c>
      <c r="L962" s="7">
        <f>Table3[[#This Row],[Revenue]]-Table3[[#This Row],[Ad Spend]]</f>
        <v>313.59000000000003</v>
      </c>
      <c r="M962" s="11">
        <v>202.5</v>
      </c>
    </row>
    <row r="963" spans="1:13" ht="15.75" customHeight="1" x14ac:dyDescent="0.3">
      <c r="A963" s="4" t="s">
        <v>504</v>
      </c>
      <c r="B963">
        <f t="shared" ref="B963:B1026" si="15">MONTH(A963)</f>
        <v>12</v>
      </c>
      <c r="C963" s="2" t="s">
        <v>12</v>
      </c>
      <c r="D963" s="2" t="s">
        <v>950</v>
      </c>
      <c r="E963" s="7">
        <v>120.85</v>
      </c>
      <c r="F963" s="2">
        <v>9</v>
      </c>
      <c r="G963" s="7">
        <v>383.17</v>
      </c>
      <c r="H963" s="2" t="s">
        <v>1163</v>
      </c>
      <c r="I963" s="2" t="s">
        <v>35</v>
      </c>
      <c r="J963" s="2" t="s">
        <v>25</v>
      </c>
      <c r="K963" s="2" t="s">
        <v>17</v>
      </c>
      <c r="L963" s="7">
        <f>Table3[[#This Row],[Revenue]]-Table3[[#This Row],[Ad Spend]]</f>
        <v>262.32000000000005</v>
      </c>
      <c r="M963" s="11">
        <v>173.44</v>
      </c>
    </row>
    <row r="964" spans="1:13" ht="15.75" customHeight="1" x14ac:dyDescent="0.3">
      <c r="A964" s="4" t="s">
        <v>241</v>
      </c>
      <c r="B964">
        <f t="shared" si="15"/>
        <v>12</v>
      </c>
      <c r="C964" s="2" t="s">
        <v>19</v>
      </c>
      <c r="D964" s="2" t="s">
        <v>1105</v>
      </c>
      <c r="E964" s="7">
        <v>89.35</v>
      </c>
      <c r="F964" s="2">
        <v>3</v>
      </c>
      <c r="G964" s="7">
        <v>410.67</v>
      </c>
      <c r="H964" s="2" t="s">
        <v>489</v>
      </c>
      <c r="I964" s="2" t="s">
        <v>15</v>
      </c>
      <c r="J964" s="2" t="s">
        <v>25</v>
      </c>
      <c r="K964" s="2" t="s">
        <v>17</v>
      </c>
      <c r="L964" s="7">
        <f>Table3[[#This Row],[Revenue]]-Table3[[#This Row],[Ad Spend]]</f>
        <v>321.32000000000005</v>
      </c>
      <c r="M964" s="11">
        <v>142.88999999999999</v>
      </c>
    </row>
    <row r="965" spans="1:13" ht="15.75" customHeight="1" x14ac:dyDescent="0.3">
      <c r="A965" s="4" t="s">
        <v>785</v>
      </c>
      <c r="B965">
        <f t="shared" si="15"/>
        <v>1</v>
      </c>
      <c r="C965" s="2" t="s">
        <v>32</v>
      </c>
      <c r="D965" s="2" t="s">
        <v>1164</v>
      </c>
      <c r="E965" s="7">
        <v>35.04</v>
      </c>
      <c r="F965" s="2">
        <v>3</v>
      </c>
      <c r="G965" s="7">
        <v>272.17</v>
      </c>
      <c r="H965" s="2" t="s">
        <v>820</v>
      </c>
      <c r="I965" s="2" t="s">
        <v>35</v>
      </c>
      <c r="J965" s="2" t="s">
        <v>53</v>
      </c>
      <c r="K965" s="2" t="s">
        <v>17</v>
      </c>
      <c r="L965" s="7">
        <f>Table3[[#This Row],[Revenue]]-Table3[[#This Row],[Ad Spend]]</f>
        <v>237.13000000000002</v>
      </c>
      <c r="M965" s="11">
        <v>117.93</v>
      </c>
    </row>
    <row r="966" spans="1:13" ht="15.75" customHeight="1" x14ac:dyDescent="0.3">
      <c r="A966" s="4" t="s">
        <v>527</v>
      </c>
      <c r="B966">
        <f t="shared" si="15"/>
        <v>1</v>
      </c>
      <c r="C966" s="2" t="s">
        <v>19</v>
      </c>
      <c r="D966" s="2" t="s">
        <v>991</v>
      </c>
      <c r="E966" s="7">
        <v>6.22</v>
      </c>
      <c r="F966" s="2">
        <v>3</v>
      </c>
      <c r="G966" s="7">
        <v>214.4</v>
      </c>
      <c r="H966" s="2" t="s">
        <v>1165</v>
      </c>
      <c r="I966" s="2" t="s">
        <v>29</v>
      </c>
      <c r="J966" s="2" t="s">
        <v>25</v>
      </c>
      <c r="K966" s="2" t="s">
        <v>17</v>
      </c>
      <c r="L966" s="7">
        <f>Table3[[#This Row],[Revenue]]-Table3[[#This Row],[Ad Spend]]</f>
        <v>208.18</v>
      </c>
      <c r="M966" s="11">
        <v>119.37</v>
      </c>
    </row>
    <row r="967" spans="1:13" ht="15.75" customHeight="1" x14ac:dyDescent="0.3">
      <c r="A967" s="4" t="s">
        <v>728</v>
      </c>
      <c r="B967">
        <f t="shared" si="15"/>
        <v>4</v>
      </c>
      <c r="C967" s="2" t="s">
        <v>32</v>
      </c>
      <c r="D967" s="2" t="s">
        <v>1092</v>
      </c>
      <c r="E967" s="7">
        <v>132.68</v>
      </c>
      <c r="F967" s="2">
        <v>1</v>
      </c>
      <c r="G967" s="7">
        <v>286.77999999999997</v>
      </c>
      <c r="H967" s="2" t="s">
        <v>128</v>
      </c>
      <c r="I967" s="2" t="s">
        <v>29</v>
      </c>
      <c r="J967" s="2" t="s">
        <v>16</v>
      </c>
      <c r="K967" s="2" t="s">
        <v>17</v>
      </c>
      <c r="L967" s="7">
        <f>Table3[[#This Row],[Revenue]]-Table3[[#This Row],[Ad Spend]]</f>
        <v>154.09999999999997</v>
      </c>
      <c r="M967" s="11">
        <v>120.81</v>
      </c>
    </row>
    <row r="968" spans="1:13" ht="15.75" customHeight="1" x14ac:dyDescent="0.3">
      <c r="A968" s="4" t="s">
        <v>97</v>
      </c>
      <c r="B968">
        <f t="shared" si="15"/>
        <v>12</v>
      </c>
      <c r="C968" s="2" t="s">
        <v>19</v>
      </c>
      <c r="D968" s="2" t="s">
        <v>1166</v>
      </c>
      <c r="E968" s="7">
        <v>144.55000000000001</v>
      </c>
      <c r="F968" s="2">
        <v>4</v>
      </c>
      <c r="G968" s="7">
        <v>359.57</v>
      </c>
      <c r="H968" s="2" t="s">
        <v>838</v>
      </c>
      <c r="I968" s="2" t="s">
        <v>29</v>
      </c>
      <c r="J968" s="2" t="s">
        <v>36</v>
      </c>
      <c r="K968" s="2" t="s">
        <v>17</v>
      </c>
      <c r="L968" s="7">
        <f>Table3[[#This Row],[Revenue]]-Table3[[#This Row],[Ad Spend]]</f>
        <v>215.01999999999998</v>
      </c>
      <c r="M968" s="11">
        <v>122.17</v>
      </c>
    </row>
    <row r="969" spans="1:13" ht="15.75" customHeight="1" x14ac:dyDescent="0.3">
      <c r="A969" s="4" t="s">
        <v>309</v>
      </c>
      <c r="B969">
        <f t="shared" si="15"/>
        <v>4</v>
      </c>
      <c r="C969" s="2" t="s">
        <v>12</v>
      </c>
      <c r="D969" s="2" t="s">
        <v>1167</v>
      </c>
      <c r="E969" s="7">
        <v>21.06</v>
      </c>
      <c r="F969" s="2">
        <v>4</v>
      </c>
      <c r="G969" s="7">
        <v>356.5</v>
      </c>
      <c r="H969" s="2" t="s">
        <v>96</v>
      </c>
      <c r="I969" s="2" t="s">
        <v>29</v>
      </c>
      <c r="J969" s="2" t="s">
        <v>36</v>
      </c>
      <c r="K969" s="2" t="s">
        <v>17</v>
      </c>
      <c r="L969" s="7">
        <f>Table3[[#This Row],[Revenue]]-Table3[[#This Row],[Ad Spend]]</f>
        <v>335.44</v>
      </c>
      <c r="M969" s="11">
        <v>137.36000000000001</v>
      </c>
    </row>
    <row r="970" spans="1:13" ht="15.75" customHeight="1" x14ac:dyDescent="0.3">
      <c r="A970" s="4" t="s">
        <v>448</v>
      </c>
      <c r="B970">
        <f t="shared" si="15"/>
        <v>12</v>
      </c>
      <c r="C970" s="2" t="s">
        <v>32</v>
      </c>
      <c r="D970" s="2" t="s">
        <v>782</v>
      </c>
      <c r="E970" s="7">
        <v>106.35</v>
      </c>
      <c r="F970" s="2">
        <v>6</v>
      </c>
      <c r="G970" s="7">
        <v>498.5</v>
      </c>
      <c r="H970" s="2" t="s">
        <v>471</v>
      </c>
      <c r="I970" s="2" t="s">
        <v>15</v>
      </c>
      <c r="J970" s="2" t="s">
        <v>36</v>
      </c>
      <c r="K970" s="2" t="s">
        <v>17</v>
      </c>
      <c r="L970" s="7">
        <f>Table3[[#This Row],[Revenue]]-Table3[[#This Row],[Ad Spend]]</f>
        <v>392.15</v>
      </c>
      <c r="M970" s="11">
        <v>124.87</v>
      </c>
    </row>
    <row r="971" spans="1:13" ht="15.75" customHeight="1" x14ac:dyDescent="0.3">
      <c r="A971" s="4" t="s">
        <v>946</v>
      </c>
      <c r="B971">
        <f t="shared" si="15"/>
        <v>12</v>
      </c>
      <c r="C971" s="2" t="s">
        <v>12</v>
      </c>
      <c r="D971" s="2" t="s">
        <v>473</v>
      </c>
      <c r="E971" s="7">
        <v>47.66</v>
      </c>
      <c r="F971" s="2">
        <v>6</v>
      </c>
      <c r="G971" s="7">
        <v>124.59</v>
      </c>
      <c r="H971" s="2" t="s">
        <v>301</v>
      </c>
      <c r="I971" s="2" t="s">
        <v>29</v>
      </c>
      <c r="J971" s="2" t="s">
        <v>30</v>
      </c>
      <c r="K971" s="2" t="s">
        <v>17</v>
      </c>
      <c r="L971" s="7">
        <f>Table3[[#This Row],[Revenue]]-Table3[[#This Row],[Ad Spend]]</f>
        <v>76.930000000000007</v>
      </c>
      <c r="M971" s="11">
        <v>146.33000000000001</v>
      </c>
    </row>
    <row r="972" spans="1:13" ht="15.75" customHeight="1" x14ac:dyDescent="0.3">
      <c r="A972" s="4" t="s">
        <v>123</v>
      </c>
      <c r="B972">
        <f t="shared" si="15"/>
        <v>4</v>
      </c>
      <c r="C972" s="2" t="s">
        <v>32</v>
      </c>
      <c r="D972" s="2" t="s">
        <v>1168</v>
      </c>
      <c r="E972" s="7">
        <v>42.79</v>
      </c>
      <c r="F972" s="2">
        <v>10</v>
      </c>
      <c r="G972" s="7">
        <v>390.4</v>
      </c>
      <c r="H972" s="2" t="s">
        <v>235</v>
      </c>
      <c r="I972" s="2" t="s">
        <v>15</v>
      </c>
      <c r="J972" s="2" t="s">
        <v>16</v>
      </c>
      <c r="K972" s="2" t="s">
        <v>17</v>
      </c>
      <c r="L972" s="7">
        <f>Table3[[#This Row],[Revenue]]-Table3[[#This Row],[Ad Spend]]</f>
        <v>347.60999999999996</v>
      </c>
      <c r="M972" s="11">
        <v>128.07</v>
      </c>
    </row>
    <row r="973" spans="1:13" ht="15.75" customHeight="1" x14ac:dyDescent="0.3">
      <c r="A973" s="4" t="s">
        <v>129</v>
      </c>
      <c r="B973">
        <f t="shared" si="15"/>
        <v>1</v>
      </c>
      <c r="C973" s="2" t="s">
        <v>12</v>
      </c>
      <c r="D973" s="2" t="s">
        <v>609</v>
      </c>
      <c r="E973" s="7">
        <v>137.97999999999999</v>
      </c>
      <c r="F973" s="2">
        <v>1</v>
      </c>
      <c r="G973" s="7">
        <v>360.3</v>
      </c>
      <c r="H973" s="2" t="s">
        <v>471</v>
      </c>
      <c r="I973" s="2" t="s">
        <v>15</v>
      </c>
      <c r="J973" s="2" t="s">
        <v>30</v>
      </c>
      <c r="K973" s="2" t="s">
        <v>17</v>
      </c>
      <c r="L973" s="7">
        <f>Table3[[#This Row],[Revenue]]-Table3[[#This Row],[Ad Spend]]</f>
        <v>222.32000000000002</v>
      </c>
      <c r="M973" s="11">
        <v>128.46</v>
      </c>
    </row>
    <row r="974" spans="1:13" ht="15.75" customHeight="1" x14ac:dyDescent="0.3">
      <c r="A974" s="4" t="s">
        <v>428</v>
      </c>
      <c r="B974">
        <f t="shared" si="15"/>
        <v>3</v>
      </c>
      <c r="C974" s="2" t="s">
        <v>19</v>
      </c>
      <c r="D974" s="2" t="s">
        <v>559</v>
      </c>
      <c r="E974" s="7">
        <v>53.24</v>
      </c>
      <c r="F974" s="2">
        <v>5</v>
      </c>
      <c r="G974" s="7">
        <v>368.79</v>
      </c>
      <c r="H974" s="2" t="s">
        <v>1169</v>
      </c>
      <c r="I974" s="2" t="s">
        <v>29</v>
      </c>
      <c r="J974" s="2" t="s">
        <v>25</v>
      </c>
      <c r="K974" s="2" t="s">
        <v>17</v>
      </c>
      <c r="L974" s="7">
        <f>Table3[[#This Row],[Revenue]]-Table3[[#This Row],[Ad Spend]]</f>
        <v>315.55</v>
      </c>
      <c r="M974" s="11">
        <v>137.78</v>
      </c>
    </row>
    <row r="975" spans="1:13" ht="15.75" customHeight="1" x14ac:dyDescent="0.3">
      <c r="A975" s="4" t="s">
        <v>238</v>
      </c>
      <c r="B975">
        <f t="shared" si="15"/>
        <v>3</v>
      </c>
      <c r="C975" s="2" t="s">
        <v>19</v>
      </c>
      <c r="D975" s="2" t="s">
        <v>644</v>
      </c>
      <c r="E975" s="7">
        <v>143.5</v>
      </c>
      <c r="F975" s="2">
        <v>4</v>
      </c>
      <c r="G975" s="7">
        <v>486.81</v>
      </c>
      <c r="H975" s="2" t="s">
        <v>1170</v>
      </c>
      <c r="I975" s="2" t="s">
        <v>15</v>
      </c>
      <c r="J975" s="2" t="s">
        <v>30</v>
      </c>
      <c r="K975" s="2" t="s">
        <v>17</v>
      </c>
      <c r="L975" s="7">
        <f>Table3[[#This Row],[Revenue]]-Table3[[#This Row],[Ad Spend]]</f>
        <v>343.31</v>
      </c>
      <c r="M975" s="11">
        <v>220.64</v>
      </c>
    </row>
    <row r="976" spans="1:13" ht="15.75" customHeight="1" x14ac:dyDescent="0.3">
      <c r="A976" s="4" t="s">
        <v>84</v>
      </c>
      <c r="B976">
        <f t="shared" si="15"/>
        <v>10</v>
      </c>
      <c r="C976" s="2" t="s">
        <v>12</v>
      </c>
      <c r="D976" s="2" t="s">
        <v>1110</v>
      </c>
      <c r="E976" s="7">
        <v>123.99</v>
      </c>
      <c r="F976" s="2">
        <v>6</v>
      </c>
      <c r="G976" s="7">
        <v>320.04000000000002</v>
      </c>
      <c r="H976" s="2" t="s">
        <v>301</v>
      </c>
      <c r="I976" s="2" t="s">
        <v>15</v>
      </c>
      <c r="J976" s="2" t="s">
        <v>25</v>
      </c>
      <c r="K976" s="2" t="s">
        <v>17</v>
      </c>
      <c r="L976" s="7">
        <f>Table3[[#This Row],[Revenue]]-Table3[[#This Row],[Ad Spend]]</f>
        <v>196.05</v>
      </c>
      <c r="M976" s="11">
        <v>146.78</v>
      </c>
    </row>
    <row r="977" spans="1:13" ht="15.75" customHeight="1" x14ac:dyDescent="0.3">
      <c r="A977" s="4" t="s">
        <v>247</v>
      </c>
      <c r="B977">
        <f t="shared" si="15"/>
        <v>3</v>
      </c>
      <c r="C977" s="2" t="s">
        <v>32</v>
      </c>
      <c r="D977" s="2" t="s">
        <v>1171</v>
      </c>
      <c r="E977" s="7">
        <v>43.84</v>
      </c>
      <c r="F977" s="2">
        <v>8</v>
      </c>
      <c r="G977" s="7">
        <v>224.66</v>
      </c>
      <c r="H977" s="2" t="s">
        <v>1172</v>
      </c>
      <c r="I977" s="2" t="s">
        <v>29</v>
      </c>
      <c r="J977" s="2" t="s">
        <v>30</v>
      </c>
      <c r="K977" s="2" t="s">
        <v>17</v>
      </c>
      <c r="L977" s="7">
        <f>Table3[[#This Row],[Revenue]]-Table3[[#This Row],[Ad Spend]]</f>
        <v>180.82</v>
      </c>
      <c r="M977" s="11">
        <v>120.83</v>
      </c>
    </row>
    <row r="978" spans="1:13" ht="15.75" customHeight="1" x14ac:dyDescent="0.3">
      <c r="A978" s="4" t="s">
        <v>766</v>
      </c>
      <c r="B978">
        <f t="shared" si="15"/>
        <v>4</v>
      </c>
      <c r="C978" s="2" t="s">
        <v>19</v>
      </c>
      <c r="D978" s="2" t="s">
        <v>554</v>
      </c>
      <c r="E978" s="7">
        <v>141.47999999999999</v>
      </c>
      <c r="F978" s="2">
        <v>1</v>
      </c>
      <c r="G978" s="7">
        <v>88.17</v>
      </c>
      <c r="H978" s="2" t="s">
        <v>161</v>
      </c>
      <c r="I978" s="2" t="s">
        <v>35</v>
      </c>
      <c r="J978" s="2" t="s">
        <v>30</v>
      </c>
      <c r="K978" s="2" t="s">
        <v>17</v>
      </c>
      <c r="L978" s="7">
        <f>Table3[[#This Row],[Revenue]]-Table3[[#This Row],[Ad Spend]]</f>
        <v>-53.309999999999988</v>
      </c>
      <c r="M978" s="11">
        <v>118.61</v>
      </c>
    </row>
    <row r="979" spans="1:13" ht="15.75" customHeight="1" x14ac:dyDescent="0.3">
      <c r="A979" s="4" t="s">
        <v>189</v>
      </c>
      <c r="B979">
        <f t="shared" si="15"/>
        <v>2</v>
      </c>
      <c r="C979" s="2" t="s">
        <v>19</v>
      </c>
      <c r="D979" s="2" t="s">
        <v>1173</v>
      </c>
      <c r="E979" s="7">
        <v>110.67</v>
      </c>
      <c r="F979" s="2">
        <v>5</v>
      </c>
      <c r="G979" s="7">
        <v>420.57</v>
      </c>
      <c r="H979" s="2" t="s">
        <v>235</v>
      </c>
      <c r="I979" s="2" t="s">
        <v>35</v>
      </c>
      <c r="J979" s="2" t="s">
        <v>36</v>
      </c>
      <c r="K979" s="2" t="s">
        <v>17</v>
      </c>
      <c r="L979" s="7">
        <f>Table3[[#This Row],[Revenue]]-Table3[[#This Row],[Ad Spend]]</f>
        <v>309.89999999999998</v>
      </c>
      <c r="M979" s="11">
        <v>121.28</v>
      </c>
    </row>
    <row r="980" spans="1:13" ht="15.75" customHeight="1" x14ac:dyDescent="0.3">
      <c r="A980" s="4" t="s">
        <v>415</v>
      </c>
      <c r="B980">
        <f t="shared" si="15"/>
        <v>4</v>
      </c>
      <c r="C980" s="2" t="s">
        <v>19</v>
      </c>
      <c r="D980" s="2" t="s">
        <v>1174</v>
      </c>
      <c r="E980" s="7">
        <v>131.58000000000001</v>
      </c>
      <c r="F980" s="2">
        <v>7</v>
      </c>
      <c r="G980" s="7">
        <v>166.58</v>
      </c>
      <c r="H980" s="2" t="s">
        <v>695</v>
      </c>
      <c r="I980" s="2" t="s">
        <v>29</v>
      </c>
      <c r="J980" s="2" t="s">
        <v>36</v>
      </c>
      <c r="K980" s="2" t="s">
        <v>17</v>
      </c>
      <c r="L980" s="7">
        <f>Table3[[#This Row],[Revenue]]-Table3[[#This Row],[Ad Spend]]</f>
        <v>35</v>
      </c>
      <c r="M980" s="11">
        <v>127.81</v>
      </c>
    </row>
    <row r="981" spans="1:13" ht="15.75" customHeight="1" x14ac:dyDescent="0.3">
      <c r="A981" s="4" t="s">
        <v>688</v>
      </c>
      <c r="B981">
        <f t="shared" si="15"/>
        <v>3</v>
      </c>
      <c r="C981" s="2" t="s">
        <v>32</v>
      </c>
      <c r="D981" s="2" t="s">
        <v>1175</v>
      </c>
      <c r="E981" s="7">
        <v>123.66</v>
      </c>
      <c r="F981" s="2">
        <v>6</v>
      </c>
      <c r="G981" s="7">
        <v>101.35</v>
      </c>
      <c r="H981" s="2" t="s">
        <v>49</v>
      </c>
      <c r="I981" s="2" t="s">
        <v>15</v>
      </c>
      <c r="J981" s="2" t="s">
        <v>25</v>
      </c>
      <c r="K981" s="2" t="s">
        <v>17</v>
      </c>
      <c r="L981" s="7">
        <f>Table3[[#This Row],[Revenue]]-Table3[[#This Row],[Ad Spend]]</f>
        <v>-22.310000000000002</v>
      </c>
      <c r="M981" s="11">
        <v>129.28</v>
      </c>
    </row>
    <row r="982" spans="1:13" ht="15.75" customHeight="1" x14ac:dyDescent="0.3">
      <c r="A982" s="4" t="s">
        <v>102</v>
      </c>
      <c r="B982">
        <f t="shared" si="15"/>
        <v>3</v>
      </c>
      <c r="C982" s="2" t="s">
        <v>32</v>
      </c>
      <c r="D982" s="2" t="s">
        <v>572</v>
      </c>
      <c r="E982" s="7">
        <v>94.57</v>
      </c>
      <c r="F982" s="2">
        <v>9</v>
      </c>
      <c r="G982" s="7">
        <v>200.7</v>
      </c>
      <c r="H982" s="2" t="s">
        <v>917</v>
      </c>
      <c r="I982" s="2" t="s">
        <v>15</v>
      </c>
      <c r="J982" s="2" t="s">
        <v>30</v>
      </c>
      <c r="K982" s="2" t="s">
        <v>17</v>
      </c>
      <c r="L982" s="7">
        <f>Table3[[#This Row],[Revenue]]-Table3[[#This Row],[Ad Spend]]</f>
        <v>106.13</v>
      </c>
      <c r="M982" s="11">
        <v>137.69</v>
      </c>
    </row>
    <row r="983" spans="1:13" ht="15.75" customHeight="1" x14ac:dyDescent="0.3">
      <c r="A983" s="4" t="s">
        <v>31</v>
      </c>
      <c r="B983">
        <f t="shared" si="15"/>
        <v>1</v>
      </c>
      <c r="C983" s="2" t="s">
        <v>19</v>
      </c>
      <c r="D983" s="2" t="s">
        <v>1176</v>
      </c>
      <c r="E983" s="7">
        <v>117.87</v>
      </c>
      <c r="F983" s="2">
        <v>6</v>
      </c>
      <c r="G983" s="7">
        <v>113.07</v>
      </c>
      <c r="H983" s="2" t="s">
        <v>328</v>
      </c>
      <c r="I983" s="2" t="s">
        <v>29</v>
      </c>
      <c r="J983" s="2" t="s">
        <v>16</v>
      </c>
      <c r="K983" s="2" t="s">
        <v>17</v>
      </c>
      <c r="L983" s="7">
        <f>Table3[[#This Row],[Revenue]]-Table3[[#This Row],[Ad Spend]]</f>
        <v>-4.8000000000000114</v>
      </c>
      <c r="M983" s="11">
        <v>132.57</v>
      </c>
    </row>
    <row r="984" spans="1:13" ht="15.75" customHeight="1" x14ac:dyDescent="0.3">
      <c r="A984" s="4" t="s">
        <v>277</v>
      </c>
      <c r="B984">
        <f t="shared" si="15"/>
        <v>2</v>
      </c>
      <c r="C984" s="2" t="s">
        <v>12</v>
      </c>
      <c r="D984" s="2" t="s">
        <v>15</v>
      </c>
      <c r="E984" s="7">
        <v>42.91</v>
      </c>
      <c r="F984" s="2">
        <v>7</v>
      </c>
      <c r="G984" s="7">
        <v>21.74</v>
      </c>
      <c r="H984" s="2" t="s">
        <v>39</v>
      </c>
      <c r="I984" s="2" t="s">
        <v>15</v>
      </c>
      <c r="J984" s="2" t="s">
        <v>30</v>
      </c>
      <c r="K984" s="2" t="s">
        <v>17</v>
      </c>
      <c r="L984" s="7">
        <f>Table3[[#This Row],[Revenue]]-Table3[[#This Row],[Ad Spend]]</f>
        <v>-21.169999999999998</v>
      </c>
      <c r="M984" s="11">
        <v>66.290000000000006</v>
      </c>
    </row>
    <row r="985" spans="1:13" ht="15.75" customHeight="1" x14ac:dyDescent="0.3">
      <c r="A985" s="4" t="s">
        <v>271</v>
      </c>
      <c r="B985">
        <f t="shared" si="15"/>
        <v>1</v>
      </c>
      <c r="C985" s="2" t="s">
        <v>19</v>
      </c>
      <c r="D985" s="2" t="s">
        <v>1177</v>
      </c>
      <c r="E985" s="7">
        <v>116.59</v>
      </c>
      <c r="F985" s="2">
        <v>4</v>
      </c>
      <c r="G985" s="7">
        <v>274.79000000000002</v>
      </c>
      <c r="H985" s="2" t="s">
        <v>1178</v>
      </c>
      <c r="I985" s="2" t="s">
        <v>29</v>
      </c>
      <c r="J985" s="2" t="s">
        <v>25</v>
      </c>
      <c r="K985" s="2" t="s">
        <v>17</v>
      </c>
      <c r="L985" s="7">
        <f>Table3[[#This Row],[Revenue]]-Table3[[#This Row],[Ad Spend]]</f>
        <v>158.20000000000002</v>
      </c>
      <c r="M985" s="11">
        <v>90.9</v>
      </c>
    </row>
    <row r="986" spans="1:13" ht="15.75" customHeight="1" x14ac:dyDescent="0.3">
      <c r="A986" s="4" t="s">
        <v>156</v>
      </c>
      <c r="B986">
        <f t="shared" si="15"/>
        <v>12</v>
      </c>
      <c r="C986" s="2" t="s">
        <v>19</v>
      </c>
      <c r="D986" s="2" t="s">
        <v>1152</v>
      </c>
      <c r="E986" s="7">
        <v>149.44999999999999</v>
      </c>
      <c r="F986" s="2">
        <v>1</v>
      </c>
      <c r="G986" s="7">
        <v>399.31</v>
      </c>
      <c r="H986" s="2" t="s">
        <v>664</v>
      </c>
      <c r="I986" s="2" t="s">
        <v>29</v>
      </c>
      <c r="J986" s="2" t="s">
        <v>25</v>
      </c>
      <c r="K986" s="2" t="s">
        <v>17</v>
      </c>
      <c r="L986" s="7">
        <f>Table3[[#This Row],[Revenue]]-Table3[[#This Row],[Ad Spend]]</f>
        <v>249.86</v>
      </c>
      <c r="M986" s="11">
        <v>157.99</v>
      </c>
    </row>
    <row r="987" spans="1:13" ht="15.75" customHeight="1" x14ac:dyDescent="0.3">
      <c r="A987" s="4" t="s">
        <v>380</v>
      </c>
      <c r="B987">
        <f t="shared" si="15"/>
        <v>2</v>
      </c>
      <c r="C987" s="2" t="s">
        <v>32</v>
      </c>
      <c r="D987" s="2" t="s">
        <v>1179</v>
      </c>
      <c r="E987" s="7">
        <v>129.01</v>
      </c>
      <c r="F987" s="2">
        <v>5</v>
      </c>
      <c r="G987" s="7">
        <v>52.15</v>
      </c>
      <c r="H987" s="2" t="s">
        <v>14</v>
      </c>
      <c r="I987" s="2" t="s">
        <v>15</v>
      </c>
      <c r="J987" s="2" t="s">
        <v>25</v>
      </c>
      <c r="K987" s="2" t="s">
        <v>17</v>
      </c>
      <c r="L987" s="7">
        <f>Table3[[#This Row],[Revenue]]-Table3[[#This Row],[Ad Spend]]</f>
        <v>-76.859999999999985</v>
      </c>
      <c r="M987" s="11">
        <v>114.03</v>
      </c>
    </row>
    <row r="988" spans="1:13" ht="15.75" customHeight="1" x14ac:dyDescent="0.3">
      <c r="A988" s="4" t="s">
        <v>226</v>
      </c>
      <c r="B988">
        <f t="shared" si="15"/>
        <v>2</v>
      </c>
      <c r="C988" s="2" t="s">
        <v>32</v>
      </c>
      <c r="D988" s="2" t="s">
        <v>363</v>
      </c>
      <c r="E988" s="7">
        <v>38.83</v>
      </c>
      <c r="F988" s="2">
        <v>0</v>
      </c>
      <c r="G988" s="7">
        <v>96.01</v>
      </c>
      <c r="H988" s="2" t="s">
        <v>229</v>
      </c>
      <c r="I988" s="2" t="s">
        <v>15</v>
      </c>
      <c r="J988" s="2" t="s">
        <v>25</v>
      </c>
      <c r="K988" s="2" t="s">
        <v>46</v>
      </c>
      <c r="L988" s="7">
        <f>Table3[[#This Row],[Revenue]]-Table3[[#This Row],[Ad Spend]]</f>
        <v>57.180000000000007</v>
      </c>
      <c r="M988" s="11">
        <v>95.79</v>
      </c>
    </row>
    <row r="989" spans="1:13" ht="15.75" customHeight="1" x14ac:dyDescent="0.3">
      <c r="A989" s="4" t="s">
        <v>189</v>
      </c>
      <c r="B989">
        <f t="shared" si="15"/>
        <v>2</v>
      </c>
      <c r="C989" s="2" t="s">
        <v>19</v>
      </c>
      <c r="D989" s="2" t="s">
        <v>1180</v>
      </c>
      <c r="E989" s="7">
        <v>16.27</v>
      </c>
      <c r="F989" s="2">
        <v>8</v>
      </c>
      <c r="G989" s="7">
        <v>51.89</v>
      </c>
      <c r="H989" s="2" t="s">
        <v>861</v>
      </c>
      <c r="I989" s="2" t="s">
        <v>35</v>
      </c>
      <c r="J989" s="2" t="s">
        <v>53</v>
      </c>
      <c r="K989" s="2" t="s">
        <v>17</v>
      </c>
      <c r="L989" s="7">
        <f>Table3[[#This Row],[Revenue]]-Table3[[#This Row],[Ad Spend]]</f>
        <v>35.620000000000005</v>
      </c>
      <c r="M989" s="11">
        <v>114.24</v>
      </c>
    </row>
    <row r="990" spans="1:13" ht="15.75" customHeight="1" x14ac:dyDescent="0.3">
      <c r="A990" s="4" t="s">
        <v>136</v>
      </c>
      <c r="B990">
        <f t="shared" si="15"/>
        <v>2</v>
      </c>
      <c r="C990" s="2" t="s">
        <v>19</v>
      </c>
      <c r="D990" s="2" t="s">
        <v>352</v>
      </c>
      <c r="E990" s="7">
        <v>127.77</v>
      </c>
      <c r="F990" s="2">
        <v>5</v>
      </c>
      <c r="G990" s="7">
        <v>214.89</v>
      </c>
      <c r="H990" s="2" t="s">
        <v>763</v>
      </c>
      <c r="I990" s="2" t="s">
        <v>35</v>
      </c>
      <c r="J990" s="2" t="s">
        <v>30</v>
      </c>
      <c r="K990" s="2" t="s">
        <v>17</v>
      </c>
      <c r="L990" s="7">
        <f>Table3[[#This Row],[Revenue]]-Table3[[#This Row],[Ad Spend]]</f>
        <v>87.11999999999999</v>
      </c>
      <c r="M990" s="11">
        <v>147.80000000000001</v>
      </c>
    </row>
    <row r="991" spans="1:13" ht="15.75" customHeight="1" x14ac:dyDescent="0.3">
      <c r="A991" s="4" t="s">
        <v>244</v>
      </c>
      <c r="B991">
        <f t="shared" si="15"/>
        <v>2</v>
      </c>
      <c r="C991" s="2" t="s">
        <v>19</v>
      </c>
      <c r="D991" s="2" t="s">
        <v>1181</v>
      </c>
      <c r="E991" s="7">
        <v>14.38</v>
      </c>
      <c r="F991" s="2">
        <v>0</v>
      </c>
      <c r="G991" s="7">
        <v>97.23</v>
      </c>
      <c r="H991" s="2" t="s">
        <v>389</v>
      </c>
      <c r="I991" s="2" t="s">
        <v>29</v>
      </c>
      <c r="J991" s="2" t="s">
        <v>87</v>
      </c>
      <c r="K991" s="2" t="s">
        <v>46</v>
      </c>
      <c r="L991" s="7">
        <f>Table3[[#This Row],[Revenue]]-Table3[[#This Row],[Ad Spend]]</f>
        <v>82.850000000000009</v>
      </c>
      <c r="M991" s="11">
        <v>113.54</v>
      </c>
    </row>
    <row r="992" spans="1:13" ht="15.75" customHeight="1" x14ac:dyDescent="0.3">
      <c r="A992" s="4" t="s">
        <v>40</v>
      </c>
      <c r="B992">
        <f t="shared" si="15"/>
        <v>3</v>
      </c>
      <c r="C992" s="2" t="s">
        <v>32</v>
      </c>
      <c r="D992" s="2" t="s">
        <v>542</v>
      </c>
      <c r="E992" s="7">
        <v>62.16</v>
      </c>
      <c r="F992" s="2">
        <v>3</v>
      </c>
      <c r="G992" s="7">
        <v>326.29000000000002</v>
      </c>
      <c r="H992" s="2" t="s">
        <v>161</v>
      </c>
      <c r="I992" s="2" t="s">
        <v>29</v>
      </c>
      <c r="J992" s="2" t="s">
        <v>30</v>
      </c>
      <c r="K992" s="2" t="s">
        <v>17</v>
      </c>
      <c r="L992" s="7">
        <f>Table3[[#This Row],[Revenue]]-Table3[[#This Row],[Ad Spend]]</f>
        <v>264.13</v>
      </c>
      <c r="M992" s="11">
        <v>115.44</v>
      </c>
    </row>
    <row r="993" spans="1:13" ht="15.75" customHeight="1" x14ac:dyDescent="0.3">
      <c r="A993" s="4" t="s">
        <v>94</v>
      </c>
      <c r="B993">
        <f t="shared" si="15"/>
        <v>1</v>
      </c>
      <c r="C993" s="2" t="s">
        <v>12</v>
      </c>
      <c r="D993" s="2" t="s">
        <v>430</v>
      </c>
      <c r="E993" s="7">
        <v>135.24</v>
      </c>
      <c r="F993" s="2">
        <v>2</v>
      </c>
      <c r="G993" s="7">
        <v>346.51</v>
      </c>
      <c r="H993" s="2" t="s">
        <v>664</v>
      </c>
      <c r="I993" s="2" t="s">
        <v>29</v>
      </c>
      <c r="J993" s="2" t="s">
        <v>25</v>
      </c>
      <c r="K993" s="2" t="s">
        <v>17</v>
      </c>
      <c r="L993" s="7">
        <f>Table3[[#This Row],[Revenue]]-Table3[[#This Row],[Ad Spend]]</f>
        <v>211.26999999999998</v>
      </c>
      <c r="M993" s="11">
        <v>154.93</v>
      </c>
    </row>
    <row r="994" spans="1:13" ht="15.75" customHeight="1" x14ac:dyDescent="0.3">
      <c r="A994" s="4" t="s">
        <v>623</v>
      </c>
      <c r="B994">
        <f t="shared" si="15"/>
        <v>1</v>
      </c>
      <c r="C994" s="2" t="s">
        <v>19</v>
      </c>
      <c r="D994" s="2" t="s">
        <v>1182</v>
      </c>
      <c r="E994" s="7">
        <v>117.84</v>
      </c>
      <c r="F994" s="2">
        <v>0</v>
      </c>
      <c r="G994" s="7">
        <v>386.49</v>
      </c>
      <c r="H994" s="2" t="s">
        <v>1183</v>
      </c>
      <c r="I994" s="2" t="s">
        <v>29</v>
      </c>
      <c r="J994" s="2" t="s">
        <v>25</v>
      </c>
      <c r="K994" s="2" t="s">
        <v>46</v>
      </c>
      <c r="L994" s="7">
        <f>Table3[[#This Row],[Revenue]]-Table3[[#This Row],[Ad Spend]]</f>
        <v>268.64999999999998</v>
      </c>
      <c r="M994" s="11">
        <v>182.24</v>
      </c>
    </row>
    <row r="995" spans="1:13" ht="15.75" customHeight="1" x14ac:dyDescent="0.3">
      <c r="A995" s="4" t="s">
        <v>340</v>
      </c>
      <c r="B995">
        <f t="shared" si="15"/>
        <v>11</v>
      </c>
      <c r="C995" s="2" t="s">
        <v>32</v>
      </c>
      <c r="D995" s="2" t="s">
        <v>1078</v>
      </c>
      <c r="E995" s="7">
        <v>77.599999999999994</v>
      </c>
      <c r="F995" s="2">
        <v>4</v>
      </c>
      <c r="G995" s="7">
        <v>122.8</v>
      </c>
      <c r="H995" s="2" t="s">
        <v>138</v>
      </c>
      <c r="I995" s="2" t="s">
        <v>35</v>
      </c>
      <c r="J995" s="2" t="s">
        <v>25</v>
      </c>
      <c r="K995" s="2" t="s">
        <v>17</v>
      </c>
      <c r="L995" s="7">
        <f>Table3[[#This Row],[Revenue]]-Table3[[#This Row],[Ad Spend]]</f>
        <v>45.2</v>
      </c>
      <c r="M995" s="11">
        <v>140.61000000000001</v>
      </c>
    </row>
    <row r="996" spans="1:13" ht="15.75" customHeight="1" x14ac:dyDescent="0.3">
      <c r="A996" s="4" t="s">
        <v>50</v>
      </c>
      <c r="B996">
        <f t="shared" si="15"/>
        <v>12</v>
      </c>
      <c r="C996" s="2" t="s">
        <v>63</v>
      </c>
      <c r="D996" s="2" t="s">
        <v>1184</v>
      </c>
      <c r="E996" s="7">
        <v>62.31</v>
      </c>
      <c r="F996" s="2">
        <v>0</v>
      </c>
      <c r="G996" s="7">
        <v>396.56</v>
      </c>
      <c r="H996" s="2" t="s">
        <v>705</v>
      </c>
      <c r="I996" s="2" t="s">
        <v>29</v>
      </c>
      <c r="J996" s="2" t="s">
        <v>25</v>
      </c>
      <c r="K996" s="2" t="s">
        <v>46</v>
      </c>
      <c r="L996" s="7">
        <f>Table3[[#This Row],[Revenue]]-Table3[[#This Row],[Ad Spend]]</f>
        <v>334.25</v>
      </c>
      <c r="M996" s="11">
        <v>125.7</v>
      </c>
    </row>
    <row r="997" spans="1:13" ht="15.75" customHeight="1" x14ac:dyDescent="0.3">
      <c r="A997" s="4" t="s">
        <v>309</v>
      </c>
      <c r="B997">
        <f t="shared" si="15"/>
        <v>4</v>
      </c>
      <c r="C997" s="2" t="s">
        <v>12</v>
      </c>
      <c r="D997" s="2" t="s">
        <v>1185</v>
      </c>
      <c r="E997" s="7">
        <v>124.85</v>
      </c>
      <c r="F997" s="2">
        <v>5</v>
      </c>
      <c r="G997" s="7">
        <v>272.18</v>
      </c>
      <c r="H997" s="2" t="s">
        <v>1186</v>
      </c>
      <c r="I997" s="2" t="s">
        <v>15</v>
      </c>
      <c r="J997" s="2" t="s">
        <v>25</v>
      </c>
      <c r="K997" s="2" t="s">
        <v>17</v>
      </c>
      <c r="L997" s="7">
        <f>Table3[[#This Row],[Revenue]]-Table3[[#This Row],[Ad Spend]]</f>
        <v>147.33000000000001</v>
      </c>
      <c r="M997" s="11">
        <v>84.38</v>
      </c>
    </row>
    <row r="998" spans="1:13" ht="15.75" customHeight="1" x14ac:dyDescent="0.3">
      <c r="A998" s="4" t="s">
        <v>169</v>
      </c>
      <c r="B998">
        <f t="shared" si="15"/>
        <v>2</v>
      </c>
      <c r="C998" s="2" t="s">
        <v>19</v>
      </c>
      <c r="D998" s="2" t="s">
        <v>1187</v>
      </c>
      <c r="E998" s="7">
        <v>78.98</v>
      </c>
      <c r="F998" s="2">
        <v>0</v>
      </c>
      <c r="G998" s="7">
        <v>209.11</v>
      </c>
      <c r="H998" s="2" t="s">
        <v>921</v>
      </c>
      <c r="I998" s="2" t="s">
        <v>15</v>
      </c>
      <c r="J998" s="2" t="s">
        <v>87</v>
      </c>
      <c r="K998" s="2" t="s">
        <v>46</v>
      </c>
      <c r="L998" s="7">
        <f>Table3[[#This Row],[Revenue]]-Table3[[#This Row],[Ad Spend]]</f>
        <v>130.13</v>
      </c>
      <c r="M998" s="11">
        <v>131.75</v>
      </c>
    </row>
    <row r="999" spans="1:13" ht="15.75" customHeight="1" x14ac:dyDescent="0.3">
      <c r="A999" s="4" t="s">
        <v>84</v>
      </c>
      <c r="B999">
        <f t="shared" si="15"/>
        <v>10</v>
      </c>
      <c r="C999" s="2" t="s">
        <v>63</v>
      </c>
      <c r="D999" s="2" t="s">
        <v>1188</v>
      </c>
      <c r="E999" s="7">
        <v>144.82</v>
      </c>
      <c r="F999" s="2">
        <v>3</v>
      </c>
      <c r="G999" s="7">
        <v>443.71</v>
      </c>
      <c r="H999" s="2" t="s">
        <v>158</v>
      </c>
      <c r="I999" s="2" t="s">
        <v>29</v>
      </c>
      <c r="J999" s="2" t="s">
        <v>87</v>
      </c>
      <c r="K999" s="2" t="s">
        <v>17</v>
      </c>
      <c r="L999" s="7">
        <f>Table3[[#This Row],[Revenue]]-Table3[[#This Row],[Ad Spend]]</f>
        <v>298.89</v>
      </c>
      <c r="M999" s="11">
        <v>126.68</v>
      </c>
    </row>
    <row r="1000" spans="1:13" ht="15.75" customHeight="1" x14ac:dyDescent="0.3">
      <c r="A1000" s="4" t="s">
        <v>483</v>
      </c>
      <c r="B1000">
        <f t="shared" si="15"/>
        <v>4</v>
      </c>
      <c r="C1000" s="2" t="s">
        <v>63</v>
      </c>
      <c r="D1000" s="2" t="s">
        <v>1189</v>
      </c>
      <c r="E1000" s="7">
        <v>27.47</v>
      </c>
      <c r="F1000" s="2">
        <v>9</v>
      </c>
      <c r="G1000" s="7">
        <v>99.34</v>
      </c>
      <c r="H1000" s="2" t="s">
        <v>389</v>
      </c>
      <c r="I1000" s="2" t="s">
        <v>15</v>
      </c>
      <c r="J1000" s="2" t="s">
        <v>87</v>
      </c>
      <c r="K1000" s="2" t="s">
        <v>17</v>
      </c>
      <c r="L1000" s="7">
        <f>Table3[[#This Row],[Revenue]]-Table3[[#This Row],[Ad Spend]]</f>
        <v>71.87</v>
      </c>
      <c r="M1000" s="11">
        <v>105.69</v>
      </c>
    </row>
    <row r="1001" spans="1:13" ht="15.75" customHeight="1" x14ac:dyDescent="0.3">
      <c r="A1001" s="4" t="s">
        <v>656</v>
      </c>
      <c r="B1001">
        <f t="shared" si="15"/>
        <v>4</v>
      </c>
      <c r="C1001" s="2" t="s">
        <v>19</v>
      </c>
      <c r="D1001" s="2" t="s">
        <v>1190</v>
      </c>
      <c r="E1001" s="7">
        <v>18.309999999999999</v>
      </c>
      <c r="F1001" s="2">
        <v>1</v>
      </c>
      <c r="G1001" s="7">
        <v>74</v>
      </c>
      <c r="H1001" s="2" t="s">
        <v>1191</v>
      </c>
      <c r="I1001" s="2" t="s">
        <v>35</v>
      </c>
      <c r="J1001" s="2" t="s">
        <v>30</v>
      </c>
      <c r="K1001" s="2" t="s">
        <v>17</v>
      </c>
      <c r="L1001" s="7">
        <f>Table3[[#This Row],[Revenue]]-Table3[[#This Row],[Ad Spend]]</f>
        <v>55.69</v>
      </c>
      <c r="M1001" s="11">
        <v>48.73</v>
      </c>
    </row>
    <row r="1002" spans="1:13" ht="15.75" customHeight="1" x14ac:dyDescent="0.3">
      <c r="A1002" s="4" t="s">
        <v>496</v>
      </c>
      <c r="B1002">
        <f t="shared" si="15"/>
        <v>1</v>
      </c>
      <c r="C1002" s="2" t="s">
        <v>32</v>
      </c>
      <c r="D1002" s="2" t="s">
        <v>1192</v>
      </c>
      <c r="E1002" s="7">
        <v>34.36</v>
      </c>
      <c r="F1002" s="2">
        <v>6</v>
      </c>
      <c r="G1002" s="7">
        <v>428.34</v>
      </c>
      <c r="H1002" s="2" t="s">
        <v>279</v>
      </c>
      <c r="I1002" s="2" t="s">
        <v>29</v>
      </c>
      <c r="J1002" s="2" t="s">
        <v>87</v>
      </c>
      <c r="K1002" s="2" t="s">
        <v>17</v>
      </c>
      <c r="L1002" s="7">
        <f>Table3[[#This Row],[Revenue]]-Table3[[#This Row],[Ad Spend]]</f>
        <v>393.97999999999996</v>
      </c>
      <c r="M1002" s="11">
        <v>127.26</v>
      </c>
    </row>
    <row r="1003" spans="1:13" ht="15.75" customHeight="1" x14ac:dyDescent="0.3">
      <c r="A1003" s="4" t="s">
        <v>181</v>
      </c>
      <c r="B1003">
        <f t="shared" si="15"/>
        <v>11</v>
      </c>
      <c r="C1003" s="2" t="s">
        <v>12</v>
      </c>
      <c r="D1003" s="2" t="s">
        <v>1193</v>
      </c>
      <c r="E1003" s="7">
        <v>98.7</v>
      </c>
      <c r="F1003" s="2">
        <v>2</v>
      </c>
      <c r="G1003" s="7">
        <v>373.34</v>
      </c>
      <c r="H1003" s="2" t="s">
        <v>506</v>
      </c>
      <c r="I1003" s="2" t="s">
        <v>35</v>
      </c>
      <c r="J1003" s="2" t="s">
        <v>36</v>
      </c>
      <c r="K1003" s="2" t="s">
        <v>17</v>
      </c>
      <c r="L1003" s="7">
        <f>Table3[[#This Row],[Revenue]]-Table3[[#This Row],[Ad Spend]]</f>
        <v>274.64</v>
      </c>
      <c r="M1003" s="11">
        <v>159.69</v>
      </c>
    </row>
    <row r="1004" spans="1:13" ht="15.75" customHeight="1" x14ac:dyDescent="0.3">
      <c r="A1004" s="4" t="s">
        <v>1194</v>
      </c>
      <c r="B1004">
        <f t="shared" si="15"/>
        <v>4</v>
      </c>
      <c r="C1004" s="2" t="s">
        <v>19</v>
      </c>
      <c r="D1004" s="2" t="s">
        <v>1195</v>
      </c>
      <c r="E1004" s="7">
        <v>73.650000000000006</v>
      </c>
      <c r="F1004" s="2">
        <v>3</v>
      </c>
      <c r="G1004" s="7">
        <v>451.19</v>
      </c>
      <c r="H1004" s="2" t="s">
        <v>811</v>
      </c>
      <c r="I1004" s="2" t="s">
        <v>35</v>
      </c>
      <c r="J1004" s="2" t="s">
        <v>25</v>
      </c>
      <c r="K1004" s="2" t="s">
        <v>17</v>
      </c>
      <c r="L1004" s="7">
        <f>Table3[[#This Row],[Revenue]]-Table3[[#This Row],[Ad Spend]]</f>
        <v>377.53999999999996</v>
      </c>
      <c r="M1004" s="11">
        <v>154.6</v>
      </c>
    </row>
    <row r="1005" spans="1:13" ht="15.75" customHeight="1" x14ac:dyDescent="0.3">
      <c r="A1005" s="4" t="s">
        <v>783</v>
      </c>
      <c r="B1005">
        <f t="shared" si="15"/>
        <v>1</v>
      </c>
      <c r="C1005" s="2" t="s">
        <v>32</v>
      </c>
      <c r="D1005" s="2" t="s">
        <v>661</v>
      </c>
      <c r="E1005" s="7">
        <v>88.73</v>
      </c>
      <c r="F1005" s="2">
        <v>4</v>
      </c>
      <c r="G1005" s="7">
        <v>412.3</v>
      </c>
      <c r="H1005" s="2" t="s">
        <v>28</v>
      </c>
      <c r="I1005" s="2" t="s">
        <v>15</v>
      </c>
      <c r="J1005" s="2" t="s">
        <v>25</v>
      </c>
      <c r="K1005" s="2" t="s">
        <v>17</v>
      </c>
      <c r="L1005" s="7">
        <f>Table3[[#This Row],[Revenue]]-Table3[[#This Row],[Ad Spend]]</f>
        <v>323.57</v>
      </c>
      <c r="M1005" s="11">
        <v>137.43</v>
      </c>
    </row>
    <row r="1006" spans="1:13" ht="15.75" customHeight="1" x14ac:dyDescent="0.3">
      <c r="A1006" s="4" t="s">
        <v>82</v>
      </c>
      <c r="B1006">
        <f t="shared" si="15"/>
        <v>4</v>
      </c>
      <c r="C1006" s="2" t="s">
        <v>12</v>
      </c>
      <c r="D1006" s="2" t="s">
        <v>772</v>
      </c>
      <c r="E1006" s="7">
        <v>139.66</v>
      </c>
      <c r="F1006" s="2">
        <v>8</v>
      </c>
      <c r="G1006" s="7">
        <v>54.23</v>
      </c>
      <c r="H1006" s="2" t="s">
        <v>119</v>
      </c>
      <c r="I1006" s="2" t="s">
        <v>15</v>
      </c>
      <c r="J1006" s="2" t="s">
        <v>30</v>
      </c>
      <c r="K1006" s="2" t="s">
        <v>17</v>
      </c>
      <c r="L1006" s="7">
        <f>Table3[[#This Row],[Revenue]]-Table3[[#This Row],[Ad Spend]]</f>
        <v>-85.43</v>
      </c>
      <c r="M1006" s="11">
        <v>112.68</v>
      </c>
    </row>
    <row r="1007" spans="1:13" ht="15.75" customHeight="1" x14ac:dyDescent="0.3">
      <c r="A1007" s="4" t="s">
        <v>271</v>
      </c>
      <c r="B1007">
        <f t="shared" si="15"/>
        <v>1</v>
      </c>
      <c r="C1007" s="2" t="s">
        <v>12</v>
      </c>
      <c r="D1007" s="2" t="s">
        <v>635</v>
      </c>
      <c r="E1007" s="7">
        <v>6.01</v>
      </c>
      <c r="F1007" s="2">
        <v>4</v>
      </c>
      <c r="G1007" s="7">
        <v>306.38</v>
      </c>
      <c r="H1007" s="2" t="s">
        <v>237</v>
      </c>
      <c r="I1007" s="2" t="s">
        <v>29</v>
      </c>
      <c r="J1007" s="2" t="s">
        <v>36</v>
      </c>
      <c r="K1007" s="2" t="s">
        <v>17</v>
      </c>
      <c r="L1007" s="7">
        <f>Table3[[#This Row],[Revenue]]-Table3[[#This Row],[Ad Spend]]</f>
        <v>300.37</v>
      </c>
      <c r="M1007" s="11">
        <v>135.88</v>
      </c>
    </row>
    <row r="1008" spans="1:13" ht="15.75" customHeight="1" x14ac:dyDescent="0.3">
      <c r="A1008" s="4" t="s">
        <v>683</v>
      </c>
      <c r="B1008">
        <f t="shared" si="15"/>
        <v>11</v>
      </c>
      <c r="C1008" s="2" t="s">
        <v>19</v>
      </c>
      <c r="D1008" s="2" t="s">
        <v>1196</v>
      </c>
      <c r="E1008" s="7">
        <v>31.11</v>
      </c>
      <c r="F1008" s="2">
        <v>1</v>
      </c>
      <c r="G1008" s="7">
        <v>461.37</v>
      </c>
      <c r="H1008" s="2" t="s">
        <v>58</v>
      </c>
      <c r="I1008" s="2" t="s">
        <v>29</v>
      </c>
      <c r="J1008" s="2" t="s">
        <v>36</v>
      </c>
      <c r="K1008" s="2" t="s">
        <v>17</v>
      </c>
      <c r="L1008" s="7">
        <f>Table3[[#This Row],[Revenue]]-Table3[[#This Row],[Ad Spend]]</f>
        <v>430.26</v>
      </c>
      <c r="M1008" s="11">
        <v>130.35</v>
      </c>
    </row>
    <row r="1009" spans="1:13" ht="15.75" customHeight="1" x14ac:dyDescent="0.3">
      <c r="A1009" s="4" t="s">
        <v>766</v>
      </c>
      <c r="B1009">
        <f t="shared" si="15"/>
        <v>4</v>
      </c>
      <c r="C1009" s="2" t="s">
        <v>12</v>
      </c>
      <c r="D1009" s="2" t="s">
        <v>1192</v>
      </c>
      <c r="E1009" s="7">
        <v>131.47</v>
      </c>
      <c r="F1009" s="2">
        <v>10</v>
      </c>
      <c r="G1009" s="7">
        <v>107.51</v>
      </c>
      <c r="H1009" s="2" t="s">
        <v>235</v>
      </c>
      <c r="I1009" s="2" t="s">
        <v>15</v>
      </c>
      <c r="J1009" s="2" t="s">
        <v>30</v>
      </c>
      <c r="K1009" s="2" t="s">
        <v>17</v>
      </c>
      <c r="L1009" s="7">
        <f>Table3[[#This Row],[Revenue]]-Table3[[#This Row],[Ad Spend]]</f>
        <v>-23.959999999999994</v>
      </c>
      <c r="M1009" s="11">
        <v>123.81</v>
      </c>
    </row>
    <row r="1010" spans="1:13" ht="15.75" customHeight="1" x14ac:dyDescent="0.3">
      <c r="A1010" s="4" t="s">
        <v>421</v>
      </c>
      <c r="B1010">
        <f t="shared" si="15"/>
        <v>11</v>
      </c>
      <c r="C1010" s="2" t="s">
        <v>12</v>
      </c>
      <c r="D1010" s="2" t="s">
        <v>1197</v>
      </c>
      <c r="E1010" s="7">
        <v>20.72</v>
      </c>
      <c r="F1010" s="2">
        <v>6</v>
      </c>
      <c r="G1010" s="7">
        <v>33.729999999999997</v>
      </c>
      <c r="H1010" s="2" t="s">
        <v>488</v>
      </c>
      <c r="I1010" s="2" t="s">
        <v>29</v>
      </c>
      <c r="J1010" s="2" t="s">
        <v>25</v>
      </c>
      <c r="K1010" s="2" t="s">
        <v>17</v>
      </c>
      <c r="L1010" s="7">
        <f>Table3[[#This Row],[Revenue]]-Table3[[#This Row],[Ad Spend]]</f>
        <v>13.009999999999998</v>
      </c>
      <c r="M1010" s="11">
        <v>100.44</v>
      </c>
    </row>
    <row r="1011" spans="1:13" ht="15.75" customHeight="1" x14ac:dyDescent="0.3">
      <c r="A1011" s="4" t="s">
        <v>247</v>
      </c>
      <c r="B1011">
        <f t="shared" si="15"/>
        <v>3</v>
      </c>
      <c r="C1011" s="2" t="s">
        <v>32</v>
      </c>
      <c r="D1011" s="2" t="s">
        <v>1198</v>
      </c>
      <c r="E1011" s="7">
        <v>71.709999999999994</v>
      </c>
      <c r="F1011" s="2">
        <v>10</v>
      </c>
      <c r="G1011" s="7">
        <v>193.84</v>
      </c>
      <c r="H1011" s="2" t="s">
        <v>973</v>
      </c>
      <c r="I1011" s="2" t="s">
        <v>15</v>
      </c>
      <c r="J1011" s="2" t="s">
        <v>53</v>
      </c>
      <c r="K1011" s="2" t="s">
        <v>17</v>
      </c>
      <c r="L1011" s="7">
        <f>Table3[[#This Row],[Revenue]]-Table3[[#This Row],[Ad Spend]]</f>
        <v>122.13000000000001</v>
      </c>
      <c r="M1011" s="11">
        <v>161.36000000000001</v>
      </c>
    </row>
    <row r="1012" spans="1:13" ht="15.75" customHeight="1" x14ac:dyDescent="0.3">
      <c r="A1012" s="4" t="s">
        <v>309</v>
      </c>
      <c r="B1012">
        <f t="shared" si="15"/>
        <v>4</v>
      </c>
      <c r="C1012" s="2" t="s">
        <v>12</v>
      </c>
      <c r="D1012" s="2" t="s">
        <v>1199</v>
      </c>
      <c r="E1012" s="7">
        <v>96.65</v>
      </c>
      <c r="F1012" s="2">
        <v>7</v>
      </c>
      <c r="G1012" s="7">
        <v>89.26</v>
      </c>
      <c r="H1012" s="2" t="s">
        <v>913</v>
      </c>
      <c r="I1012" s="2" t="s">
        <v>15</v>
      </c>
      <c r="J1012" s="2" t="s">
        <v>25</v>
      </c>
      <c r="K1012" s="2" t="s">
        <v>17</v>
      </c>
      <c r="L1012" s="7">
        <f>Table3[[#This Row],[Revenue]]-Table3[[#This Row],[Ad Spend]]</f>
        <v>-7.3900000000000006</v>
      </c>
      <c r="M1012" s="11">
        <v>133.55000000000001</v>
      </c>
    </row>
    <row r="1013" spans="1:13" ht="15.75" customHeight="1" x14ac:dyDescent="0.3">
      <c r="A1013" s="4" t="s">
        <v>376</v>
      </c>
      <c r="B1013">
        <f t="shared" si="15"/>
        <v>4</v>
      </c>
      <c r="C1013" s="2" t="s">
        <v>19</v>
      </c>
      <c r="D1013" s="2" t="s">
        <v>1184</v>
      </c>
      <c r="E1013" s="7">
        <v>71.95</v>
      </c>
      <c r="F1013" s="2">
        <v>10</v>
      </c>
      <c r="G1013" s="7">
        <v>466.27</v>
      </c>
      <c r="H1013" s="2" t="s">
        <v>558</v>
      </c>
      <c r="I1013" s="2" t="s">
        <v>15</v>
      </c>
      <c r="J1013" s="2" t="s">
        <v>87</v>
      </c>
      <c r="K1013" s="2" t="s">
        <v>17</v>
      </c>
      <c r="L1013" s="7">
        <f>Table3[[#This Row],[Revenue]]-Table3[[#This Row],[Ad Spend]]</f>
        <v>394.32</v>
      </c>
      <c r="M1013" s="11">
        <v>121.77</v>
      </c>
    </row>
    <row r="1014" spans="1:13" ht="15.75" customHeight="1" x14ac:dyDescent="0.3">
      <c r="A1014" s="4" t="s">
        <v>723</v>
      </c>
      <c r="B1014">
        <f t="shared" si="15"/>
        <v>12</v>
      </c>
      <c r="C1014" s="2" t="s">
        <v>32</v>
      </c>
      <c r="D1014" s="2" t="s">
        <v>1200</v>
      </c>
      <c r="E1014" s="7">
        <v>8.82</v>
      </c>
      <c r="F1014" s="2">
        <v>6</v>
      </c>
      <c r="G1014" s="7">
        <v>174.77</v>
      </c>
      <c r="H1014" s="2" t="s">
        <v>1201</v>
      </c>
      <c r="I1014" s="2" t="s">
        <v>15</v>
      </c>
      <c r="J1014" s="2" t="s">
        <v>16</v>
      </c>
      <c r="K1014" s="2" t="s">
        <v>17</v>
      </c>
      <c r="L1014" s="7">
        <f>Table3[[#This Row],[Revenue]]-Table3[[#This Row],[Ad Spend]]</f>
        <v>165.95000000000002</v>
      </c>
      <c r="M1014" s="11">
        <v>67.03</v>
      </c>
    </row>
    <row r="1015" spans="1:13" ht="15.75" customHeight="1" x14ac:dyDescent="0.3">
      <c r="A1015" s="4" t="s">
        <v>309</v>
      </c>
      <c r="B1015">
        <f t="shared" si="15"/>
        <v>4</v>
      </c>
      <c r="C1015" s="2" t="s">
        <v>12</v>
      </c>
      <c r="D1015" s="2" t="s">
        <v>255</v>
      </c>
      <c r="E1015" s="7">
        <v>97.96</v>
      </c>
      <c r="F1015" s="2">
        <v>7</v>
      </c>
      <c r="G1015" s="7">
        <v>141.26</v>
      </c>
      <c r="H1015" s="2" t="s">
        <v>141</v>
      </c>
      <c r="I1015" s="2" t="s">
        <v>35</v>
      </c>
      <c r="J1015" s="2" t="s">
        <v>36</v>
      </c>
      <c r="K1015" s="2" t="s">
        <v>17</v>
      </c>
      <c r="L1015" s="7">
        <f>Table3[[#This Row],[Revenue]]-Table3[[#This Row],[Ad Spend]]</f>
        <v>43.3</v>
      </c>
      <c r="M1015" s="11">
        <v>140.06</v>
      </c>
    </row>
    <row r="1016" spans="1:13" ht="15.75" customHeight="1" x14ac:dyDescent="0.3">
      <c r="A1016" s="4" t="s">
        <v>202</v>
      </c>
      <c r="B1016">
        <f t="shared" si="15"/>
        <v>3</v>
      </c>
      <c r="C1016" s="2" t="s">
        <v>12</v>
      </c>
      <c r="D1016" s="2" t="s">
        <v>1202</v>
      </c>
      <c r="E1016" s="7">
        <v>35.85</v>
      </c>
      <c r="F1016" s="2">
        <v>3</v>
      </c>
      <c r="G1016" s="7">
        <v>43.61</v>
      </c>
      <c r="H1016" s="2" t="s">
        <v>198</v>
      </c>
      <c r="I1016" s="2" t="s">
        <v>35</v>
      </c>
      <c r="J1016" s="2" t="s">
        <v>30</v>
      </c>
      <c r="K1016" s="2" t="s">
        <v>17</v>
      </c>
      <c r="L1016" s="7">
        <f>Table3[[#This Row],[Revenue]]-Table3[[#This Row],[Ad Spend]]</f>
        <v>7.759999999999998</v>
      </c>
      <c r="M1016" s="11">
        <v>116.53</v>
      </c>
    </row>
    <row r="1017" spans="1:13" ht="15.75" customHeight="1" x14ac:dyDescent="0.3">
      <c r="A1017" s="4" t="s">
        <v>792</v>
      </c>
      <c r="B1017">
        <f t="shared" si="15"/>
        <v>2</v>
      </c>
      <c r="C1017" s="2" t="s">
        <v>19</v>
      </c>
      <c r="D1017" s="2" t="s">
        <v>979</v>
      </c>
      <c r="E1017" s="7">
        <v>54.32</v>
      </c>
      <c r="F1017" s="2">
        <v>1</v>
      </c>
      <c r="G1017" s="7">
        <v>109.99</v>
      </c>
      <c r="H1017" s="2" t="s">
        <v>243</v>
      </c>
      <c r="I1017" s="2" t="s">
        <v>35</v>
      </c>
      <c r="J1017" s="2" t="s">
        <v>30</v>
      </c>
      <c r="K1017" s="2" t="s">
        <v>17</v>
      </c>
      <c r="L1017" s="7">
        <f>Table3[[#This Row],[Revenue]]-Table3[[#This Row],[Ad Spend]]</f>
        <v>55.669999999999995</v>
      </c>
      <c r="M1017" s="11">
        <v>124.72</v>
      </c>
    </row>
    <row r="1018" spans="1:13" ht="15.75" customHeight="1" x14ac:dyDescent="0.3">
      <c r="A1018" s="4" t="s">
        <v>459</v>
      </c>
      <c r="B1018">
        <f t="shared" si="15"/>
        <v>4</v>
      </c>
      <c r="C1018" s="2" t="s">
        <v>19</v>
      </c>
      <c r="D1018" s="2" t="s">
        <v>1203</v>
      </c>
      <c r="E1018" s="7">
        <v>74.72</v>
      </c>
      <c r="F1018" s="2">
        <v>0</v>
      </c>
      <c r="G1018" s="7">
        <v>328.98</v>
      </c>
      <c r="H1018" s="2" t="s">
        <v>884</v>
      </c>
      <c r="I1018" s="2" t="s">
        <v>35</v>
      </c>
      <c r="J1018" s="2" t="s">
        <v>87</v>
      </c>
      <c r="K1018" s="2" t="s">
        <v>46</v>
      </c>
      <c r="L1018" s="7">
        <f>Table3[[#This Row],[Revenue]]-Table3[[#This Row],[Ad Spend]]</f>
        <v>254.26000000000002</v>
      </c>
      <c r="M1018" s="11">
        <v>188.33</v>
      </c>
    </row>
    <row r="1019" spans="1:13" ht="15.75" customHeight="1" x14ac:dyDescent="0.3">
      <c r="A1019" s="4" t="s">
        <v>499</v>
      </c>
      <c r="B1019">
        <f t="shared" si="15"/>
        <v>4</v>
      </c>
      <c r="C1019" s="2" t="s">
        <v>19</v>
      </c>
      <c r="D1019" s="2" t="s">
        <v>1055</v>
      </c>
      <c r="E1019" s="7">
        <v>39.97</v>
      </c>
      <c r="F1019" s="2">
        <v>7</v>
      </c>
      <c r="G1019" s="7">
        <v>38.28</v>
      </c>
      <c r="H1019" s="2" t="s">
        <v>956</v>
      </c>
      <c r="I1019" s="2" t="s">
        <v>15</v>
      </c>
      <c r="J1019" s="2" t="s">
        <v>30</v>
      </c>
      <c r="K1019" s="2" t="s">
        <v>17</v>
      </c>
      <c r="L1019" s="7">
        <f>Table3[[#This Row],[Revenue]]-Table3[[#This Row],[Ad Spend]]</f>
        <v>-1.6899999999999977</v>
      </c>
      <c r="M1019" s="11">
        <v>98.85</v>
      </c>
    </row>
    <row r="1020" spans="1:13" ht="15.75" customHeight="1" x14ac:dyDescent="0.3">
      <c r="A1020" s="4" t="s">
        <v>433</v>
      </c>
      <c r="B1020">
        <f t="shared" si="15"/>
        <v>1</v>
      </c>
      <c r="C1020" s="2" t="s">
        <v>63</v>
      </c>
      <c r="D1020" s="2" t="s">
        <v>1177</v>
      </c>
      <c r="E1020" s="7">
        <v>31.57</v>
      </c>
      <c r="F1020" s="2">
        <v>2</v>
      </c>
      <c r="G1020" s="7">
        <v>57.32</v>
      </c>
      <c r="H1020" s="2" t="s">
        <v>372</v>
      </c>
      <c r="I1020" s="2" t="s">
        <v>29</v>
      </c>
      <c r="J1020" s="2" t="s">
        <v>53</v>
      </c>
      <c r="K1020" s="2" t="s">
        <v>17</v>
      </c>
      <c r="L1020" s="7">
        <f>Table3[[#This Row],[Revenue]]-Table3[[#This Row],[Ad Spend]]</f>
        <v>25.75</v>
      </c>
      <c r="M1020" s="11">
        <v>120.48</v>
      </c>
    </row>
    <row r="1021" spans="1:13" ht="15.75" customHeight="1" x14ac:dyDescent="0.3">
      <c r="A1021" s="4" t="s">
        <v>574</v>
      </c>
      <c r="B1021">
        <f t="shared" si="15"/>
        <v>1</v>
      </c>
      <c r="C1021" s="2" t="s">
        <v>32</v>
      </c>
      <c r="D1021" s="2" t="s">
        <v>657</v>
      </c>
      <c r="E1021" s="7">
        <v>136.16</v>
      </c>
      <c r="F1021" s="2">
        <v>5</v>
      </c>
      <c r="G1021" s="7">
        <v>232.7</v>
      </c>
      <c r="H1021" s="2" t="s">
        <v>650</v>
      </c>
      <c r="I1021" s="2" t="s">
        <v>15</v>
      </c>
      <c r="J1021" s="2" t="s">
        <v>30</v>
      </c>
      <c r="K1021" s="2" t="s">
        <v>17</v>
      </c>
      <c r="L1021" s="7">
        <f>Table3[[#This Row],[Revenue]]-Table3[[#This Row],[Ad Spend]]</f>
        <v>96.539999999999992</v>
      </c>
      <c r="M1021" s="11">
        <v>148.22</v>
      </c>
    </row>
    <row r="1022" spans="1:13" ht="15.75" customHeight="1" x14ac:dyDescent="0.3">
      <c r="A1022" s="4" t="s">
        <v>131</v>
      </c>
      <c r="B1022">
        <f t="shared" si="15"/>
        <v>11</v>
      </c>
      <c r="C1022" s="2" t="s">
        <v>19</v>
      </c>
      <c r="D1022" s="2" t="s">
        <v>60</v>
      </c>
      <c r="E1022" s="7">
        <v>19.57</v>
      </c>
      <c r="F1022" s="2">
        <v>7</v>
      </c>
      <c r="G1022" s="7">
        <v>175.27</v>
      </c>
      <c r="H1022" s="2" t="s">
        <v>301</v>
      </c>
      <c r="I1022" s="2" t="s">
        <v>35</v>
      </c>
      <c r="J1022" s="2" t="s">
        <v>16</v>
      </c>
      <c r="K1022" s="2" t="s">
        <v>17</v>
      </c>
      <c r="L1022" s="7">
        <f>Table3[[#This Row],[Revenue]]-Table3[[#This Row],[Ad Spend]]</f>
        <v>155.70000000000002</v>
      </c>
      <c r="M1022" s="11">
        <v>144.01</v>
      </c>
    </row>
    <row r="1023" spans="1:13" ht="15.75" customHeight="1" x14ac:dyDescent="0.3">
      <c r="A1023" s="4" t="s">
        <v>433</v>
      </c>
      <c r="B1023">
        <f t="shared" si="15"/>
        <v>1</v>
      </c>
      <c r="C1023" s="2" t="s">
        <v>12</v>
      </c>
      <c r="D1023" s="2" t="s">
        <v>1204</v>
      </c>
      <c r="E1023" s="7">
        <v>119.68</v>
      </c>
      <c r="F1023" s="2">
        <v>8</v>
      </c>
      <c r="G1023" s="7">
        <v>497.28</v>
      </c>
      <c r="H1023" s="2" t="s">
        <v>990</v>
      </c>
      <c r="I1023" s="2" t="s">
        <v>35</v>
      </c>
      <c r="J1023" s="2" t="s">
        <v>16</v>
      </c>
      <c r="K1023" s="2" t="s">
        <v>17</v>
      </c>
      <c r="L1023" s="7">
        <f>Table3[[#This Row],[Revenue]]-Table3[[#This Row],[Ad Spend]]</f>
        <v>377.59999999999997</v>
      </c>
      <c r="M1023" s="11">
        <v>146.26</v>
      </c>
    </row>
    <row r="1024" spans="1:13" ht="15.75" customHeight="1" x14ac:dyDescent="0.3">
      <c r="A1024" s="4" t="s">
        <v>110</v>
      </c>
      <c r="B1024">
        <f t="shared" si="15"/>
        <v>4</v>
      </c>
      <c r="C1024" s="2" t="s">
        <v>63</v>
      </c>
      <c r="D1024" s="2" t="s">
        <v>1205</v>
      </c>
      <c r="E1024" s="7">
        <v>97.73</v>
      </c>
      <c r="F1024" s="2">
        <v>5</v>
      </c>
      <c r="G1024" s="7">
        <v>344.38</v>
      </c>
      <c r="H1024" s="2" t="s">
        <v>1206</v>
      </c>
      <c r="I1024" s="2" t="s">
        <v>15</v>
      </c>
      <c r="J1024" s="2" t="s">
        <v>25</v>
      </c>
      <c r="K1024" s="2" t="s">
        <v>17</v>
      </c>
      <c r="L1024" s="7">
        <f>Table3[[#This Row],[Revenue]]-Table3[[#This Row],[Ad Spend]]</f>
        <v>246.64999999999998</v>
      </c>
      <c r="M1024" s="11">
        <v>156.03</v>
      </c>
    </row>
    <row r="1025" spans="1:13" ht="15.75" customHeight="1" x14ac:dyDescent="0.3">
      <c r="A1025" s="4" t="s">
        <v>623</v>
      </c>
      <c r="B1025">
        <f t="shared" si="15"/>
        <v>1</v>
      </c>
      <c r="C1025" s="2" t="s">
        <v>19</v>
      </c>
      <c r="D1025" s="2" t="s">
        <v>835</v>
      </c>
      <c r="E1025" s="7">
        <v>141.44999999999999</v>
      </c>
      <c r="F1025" s="2">
        <v>8</v>
      </c>
      <c r="G1025" s="7">
        <v>229.53</v>
      </c>
      <c r="H1025" s="2" t="s">
        <v>286</v>
      </c>
      <c r="I1025" s="2" t="s">
        <v>35</v>
      </c>
      <c r="J1025" s="2" t="s">
        <v>87</v>
      </c>
      <c r="K1025" s="2" t="s">
        <v>17</v>
      </c>
      <c r="L1025" s="7">
        <f>Table3[[#This Row],[Revenue]]-Table3[[#This Row],[Ad Spend]]</f>
        <v>88.080000000000013</v>
      </c>
      <c r="M1025" s="11">
        <v>123.31</v>
      </c>
    </row>
    <row r="1026" spans="1:13" ht="15.75" customHeight="1" x14ac:dyDescent="0.3">
      <c r="A1026" s="4" t="s">
        <v>766</v>
      </c>
      <c r="B1026">
        <f t="shared" si="15"/>
        <v>4</v>
      </c>
      <c r="C1026" s="2" t="s">
        <v>19</v>
      </c>
      <c r="D1026" s="2" t="s">
        <v>587</v>
      </c>
      <c r="E1026" s="7">
        <v>131.08000000000001</v>
      </c>
      <c r="F1026" s="2">
        <v>9</v>
      </c>
      <c r="G1026" s="7">
        <v>218.21</v>
      </c>
      <c r="H1026" s="2" t="s">
        <v>910</v>
      </c>
      <c r="I1026" s="2" t="s">
        <v>35</v>
      </c>
      <c r="J1026" s="2" t="s">
        <v>25</v>
      </c>
      <c r="K1026" s="2" t="s">
        <v>17</v>
      </c>
      <c r="L1026" s="7">
        <f>Table3[[#This Row],[Revenue]]-Table3[[#This Row],[Ad Spend]]</f>
        <v>87.13</v>
      </c>
      <c r="M1026" s="11">
        <v>120.76</v>
      </c>
    </row>
    <row r="1027" spans="1:13" ht="15.75" customHeight="1" x14ac:dyDescent="0.3">
      <c r="A1027" s="4" t="s">
        <v>322</v>
      </c>
      <c r="B1027">
        <f t="shared" ref="B1027:B1090" si="16">MONTH(A1027)</f>
        <v>11</v>
      </c>
      <c r="C1027" s="2" t="s">
        <v>19</v>
      </c>
      <c r="D1027" s="2" t="s">
        <v>853</v>
      </c>
      <c r="E1027" s="7">
        <v>109.34</v>
      </c>
      <c r="F1027" s="2">
        <v>2</v>
      </c>
      <c r="G1027" s="7">
        <v>79.03</v>
      </c>
      <c r="H1027" s="2" t="s">
        <v>138</v>
      </c>
      <c r="I1027" s="2" t="s">
        <v>15</v>
      </c>
      <c r="J1027" s="2" t="s">
        <v>53</v>
      </c>
      <c r="K1027" s="2" t="s">
        <v>17</v>
      </c>
      <c r="L1027" s="7">
        <f>Table3[[#This Row],[Revenue]]-Table3[[#This Row],[Ad Spend]]</f>
        <v>-30.310000000000002</v>
      </c>
      <c r="M1027" s="11">
        <v>137.79</v>
      </c>
    </row>
    <row r="1028" spans="1:13" ht="15.75" customHeight="1" x14ac:dyDescent="0.3">
      <c r="A1028" s="4" t="s">
        <v>351</v>
      </c>
      <c r="B1028">
        <f t="shared" si="16"/>
        <v>4</v>
      </c>
      <c r="C1028" s="2" t="s">
        <v>63</v>
      </c>
      <c r="D1028" s="2" t="s">
        <v>710</v>
      </c>
      <c r="E1028" s="7">
        <v>145.54</v>
      </c>
      <c r="F1028" s="2">
        <v>8</v>
      </c>
      <c r="G1028" s="7">
        <v>47.39</v>
      </c>
      <c r="H1028" s="2" t="s">
        <v>229</v>
      </c>
      <c r="I1028" s="2" t="s">
        <v>15</v>
      </c>
      <c r="J1028" s="2" t="s">
        <v>25</v>
      </c>
      <c r="K1028" s="2" t="s">
        <v>17</v>
      </c>
      <c r="L1028" s="7">
        <f>Table3[[#This Row],[Revenue]]-Table3[[#This Row],[Ad Spend]]</f>
        <v>-98.149999999999991</v>
      </c>
      <c r="M1028" s="11">
        <v>99.03</v>
      </c>
    </row>
    <row r="1029" spans="1:13" ht="15.75" customHeight="1" x14ac:dyDescent="0.3">
      <c r="A1029" s="4" t="s">
        <v>18</v>
      </c>
      <c r="B1029">
        <f t="shared" si="16"/>
        <v>3</v>
      </c>
      <c r="C1029" s="2" t="s">
        <v>12</v>
      </c>
      <c r="D1029" s="2" t="s">
        <v>1045</v>
      </c>
      <c r="E1029" s="7">
        <v>133.56</v>
      </c>
      <c r="F1029" s="2">
        <v>4</v>
      </c>
      <c r="G1029" s="7">
        <v>278.88</v>
      </c>
      <c r="H1029" s="2" t="s">
        <v>14</v>
      </c>
      <c r="I1029" s="2" t="s">
        <v>29</v>
      </c>
      <c r="J1029" s="2" t="s">
        <v>30</v>
      </c>
      <c r="K1029" s="2" t="s">
        <v>17</v>
      </c>
      <c r="L1029" s="7">
        <f>Table3[[#This Row],[Revenue]]-Table3[[#This Row],[Ad Spend]]</f>
        <v>145.32</v>
      </c>
      <c r="M1029" s="11">
        <v>119.72</v>
      </c>
    </row>
    <row r="1030" spans="1:13" ht="15.75" customHeight="1" x14ac:dyDescent="0.3">
      <c r="A1030" s="4" t="s">
        <v>812</v>
      </c>
      <c r="B1030">
        <f t="shared" si="16"/>
        <v>12</v>
      </c>
      <c r="C1030" s="2" t="s">
        <v>63</v>
      </c>
      <c r="D1030" s="2" t="s">
        <v>176</v>
      </c>
      <c r="E1030" s="7">
        <v>135.13999999999999</v>
      </c>
      <c r="F1030" s="2">
        <v>4</v>
      </c>
      <c r="G1030" s="7">
        <v>354.24</v>
      </c>
      <c r="H1030" s="2" t="s">
        <v>491</v>
      </c>
      <c r="I1030" s="2" t="s">
        <v>35</v>
      </c>
      <c r="J1030" s="2" t="s">
        <v>36</v>
      </c>
      <c r="K1030" s="2" t="s">
        <v>17</v>
      </c>
      <c r="L1030" s="7">
        <f>Table3[[#This Row],[Revenue]]-Table3[[#This Row],[Ad Spend]]</f>
        <v>219.10000000000002</v>
      </c>
      <c r="M1030" s="11">
        <v>128</v>
      </c>
    </row>
    <row r="1031" spans="1:13" ht="15.75" customHeight="1" x14ac:dyDescent="0.3">
      <c r="A1031" s="4" t="s">
        <v>153</v>
      </c>
      <c r="B1031">
        <f t="shared" si="16"/>
        <v>1</v>
      </c>
      <c r="C1031" s="2" t="s">
        <v>32</v>
      </c>
      <c r="D1031" s="2" t="s">
        <v>1207</v>
      </c>
      <c r="E1031" s="7">
        <v>139.41</v>
      </c>
      <c r="F1031" s="2">
        <v>10</v>
      </c>
      <c r="G1031" s="7">
        <v>156.62</v>
      </c>
      <c r="H1031" s="2" t="s">
        <v>1208</v>
      </c>
      <c r="I1031" s="2" t="s">
        <v>35</v>
      </c>
      <c r="J1031" s="2" t="s">
        <v>87</v>
      </c>
      <c r="K1031" s="2" t="s">
        <v>17</v>
      </c>
      <c r="L1031" s="7">
        <f>Table3[[#This Row],[Revenue]]-Table3[[#This Row],[Ad Spend]]</f>
        <v>17.210000000000008</v>
      </c>
      <c r="M1031" s="11">
        <v>121.29</v>
      </c>
    </row>
    <row r="1032" spans="1:13" ht="15.75" customHeight="1" x14ac:dyDescent="0.3">
      <c r="A1032" s="4" t="s">
        <v>696</v>
      </c>
      <c r="B1032">
        <f t="shared" si="16"/>
        <v>1</v>
      </c>
      <c r="C1032" s="2" t="s">
        <v>19</v>
      </c>
      <c r="D1032" s="2" t="s">
        <v>41</v>
      </c>
      <c r="E1032" s="7">
        <v>98.78</v>
      </c>
      <c r="F1032" s="2">
        <v>3</v>
      </c>
      <c r="G1032" s="7">
        <v>133.53</v>
      </c>
      <c r="H1032" s="2" t="s">
        <v>917</v>
      </c>
      <c r="I1032" s="2" t="s">
        <v>35</v>
      </c>
      <c r="J1032" s="2" t="s">
        <v>53</v>
      </c>
      <c r="K1032" s="2" t="s">
        <v>17</v>
      </c>
      <c r="L1032" s="7">
        <f>Table3[[#This Row],[Revenue]]-Table3[[#This Row],[Ad Spend]]</f>
        <v>34.75</v>
      </c>
      <c r="M1032" s="11">
        <v>126.86</v>
      </c>
    </row>
    <row r="1033" spans="1:13" ht="15.75" customHeight="1" x14ac:dyDescent="0.3">
      <c r="A1033" s="4" t="s">
        <v>194</v>
      </c>
      <c r="B1033">
        <f t="shared" si="16"/>
        <v>11</v>
      </c>
      <c r="C1033" s="2" t="s">
        <v>63</v>
      </c>
      <c r="D1033" s="2" t="s">
        <v>637</v>
      </c>
      <c r="E1033" s="7">
        <v>22.39</v>
      </c>
      <c r="F1033" s="2">
        <v>10</v>
      </c>
      <c r="G1033" s="7">
        <v>189.26</v>
      </c>
      <c r="H1033" s="2" t="s">
        <v>1150</v>
      </c>
      <c r="I1033" s="2" t="s">
        <v>15</v>
      </c>
      <c r="J1033" s="2" t="s">
        <v>30</v>
      </c>
      <c r="K1033" s="2" t="s">
        <v>17</v>
      </c>
      <c r="L1033" s="7">
        <f>Table3[[#This Row],[Revenue]]-Table3[[#This Row],[Ad Spend]]</f>
        <v>166.87</v>
      </c>
      <c r="M1033" s="11">
        <v>125.22</v>
      </c>
    </row>
    <row r="1034" spans="1:13" ht="15.75" customHeight="1" x14ac:dyDescent="0.3">
      <c r="A1034" s="4" t="s">
        <v>753</v>
      </c>
      <c r="B1034">
        <f t="shared" si="16"/>
        <v>11</v>
      </c>
      <c r="C1034" s="2" t="s">
        <v>32</v>
      </c>
      <c r="D1034" s="2" t="s">
        <v>1209</v>
      </c>
      <c r="E1034" s="7">
        <v>72.55</v>
      </c>
      <c r="F1034" s="2">
        <v>6</v>
      </c>
      <c r="G1034" s="7">
        <v>417.78</v>
      </c>
      <c r="H1034" s="2" t="s">
        <v>884</v>
      </c>
      <c r="I1034" s="2" t="s">
        <v>35</v>
      </c>
      <c r="J1034" s="2" t="s">
        <v>36</v>
      </c>
      <c r="K1034" s="2" t="s">
        <v>17</v>
      </c>
      <c r="L1034" s="7">
        <f>Table3[[#This Row],[Revenue]]-Table3[[#This Row],[Ad Spend]]</f>
        <v>345.22999999999996</v>
      </c>
      <c r="M1034" s="11">
        <v>189.32</v>
      </c>
    </row>
    <row r="1035" spans="1:13" ht="15.75" customHeight="1" x14ac:dyDescent="0.3">
      <c r="A1035" s="4" t="s">
        <v>812</v>
      </c>
      <c r="B1035">
        <f t="shared" si="16"/>
        <v>12</v>
      </c>
      <c r="C1035" s="2" t="s">
        <v>12</v>
      </c>
      <c r="D1035" s="2" t="s">
        <v>1210</v>
      </c>
      <c r="E1035" s="7">
        <v>104.26</v>
      </c>
      <c r="F1035" s="2">
        <v>4</v>
      </c>
      <c r="G1035" s="7">
        <v>56.71</v>
      </c>
      <c r="H1035" s="2" t="s">
        <v>742</v>
      </c>
      <c r="I1035" s="2" t="s">
        <v>29</v>
      </c>
      <c r="J1035" s="2" t="s">
        <v>30</v>
      </c>
      <c r="K1035" s="2" t="s">
        <v>17</v>
      </c>
      <c r="L1035" s="7">
        <f>Table3[[#This Row],[Revenue]]-Table3[[#This Row],[Ad Spend]]</f>
        <v>-47.550000000000004</v>
      </c>
      <c r="M1035" s="11">
        <v>85.7</v>
      </c>
    </row>
    <row r="1036" spans="1:13" ht="15.75" customHeight="1" x14ac:dyDescent="0.3">
      <c r="A1036" s="4" t="s">
        <v>211</v>
      </c>
      <c r="B1036">
        <f t="shared" si="16"/>
        <v>2</v>
      </c>
      <c r="C1036" s="2" t="s">
        <v>19</v>
      </c>
      <c r="D1036" s="2" t="s">
        <v>103</v>
      </c>
      <c r="E1036" s="7">
        <v>25.24</v>
      </c>
      <c r="F1036" s="2">
        <v>10</v>
      </c>
      <c r="G1036" s="7">
        <v>146.44999999999999</v>
      </c>
      <c r="H1036" s="2" t="s">
        <v>372</v>
      </c>
      <c r="I1036" s="2" t="s">
        <v>29</v>
      </c>
      <c r="J1036" s="2" t="s">
        <v>25</v>
      </c>
      <c r="K1036" s="2" t="s">
        <v>17</v>
      </c>
      <c r="L1036" s="7">
        <f>Table3[[#This Row],[Revenue]]-Table3[[#This Row],[Ad Spend]]</f>
        <v>121.21</v>
      </c>
      <c r="M1036" s="11">
        <v>122.2</v>
      </c>
    </row>
    <row r="1037" spans="1:13" ht="15.75" customHeight="1" x14ac:dyDescent="0.3">
      <c r="A1037" s="4" t="s">
        <v>676</v>
      </c>
      <c r="B1037">
        <f t="shared" si="16"/>
        <v>4</v>
      </c>
      <c r="C1037" s="2" t="s">
        <v>12</v>
      </c>
      <c r="D1037" s="2" t="s">
        <v>1211</v>
      </c>
      <c r="E1037" s="7">
        <v>43.86</v>
      </c>
      <c r="F1037" s="2">
        <v>4</v>
      </c>
      <c r="G1037" s="7">
        <v>358.86</v>
      </c>
      <c r="H1037" s="2" t="s">
        <v>321</v>
      </c>
      <c r="I1037" s="2" t="s">
        <v>35</v>
      </c>
      <c r="J1037" s="2" t="s">
        <v>87</v>
      </c>
      <c r="K1037" s="2" t="s">
        <v>17</v>
      </c>
      <c r="L1037" s="7">
        <f>Table3[[#This Row],[Revenue]]-Table3[[#This Row],[Ad Spend]]</f>
        <v>315</v>
      </c>
      <c r="M1037" s="11">
        <v>87.12</v>
      </c>
    </row>
    <row r="1038" spans="1:13" ht="15.75" customHeight="1" x14ac:dyDescent="0.3">
      <c r="A1038" s="4" t="s">
        <v>131</v>
      </c>
      <c r="B1038">
        <f t="shared" si="16"/>
        <v>11</v>
      </c>
      <c r="C1038" s="2" t="s">
        <v>19</v>
      </c>
      <c r="D1038" s="2" t="s">
        <v>1124</v>
      </c>
      <c r="E1038" s="7">
        <v>129.29</v>
      </c>
      <c r="F1038" s="2">
        <v>5</v>
      </c>
      <c r="G1038" s="7">
        <v>472.76</v>
      </c>
      <c r="H1038" s="2" t="s">
        <v>166</v>
      </c>
      <c r="I1038" s="2" t="s">
        <v>29</v>
      </c>
      <c r="J1038" s="2" t="s">
        <v>16</v>
      </c>
      <c r="K1038" s="2" t="s">
        <v>17</v>
      </c>
      <c r="L1038" s="7">
        <f>Table3[[#This Row],[Revenue]]-Table3[[#This Row],[Ad Spend]]</f>
        <v>343.47</v>
      </c>
      <c r="M1038" s="11">
        <v>142.36000000000001</v>
      </c>
    </row>
    <row r="1039" spans="1:13" ht="15.75" customHeight="1" x14ac:dyDescent="0.3">
      <c r="A1039" s="4" t="s">
        <v>368</v>
      </c>
      <c r="B1039">
        <f t="shared" si="16"/>
        <v>3</v>
      </c>
      <c r="C1039" s="2" t="s">
        <v>12</v>
      </c>
      <c r="D1039" s="2" t="s">
        <v>420</v>
      </c>
      <c r="E1039" s="7">
        <v>70.739999999999995</v>
      </c>
      <c r="F1039" s="2">
        <v>6</v>
      </c>
      <c r="G1039" s="7">
        <v>217.02</v>
      </c>
      <c r="H1039" s="2" t="s">
        <v>1212</v>
      </c>
      <c r="I1039" s="2" t="s">
        <v>15</v>
      </c>
      <c r="J1039" s="2" t="s">
        <v>30</v>
      </c>
      <c r="K1039" s="2" t="s">
        <v>17</v>
      </c>
      <c r="L1039" s="7">
        <f>Table3[[#This Row],[Revenue]]-Table3[[#This Row],[Ad Spend]]</f>
        <v>146.28000000000003</v>
      </c>
      <c r="M1039" s="11">
        <v>111.64</v>
      </c>
    </row>
    <row r="1040" spans="1:13" ht="15.75" customHeight="1" x14ac:dyDescent="0.3">
      <c r="A1040" s="4" t="s">
        <v>502</v>
      </c>
      <c r="B1040">
        <f t="shared" si="16"/>
        <v>12</v>
      </c>
      <c r="C1040" s="2" t="s">
        <v>19</v>
      </c>
      <c r="D1040" s="2" t="s">
        <v>1213</v>
      </c>
      <c r="E1040" s="7">
        <v>119.23</v>
      </c>
      <c r="F1040" s="2">
        <v>5</v>
      </c>
      <c r="G1040" s="7">
        <v>112.69</v>
      </c>
      <c r="H1040" s="2" t="s">
        <v>1113</v>
      </c>
      <c r="I1040" s="2" t="s">
        <v>35</v>
      </c>
      <c r="J1040" s="2" t="s">
        <v>53</v>
      </c>
      <c r="K1040" s="2" t="s">
        <v>17</v>
      </c>
      <c r="L1040" s="7">
        <f>Table3[[#This Row],[Revenue]]-Table3[[#This Row],[Ad Spend]]</f>
        <v>-6.5400000000000063</v>
      </c>
      <c r="M1040" s="11">
        <v>84.78</v>
      </c>
    </row>
    <row r="1041" spans="1:13" ht="15.75" customHeight="1" x14ac:dyDescent="0.3">
      <c r="A1041" s="4" t="s">
        <v>175</v>
      </c>
      <c r="B1041">
        <f t="shared" si="16"/>
        <v>3</v>
      </c>
      <c r="C1041" s="2" t="s">
        <v>12</v>
      </c>
      <c r="D1041" s="2" t="s">
        <v>375</v>
      </c>
      <c r="E1041" s="7">
        <v>28.76</v>
      </c>
      <c r="F1041" s="2">
        <v>10</v>
      </c>
      <c r="G1041" s="7">
        <v>248.87</v>
      </c>
      <c r="H1041" s="2" t="s">
        <v>161</v>
      </c>
      <c r="I1041" s="2" t="s">
        <v>29</v>
      </c>
      <c r="J1041" s="2" t="s">
        <v>16</v>
      </c>
      <c r="K1041" s="2" t="s">
        <v>17</v>
      </c>
      <c r="L1041" s="7">
        <f>Table3[[#This Row],[Revenue]]-Table3[[#This Row],[Ad Spend]]</f>
        <v>220.11</v>
      </c>
      <c r="M1041" s="11">
        <v>116.84</v>
      </c>
    </row>
    <row r="1042" spans="1:13" ht="15.75" customHeight="1" x14ac:dyDescent="0.3">
      <c r="A1042" s="4" t="s">
        <v>850</v>
      </c>
      <c r="B1042">
        <f t="shared" si="16"/>
        <v>11</v>
      </c>
      <c r="C1042" s="2" t="s">
        <v>19</v>
      </c>
      <c r="D1042" s="2" t="s">
        <v>1214</v>
      </c>
      <c r="E1042" s="7">
        <v>68.86</v>
      </c>
      <c r="F1042" s="2">
        <v>9</v>
      </c>
      <c r="G1042" s="7">
        <v>369.92</v>
      </c>
      <c r="H1042" s="2" t="s">
        <v>161</v>
      </c>
      <c r="I1042" s="2" t="s">
        <v>29</v>
      </c>
      <c r="J1042" s="2" t="s">
        <v>87</v>
      </c>
      <c r="K1042" s="2" t="s">
        <v>17</v>
      </c>
      <c r="L1042" s="7">
        <f>Table3[[#This Row],[Revenue]]-Table3[[#This Row],[Ad Spend]]</f>
        <v>301.06</v>
      </c>
      <c r="M1042" s="11">
        <v>122.78</v>
      </c>
    </row>
    <row r="1043" spans="1:13" ht="15.75" customHeight="1" x14ac:dyDescent="0.3">
      <c r="A1043" s="4" t="s">
        <v>485</v>
      </c>
      <c r="B1043">
        <f t="shared" si="16"/>
        <v>12</v>
      </c>
      <c r="C1043" s="2" t="s">
        <v>63</v>
      </c>
      <c r="D1043" s="2" t="s">
        <v>787</v>
      </c>
      <c r="E1043" s="7">
        <v>21.47</v>
      </c>
      <c r="F1043" s="2">
        <v>9</v>
      </c>
      <c r="G1043" s="7">
        <v>360.55</v>
      </c>
      <c r="H1043" s="2" t="s">
        <v>465</v>
      </c>
      <c r="I1043" s="2" t="s">
        <v>29</v>
      </c>
      <c r="J1043" s="2" t="s">
        <v>30</v>
      </c>
      <c r="K1043" s="2" t="s">
        <v>17</v>
      </c>
      <c r="L1043" s="7">
        <f>Table3[[#This Row],[Revenue]]-Table3[[#This Row],[Ad Spend]]</f>
        <v>339.08000000000004</v>
      </c>
      <c r="M1043" s="11">
        <v>152.94999999999999</v>
      </c>
    </row>
    <row r="1044" spans="1:13" ht="15.75" customHeight="1" x14ac:dyDescent="0.3">
      <c r="A1044" s="4" t="s">
        <v>595</v>
      </c>
      <c r="B1044">
        <f t="shared" si="16"/>
        <v>3</v>
      </c>
      <c r="C1044" s="2" t="s">
        <v>19</v>
      </c>
      <c r="D1044" s="2" t="s">
        <v>1215</v>
      </c>
      <c r="E1044" s="7">
        <v>11.89</v>
      </c>
      <c r="F1044" s="2">
        <v>4</v>
      </c>
      <c r="G1044" s="7">
        <v>303.52999999999997</v>
      </c>
      <c r="H1044" s="2" t="s">
        <v>364</v>
      </c>
      <c r="I1044" s="2" t="s">
        <v>35</v>
      </c>
      <c r="J1044" s="2" t="s">
        <v>30</v>
      </c>
      <c r="K1044" s="2" t="s">
        <v>17</v>
      </c>
      <c r="L1044" s="7">
        <f>Table3[[#This Row],[Revenue]]-Table3[[#This Row],[Ad Spend]]</f>
        <v>291.64</v>
      </c>
      <c r="M1044" s="11">
        <v>124.92</v>
      </c>
    </row>
    <row r="1045" spans="1:13" ht="15.75" customHeight="1" x14ac:dyDescent="0.3">
      <c r="A1045" s="4" t="s">
        <v>68</v>
      </c>
      <c r="B1045">
        <f t="shared" si="16"/>
        <v>4</v>
      </c>
      <c r="C1045" s="2" t="s">
        <v>63</v>
      </c>
      <c r="D1045" s="2" t="s">
        <v>1216</v>
      </c>
      <c r="E1045" s="7">
        <v>22.69</v>
      </c>
      <c r="F1045" s="2">
        <v>7</v>
      </c>
      <c r="G1045" s="7">
        <v>496.44</v>
      </c>
      <c r="H1045" s="2" t="s">
        <v>461</v>
      </c>
      <c r="I1045" s="2" t="s">
        <v>35</v>
      </c>
      <c r="J1045" s="2" t="s">
        <v>30</v>
      </c>
      <c r="K1045" s="2" t="s">
        <v>17</v>
      </c>
      <c r="L1045" s="7">
        <f>Table3[[#This Row],[Revenue]]-Table3[[#This Row],[Ad Spend]]</f>
        <v>473.75</v>
      </c>
      <c r="M1045" s="11">
        <v>143.66999999999999</v>
      </c>
    </row>
    <row r="1046" spans="1:13" ht="15.75" customHeight="1" x14ac:dyDescent="0.3">
      <c r="A1046" s="4" t="s">
        <v>643</v>
      </c>
      <c r="B1046">
        <f t="shared" si="16"/>
        <v>2</v>
      </c>
      <c r="C1046" s="2" t="s">
        <v>12</v>
      </c>
      <c r="D1046" s="2" t="s">
        <v>1217</v>
      </c>
      <c r="E1046" s="7">
        <v>28.47</v>
      </c>
      <c r="F1046" s="2">
        <v>0</v>
      </c>
      <c r="G1046" s="7">
        <v>447.59</v>
      </c>
      <c r="H1046" s="2" t="s">
        <v>1111</v>
      </c>
      <c r="I1046" s="2" t="s">
        <v>29</v>
      </c>
      <c r="J1046" s="2" t="s">
        <v>53</v>
      </c>
      <c r="K1046" s="2" t="s">
        <v>46</v>
      </c>
      <c r="L1046" s="7">
        <f>Table3[[#This Row],[Revenue]]-Table3[[#This Row],[Ad Spend]]</f>
        <v>419.12</v>
      </c>
      <c r="M1046" s="11">
        <v>115.05</v>
      </c>
    </row>
    <row r="1047" spans="1:13" ht="15.75" customHeight="1" x14ac:dyDescent="0.3">
      <c r="A1047" s="4" t="s">
        <v>683</v>
      </c>
      <c r="B1047">
        <f t="shared" si="16"/>
        <v>11</v>
      </c>
      <c r="C1047" s="2" t="s">
        <v>63</v>
      </c>
      <c r="D1047" s="2" t="s">
        <v>228</v>
      </c>
      <c r="E1047" s="7">
        <v>104.85</v>
      </c>
      <c r="F1047" s="2">
        <v>9</v>
      </c>
      <c r="G1047" s="7">
        <v>373.81</v>
      </c>
      <c r="H1047" s="2" t="s">
        <v>501</v>
      </c>
      <c r="I1047" s="2" t="s">
        <v>35</v>
      </c>
      <c r="J1047" s="2" t="s">
        <v>16</v>
      </c>
      <c r="K1047" s="2" t="s">
        <v>17</v>
      </c>
      <c r="L1047" s="7">
        <f>Table3[[#This Row],[Revenue]]-Table3[[#This Row],[Ad Spend]]</f>
        <v>268.96000000000004</v>
      </c>
      <c r="M1047" s="11">
        <v>148.61000000000001</v>
      </c>
    </row>
    <row r="1048" spans="1:13" ht="15.75" customHeight="1" x14ac:dyDescent="0.3">
      <c r="A1048" s="4" t="s">
        <v>812</v>
      </c>
      <c r="B1048">
        <f t="shared" si="16"/>
        <v>12</v>
      </c>
      <c r="C1048" s="2" t="s">
        <v>19</v>
      </c>
      <c r="D1048" s="2" t="s">
        <v>1218</v>
      </c>
      <c r="E1048" s="7">
        <v>105.71</v>
      </c>
      <c r="F1048" s="2">
        <v>10</v>
      </c>
      <c r="G1048" s="7">
        <v>48.98</v>
      </c>
      <c r="H1048" s="2" t="s">
        <v>174</v>
      </c>
      <c r="I1048" s="2" t="s">
        <v>35</v>
      </c>
      <c r="J1048" s="2" t="s">
        <v>53</v>
      </c>
      <c r="K1048" s="2" t="s">
        <v>17</v>
      </c>
      <c r="L1048" s="7">
        <f>Table3[[#This Row],[Revenue]]-Table3[[#This Row],[Ad Spend]]</f>
        <v>-56.73</v>
      </c>
      <c r="M1048" s="11">
        <v>100.05</v>
      </c>
    </row>
    <row r="1049" spans="1:13" ht="15.75" customHeight="1" x14ac:dyDescent="0.3">
      <c r="A1049" s="4" t="s">
        <v>448</v>
      </c>
      <c r="B1049">
        <f t="shared" si="16"/>
        <v>12</v>
      </c>
      <c r="C1049" s="2" t="s">
        <v>32</v>
      </c>
      <c r="D1049" s="2" t="s">
        <v>1219</v>
      </c>
      <c r="E1049" s="7">
        <v>55.5</v>
      </c>
      <c r="F1049" s="2">
        <v>0</v>
      </c>
      <c r="G1049" s="7">
        <v>79.89</v>
      </c>
      <c r="H1049" s="2" t="s">
        <v>52</v>
      </c>
      <c r="I1049" s="2" t="s">
        <v>29</v>
      </c>
      <c r="J1049" s="2" t="s">
        <v>36</v>
      </c>
      <c r="K1049" s="2" t="s">
        <v>46</v>
      </c>
      <c r="L1049" s="7">
        <f>Table3[[#This Row],[Revenue]]-Table3[[#This Row],[Ad Spend]]</f>
        <v>24.39</v>
      </c>
      <c r="M1049" s="11">
        <v>119.68</v>
      </c>
    </row>
    <row r="1050" spans="1:13" ht="15.75" customHeight="1" x14ac:dyDescent="0.3">
      <c r="A1050" s="4" t="s">
        <v>360</v>
      </c>
      <c r="B1050">
        <f t="shared" si="16"/>
        <v>1</v>
      </c>
      <c r="C1050" s="2" t="s">
        <v>32</v>
      </c>
      <c r="D1050" s="2" t="s">
        <v>942</v>
      </c>
      <c r="E1050" s="7">
        <v>17.260000000000002</v>
      </c>
      <c r="F1050" s="2">
        <v>6</v>
      </c>
      <c r="G1050" s="7">
        <v>437.18</v>
      </c>
      <c r="H1050" s="2" t="s">
        <v>158</v>
      </c>
      <c r="I1050" s="2" t="s">
        <v>29</v>
      </c>
      <c r="J1050" s="2" t="s">
        <v>25</v>
      </c>
      <c r="K1050" s="2" t="s">
        <v>17</v>
      </c>
      <c r="L1050" s="7">
        <f>Table3[[#This Row],[Revenue]]-Table3[[#This Row],[Ad Spend]]</f>
        <v>419.92</v>
      </c>
      <c r="M1050" s="11">
        <v>122.28</v>
      </c>
    </row>
    <row r="1051" spans="1:13" ht="15.75" customHeight="1" x14ac:dyDescent="0.3">
      <c r="A1051" s="4" t="s">
        <v>258</v>
      </c>
      <c r="B1051">
        <f t="shared" si="16"/>
        <v>2</v>
      </c>
      <c r="C1051" s="2" t="s">
        <v>63</v>
      </c>
      <c r="D1051" s="2" t="s">
        <v>1220</v>
      </c>
      <c r="E1051" s="7">
        <v>91.82</v>
      </c>
      <c r="F1051" s="2">
        <v>0</v>
      </c>
      <c r="G1051" s="7">
        <v>445.86</v>
      </c>
      <c r="H1051" s="2" t="s">
        <v>861</v>
      </c>
      <c r="I1051" s="2" t="s">
        <v>29</v>
      </c>
      <c r="J1051" s="2" t="s">
        <v>87</v>
      </c>
      <c r="K1051" s="2" t="s">
        <v>46</v>
      </c>
      <c r="L1051" s="7">
        <f>Table3[[#This Row],[Revenue]]-Table3[[#This Row],[Ad Spend]]</f>
        <v>354.04</v>
      </c>
      <c r="M1051" s="11">
        <v>118.17</v>
      </c>
    </row>
    <row r="1052" spans="1:13" ht="15.75" customHeight="1" x14ac:dyDescent="0.3">
      <c r="A1052" s="4" t="s">
        <v>194</v>
      </c>
      <c r="B1052">
        <f t="shared" si="16"/>
        <v>11</v>
      </c>
      <c r="C1052" s="2" t="s">
        <v>63</v>
      </c>
      <c r="D1052" s="2" t="s">
        <v>845</v>
      </c>
      <c r="E1052" s="7">
        <v>98.36</v>
      </c>
      <c r="F1052" s="2">
        <v>3</v>
      </c>
      <c r="G1052" s="7">
        <v>173.28</v>
      </c>
      <c r="H1052" s="2" t="s">
        <v>744</v>
      </c>
      <c r="I1052" s="2" t="s">
        <v>15</v>
      </c>
      <c r="J1052" s="2" t="s">
        <v>30</v>
      </c>
      <c r="K1052" s="2" t="s">
        <v>17</v>
      </c>
      <c r="L1052" s="7">
        <f>Table3[[#This Row],[Revenue]]-Table3[[#This Row],[Ad Spend]]</f>
        <v>74.92</v>
      </c>
      <c r="M1052" s="11">
        <v>128.02000000000001</v>
      </c>
    </row>
    <row r="1053" spans="1:13" ht="15.75" customHeight="1" x14ac:dyDescent="0.3">
      <c r="A1053" s="4" t="s">
        <v>472</v>
      </c>
      <c r="B1053">
        <f t="shared" si="16"/>
        <v>4</v>
      </c>
      <c r="C1053" s="2" t="s">
        <v>32</v>
      </c>
      <c r="D1053" s="2" t="s">
        <v>361</v>
      </c>
      <c r="E1053" s="7">
        <v>104.5</v>
      </c>
      <c r="F1053" s="2">
        <v>8</v>
      </c>
      <c r="G1053" s="7">
        <v>208.8</v>
      </c>
      <c r="H1053" s="2" t="s">
        <v>1221</v>
      </c>
      <c r="I1053" s="2" t="s">
        <v>29</v>
      </c>
      <c r="J1053" s="2" t="s">
        <v>30</v>
      </c>
      <c r="K1053" s="2" t="s">
        <v>17</v>
      </c>
      <c r="L1053" s="7">
        <f>Table3[[#This Row],[Revenue]]-Table3[[#This Row],[Ad Spend]]</f>
        <v>104.30000000000001</v>
      </c>
      <c r="M1053" s="11">
        <v>104.45</v>
      </c>
    </row>
    <row r="1054" spans="1:13" ht="15.75" customHeight="1" x14ac:dyDescent="0.3">
      <c r="A1054" s="4" t="s">
        <v>562</v>
      </c>
      <c r="B1054">
        <f t="shared" si="16"/>
        <v>2</v>
      </c>
      <c r="C1054" s="2" t="s">
        <v>12</v>
      </c>
      <c r="D1054" s="2" t="s">
        <v>636</v>
      </c>
      <c r="E1054" s="7">
        <v>65.650000000000006</v>
      </c>
      <c r="F1054" s="2">
        <v>7</v>
      </c>
      <c r="G1054" s="7">
        <v>211.51</v>
      </c>
      <c r="H1054" s="2" t="s">
        <v>225</v>
      </c>
      <c r="I1054" s="2" t="s">
        <v>35</v>
      </c>
      <c r="J1054" s="2" t="s">
        <v>16</v>
      </c>
      <c r="K1054" s="2" t="s">
        <v>17</v>
      </c>
      <c r="L1054" s="7">
        <f>Table3[[#This Row],[Revenue]]-Table3[[#This Row],[Ad Spend]]</f>
        <v>145.85999999999999</v>
      </c>
      <c r="M1054" s="11">
        <v>125.59</v>
      </c>
    </row>
    <row r="1055" spans="1:13" ht="15.75" customHeight="1" x14ac:dyDescent="0.3">
      <c r="A1055" s="4" t="s">
        <v>68</v>
      </c>
      <c r="B1055">
        <f t="shared" si="16"/>
        <v>4</v>
      </c>
      <c r="C1055" s="2" t="s">
        <v>32</v>
      </c>
      <c r="D1055" s="2" t="s">
        <v>1222</v>
      </c>
      <c r="E1055" s="7">
        <v>119.25</v>
      </c>
      <c r="F1055" s="2">
        <v>0</v>
      </c>
      <c r="G1055" s="7">
        <v>31.34</v>
      </c>
      <c r="H1055" s="2" t="s">
        <v>498</v>
      </c>
      <c r="I1055" s="2" t="s">
        <v>15</v>
      </c>
      <c r="J1055" s="2" t="s">
        <v>53</v>
      </c>
      <c r="K1055" s="2" t="s">
        <v>46</v>
      </c>
      <c r="L1055" s="7">
        <f>Table3[[#This Row],[Revenue]]-Table3[[#This Row],[Ad Spend]]</f>
        <v>-87.91</v>
      </c>
      <c r="M1055" s="11">
        <v>99.37</v>
      </c>
    </row>
    <row r="1056" spans="1:13" ht="15.75" customHeight="1" x14ac:dyDescent="0.3">
      <c r="A1056" s="4" t="s">
        <v>472</v>
      </c>
      <c r="B1056">
        <f t="shared" si="16"/>
        <v>4</v>
      </c>
      <c r="C1056" s="2" t="s">
        <v>32</v>
      </c>
      <c r="D1056" s="2" t="s">
        <v>617</v>
      </c>
      <c r="E1056" s="7">
        <v>30.5</v>
      </c>
      <c r="F1056" s="2">
        <v>7</v>
      </c>
      <c r="G1056" s="7">
        <v>360.04</v>
      </c>
      <c r="H1056" s="2" t="s">
        <v>14</v>
      </c>
      <c r="I1056" s="2" t="s">
        <v>29</v>
      </c>
      <c r="J1056" s="2" t="s">
        <v>25</v>
      </c>
      <c r="K1056" s="2" t="s">
        <v>17</v>
      </c>
      <c r="L1056" s="7">
        <f>Table3[[#This Row],[Revenue]]-Table3[[#This Row],[Ad Spend]]</f>
        <v>329.54</v>
      </c>
      <c r="M1056" s="11">
        <v>121.39</v>
      </c>
    </row>
    <row r="1057" spans="1:13" ht="15.75" customHeight="1" x14ac:dyDescent="0.3">
      <c r="A1057" s="4" t="s">
        <v>946</v>
      </c>
      <c r="B1057">
        <f t="shared" si="16"/>
        <v>12</v>
      </c>
      <c r="C1057" s="2" t="s">
        <v>32</v>
      </c>
      <c r="D1057" s="2" t="s">
        <v>922</v>
      </c>
      <c r="E1057" s="7">
        <v>122.15</v>
      </c>
      <c r="F1057" s="2">
        <v>10</v>
      </c>
      <c r="G1057" s="7">
        <v>33.57</v>
      </c>
      <c r="H1057" s="2" t="s">
        <v>389</v>
      </c>
      <c r="I1057" s="2" t="s">
        <v>29</v>
      </c>
      <c r="J1057" s="2" t="s">
        <v>25</v>
      </c>
      <c r="K1057" s="2" t="s">
        <v>17</v>
      </c>
      <c r="L1057" s="7">
        <f>Table3[[#This Row],[Revenue]]-Table3[[#This Row],[Ad Spend]]</f>
        <v>-88.580000000000013</v>
      </c>
      <c r="M1057" s="11">
        <v>108.91</v>
      </c>
    </row>
    <row r="1058" spans="1:13" ht="15.75" customHeight="1" x14ac:dyDescent="0.3">
      <c r="A1058" s="4" t="s">
        <v>108</v>
      </c>
      <c r="B1058">
        <f t="shared" si="16"/>
        <v>3</v>
      </c>
      <c r="C1058" s="2" t="s">
        <v>32</v>
      </c>
      <c r="D1058" s="2" t="s">
        <v>968</v>
      </c>
      <c r="E1058" s="7">
        <v>23.69</v>
      </c>
      <c r="F1058" s="2">
        <v>7</v>
      </c>
      <c r="G1058" s="7">
        <v>176.25</v>
      </c>
      <c r="H1058" s="2" t="s">
        <v>876</v>
      </c>
      <c r="I1058" s="2" t="s">
        <v>35</v>
      </c>
      <c r="J1058" s="2" t="s">
        <v>25</v>
      </c>
      <c r="K1058" s="2" t="s">
        <v>17</v>
      </c>
      <c r="L1058" s="7">
        <f>Table3[[#This Row],[Revenue]]-Table3[[#This Row],[Ad Spend]]</f>
        <v>152.56</v>
      </c>
      <c r="M1058" s="11">
        <v>123.14</v>
      </c>
    </row>
    <row r="1059" spans="1:13" ht="15.75" customHeight="1" x14ac:dyDescent="0.3">
      <c r="A1059" s="4" t="s">
        <v>723</v>
      </c>
      <c r="B1059">
        <f t="shared" si="16"/>
        <v>12</v>
      </c>
      <c r="C1059" s="2" t="s">
        <v>19</v>
      </c>
      <c r="D1059" s="2" t="s">
        <v>484</v>
      </c>
      <c r="E1059" s="7">
        <v>99.27</v>
      </c>
      <c r="F1059" s="2">
        <v>5</v>
      </c>
      <c r="G1059" s="7">
        <v>56.88</v>
      </c>
      <c r="H1059" s="2" t="s">
        <v>372</v>
      </c>
      <c r="I1059" s="2" t="s">
        <v>15</v>
      </c>
      <c r="J1059" s="2" t="s">
        <v>30</v>
      </c>
      <c r="K1059" s="2" t="s">
        <v>17</v>
      </c>
      <c r="L1059" s="7">
        <f>Table3[[#This Row],[Revenue]]-Table3[[#This Row],[Ad Spend]]</f>
        <v>-42.389999999999993</v>
      </c>
      <c r="M1059" s="11">
        <v>113.18</v>
      </c>
    </row>
    <row r="1060" spans="1:13" ht="15.75" customHeight="1" x14ac:dyDescent="0.3">
      <c r="A1060" s="4" t="s">
        <v>110</v>
      </c>
      <c r="B1060">
        <f t="shared" si="16"/>
        <v>4</v>
      </c>
      <c r="C1060" s="2" t="s">
        <v>19</v>
      </c>
      <c r="D1060" s="2" t="s">
        <v>384</v>
      </c>
      <c r="E1060" s="7">
        <v>119.42</v>
      </c>
      <c r="F1060" s="2">
        <v>5</v>
      </c>
      <c r="G1060" s="7">
        <v>394.76</v>
      </c>
      <c r="H1060" s="2" t="s">
        <v>422</v>
      </c>
      <c r="I1060" s="2" t="s">
        <v>15</v>
      </c>
      <c r="J1060" s="2" t="s">
        <v>30</v>
      </c>
      <c r="K1060" s="2" t="s">
        <v>17</v>
      </c>
      <c r="L1060" s="7">
        <f>Table3[[#This Row],[Revenue]]-Table3[[#This Row],[Ad Spend]]</f>
        <v>275.33999999999997</v>
      </c>
      <c r="M1060" s="11">
        <v>142.15</v>
      </c>
    </row>
    <row r="1061" spans="1:13" ht="15.75" customHeight="1" x14ac:dyDescent="0.3">
      <c r="A1061" s="4" t="s">
        <v>647</v>
      </c>
      <c r="B1061">
        <f t="shared" si="16"/>
        <v>11</v>
      </c>
      <c r="C1061" s="2" t="s">
        <v>32</v>
      </c>
      <c r="D1061" s="2" t="s">
        <v>825</v>
      </c>
      <c r="E1061" s="7">
        <v>26.01</v>
      </c>
      <c r="F1061" s="2">
        <v>0</v>
      </c>
      <c r="G1061" s="7">
        <v>195.46</v>
      </c>
      <c r="H1061" s="2" t="s">
        <v>681</v>
      </c>
      <c r="I1061" s="2" t="s">
        <v>15</v>
      </c>
      <c r="J1061" s="2" t="s">
        <v>87</v>
      </c>
      <c r="K1061" s="2" t="s">
        <v>46</v>
      </c>
      <c r="L1061" s="7">
        <f>Table3[[#This Row],[Revenue]]-Table3[[#This Row],[Ad Spend]]</f>
        <v>169.45000000000002</v>
      </c>
      <c r="M1061" s="11">
        <v>147.44999999999999</v>
      </c>
    </row>
    <row r="1062" spans="1:13" ht="15.75" customHeight="1" x14ac:dyDescent="0.3">
      <c r="A1062" s="4" t="s">
        <v>365</v>
      </c>
      <c r="B1062">
        <f t="shared" si="16"/>
        <v>11</v>
      </c>
      <c r="C1062" s="2" t="s">
        <v>63</v>
      </c>
      <c r="D1062" s="2" t="s">
        <v>935</v>
      </c>
      <c r="E1062" s="7">
        <v>106.69</v>
      </c>
      <c r="F1062" s="2">
        <v>0</v>
      </c>
      <c r="G1062" s="7">
        <v>371.9</v>
      </c>
      <c r="H1062" s="2" t="s">
        <v>667</v>
      </c>
      <c r="I1062" s="2" t="s">
        <v>35</v>
      </c>
      <c r="J1062" s="2" t="s">
        <v>87</v>
      </c>
      <c r="K1062" s="2" t="s">
        <v>46</v>
      </c>
      <c r="L1062" s="7">
        <f>Table3[[#This Row],[Revenue]]-Table3[[#This Row],[Ad Spend]]</f>
        <v>265.20999999999998</v>
      </c>
      <c r="M1062" s="11">
        <v>164.7</v>
      </c>
    </row>
    <row r="1063" spans="1:13" ht="15.75" customHeight="1" x14ac:dyDescent="0.3">
      <c r="A1063" s="4" t="s">
        <v>673</v>
      </c>
      <c r="B1063">
        <f t="shared" si="16"/>
        <v>12</v>
      </c>
      <c r="C1063" s="2" t="s">
        <v>32</v>
      </c>
      <c r="D1063" s="2" t="s">
        <v>192</v>
      </c>
      <c r="E1063" s="7">
        <v>141.29</v>
      </c>
      <c r="F1063" s="2">
        <v>7</v>
      </c>
      <c r="G1063" s="7">
        <v>364.6</v>
      </c>
      <c r="H1063" s="2" t="s">
        <v>61</v>
      </c>
      <c r="I1063" s="2" t="s">
        <v>35</v>
      </c>
      <c r="J1063" s="2" t="s">
        <v>30</v>
      </c>
      <c r="K1063" s="2" t="s">
        <v>17</v>
      </c>
      <c r="L1063" s="7">
        <f>Table3[[#This Row],[Revenue]]-Table3[[#This Row],[Ad Spend]]</f>
        <v>223.31000000000003</v>
      </c>
      <c r="M1063" s="11">
        <v>134.88</v>
      </c>
    </row>
    <row r="1064" spans="1:13" ht="15.75" customHeight="1" x14ac:dyDescent="0.3">
      <c r="A1064" s="4" t="s">
        <v>532</v>
      </c>
      <c r="B1064">
        <f t="shared" si="16"/>
        <v>2</v>
      </c>
      <c r="C1064" s="2" t="s">
        <v>32</v>
      </c>
      <c r="D1064" s="2" t="s">
        <v>548</v>
      </c>
      <c r="E1064" s="7">
        <v>21.36</v>
      </c>
      <c r="F1064" s="2">
        <v>6</v>
      </c>
      <c r="G1064" s="7">
        <v>185.96</v>
      </c>
      <c r="H1064" s="2" t="s">
        <v>24</v>
      </c>
      <c r="I1064" s="2" t="s">
        <v>35</v>
      </c>
      <c r="J1064" s="2" t="s">
        <v>30</v>
      </c>
      <c r="K1064" s="2" t="s">
        <v>17</v>
      </c>
      <c r="L1064" s="7">
        <f>Table3[[#This Row],[Revenue]]-Table3[[#This Row],[Ad Spend]]</f>
        <v>164.60000000000002</v>
      </c>
      <c r="M1064" s="11">
        <v>145.32</v>
      </c>
    </row>
    <row r="1065" spans="1:13" ht="15.75" customHeight="1" x14ac:dyDescent="0.3">
      <c r="A1065" s="4" t="s">
        <v>380</v>
      </c>
      <c r="B1065">
        <f t="shared" si="16"/>
        <v>2</v>
      </c>
      <c r="C1065" s="2" t="s">
        <v>12</v>
      </c>
      <c r="D1065" s="2" t="s">
        <v>390</v>
      </c>
      <c r="E1065" s="7">
        <v>141.68</v>
      </c>
      <c r="F1065" s="2">
        <v>8</v>
      </c>
      <c r="G1065" s="7">
        <v>413.15</v>
      </c>
      <c r="H1065" s="2" t="s">
        <v>180</v>
      </c>
      <c r="I1065" s="2" t="s">
        <v>29</v>
      </c>
      <c r="J1065" s="2" t="s">
        <v>87</v>
      </c>
      <c r="K1065" s="2" t="s">
        <v>17</v>
      </c>
      <c r="L1065" s="7">
        <f>Table3[[#This Row],[Revenue]]-Table3[[#This Row],[Ad Spend]]</f>
        <v>271.46999999999997</v>
      </c>
      <c r="M1065" s="11">
        <v>134.78</v>
      </c>
    </row>
    <row r="1066" spans="1:13" ht="15.75" customHeight="1" x14ac:dyDescent="0.3">
      <c r="A1066" s="4" t="s">
        <v>105</v>
      </c>
      <c r="B1066">
        <f t="shared" si="16"/>
        <v>1</v>
      </c>
      <c r="C1066" s="2" t="s">
        <v>32</v>
      </c>
      <c r="D1066" s="2" t="s">
        <v>1223</v>
      </c>
      <c r="E1066" s="7">
        <v>138</v>
      </c>
      <c r="F1066" s="2">
        <v>2</v>
      </c>
      <c r="G1066" s="7">
        <v>227.76</v>
      </c>
      <c r="H1066" s="2" t="s">
        <v>301</v>
      </c>
      <c r="I1066" s="2" t="s">
        <v>35</v>
      </c>
      <c r="J1066" s="2" t="s">
        <v>25</v>
      </c>
      <c r="K1066" s="2" t="s">
        <v>17</v>
      </c>
      <c r="L1066" s="7">
        <f>Table3[[#This Row],[Revenue]]-Table3[[#This Row],[Ad Spend]]</f>
        <v>89.759999999999991</v>
      </c>
      <c r="M1066" s="11">
        <v>148.59</v>
      </c>
    </row>
    <row r="1067" spans="1:13" ht="15.75" customHeight="1" x14ac:dyDescent="0.3">
      <c r="A1067" s="4" t="s">
        <v>110</v>
      </c>
      <c r="B1067">
        <f t="shared" si="16"/>
        <v>4</v>
      </c>
      <c r="C1067" s="2" t="s">
        <v>63</v>
      </c>
      <c r="D1067" s="2" t="s">
        <v>1224</v>
      </c>
      <c r="E1067" s="7">
        <v>120.8</v>
      </c>
      <c r="F1067" s="2">
        <v>5</v>
      </c>
      <c r="G1067" s="7">
        <v>479.04</v>
      </c>
      <c r="H1067" s="2" t="s">
        <v>488</v>
      </c>
      <c r="I1067" s="2" t="s">
        <v>15</v>
      </c>
      <c r="J1067" s="2" t="s">
        <v>53</v>
      </c>
      <c r="K1067" s="2" t="s">
        <v>17</v>
      </c>
      <c r="L1067" s="7">
        <f>Table3[[#This Row],[Revenue]]-Table3[[#This Row],[Ad Spend]]</f>
        <v>358.24</v>
      </c>
      <c r="M1067" s="11">
        <v>101.38</v>
      </c>
    </row>
    <row r="1068" spans="1:13" ht="15.75" customHeight="1" x14ac:dyDescent="0.3">
      <c r="A1068" s="4" t="s">
        <v>117</v>
      </c>
      <c r="B1068">
        <f t="shared" si="16"/>
        <v>3</v>
      </c>
      <c r="C1068" s="2" t="s">
        <v>32</v>
      </c>
      <c r="D1068" s="2" t="s">
        <v>1225</v>
      </c>
      <c r="E1068" s="7">
        <v>127.78</v>
      </c>
      <c r="F1068" s="2">
        <v>2</v>
      </c>
      <c r="G1068" s="7">
        <v>92.11</v>
      </c>
      <c r="H1068" s="2" t="s">
        <v>177</v>
      </c>
      <c r="I1068" s="2" t="s">
        <v>29</v>
      </c>
      <c r="J1068" s="2" t="s">
        <v>87</v>
      </c>
      <c r="K1068" s="2" t="s">
        <v>17</v>
      </c>
      <c r="L1068" s="7">
        <f>Table3[[#This Row],[Revenue]]-Table3[[#This Row],[Ad Spend]]</f>
        <v>-35.67</v>
      </c>
      <c r="M1068" s="11">
        <v>63.35</v>
      </c>
    </row>
    <row r="1069" spans="1:13" ht="15.75" customHeight="1" x14ac:dyDescent="0.3">
      <c r="A1069" s="4" t="s">
        <v>647</v>
      </c>
      <c r="B1069">
        <f t="shared" si="16"/>
        <v>11</v>
      </c>
      <c r="C1069" s="2" t="s">
        <v>19</v>
      </c>
      <c r="D1069" s="2" t="s">
        <v>63</v>
      </c>
      <c r="E1069" s="7">
        <v>86.51</v>
      </c>
      <c r="F1069" s="2">
        <v>5</v>
      </c>
      <c r="G1069" s="7">
        <v>169.44</v>
      </c>
      <c r="H1069" s="2" t="s">
        <v>709</v>
      </c>
      <c r="I1069" s="2" t="s">
        <v>15</v>
      </c>
      <c r="J1069" s="2" t="s">
        <v>16</v>
      </c>
      <c r="K1069" s="2" t="s">
        <v>17</v>
      </c>
      <c r="L1069" s="7">
        <f>Table3[[#This Row],[Revenue]]-Table3[[#This Row],[Ad Spend]]</f>
        <v>82.929999999999993</v>
      </c>
      <c r="M1069" s="11">
        <v>116.35</v>
      </c>
    </row>
    <row r="1070" spans="1:13" ht="15.75" customHeight="1" x14ac:dyDescent="0.3">
      <c r="A1070" s="4" t="s">
        <v>875</v>
      </c>
      <c r="B1070">
        <f t="shared" si="16"/>
        <v>12</v>
      </c>
      <c r="C1070" s="2" t="s">
        <v>19</v>
      </c>
      <c r="D1070" s="2" t="s">
        <v>544</v>
      </c>
      <c r="E1070" s="7">
        <v>20.350000000000001</v>
      </c>
      <c r="F1070" s="2">
        <v>2</v>
      </c>
      <c r="G1070" s="7">
        <v>239.35</v>
      </c>
      <c r="H1070" s="2" t="s">
        <v>372</v>
      </c>
      <c r="I1070" s="2" t="s">
        <v>29</v>
      </c>
      <c r="J1070" s="2" t="s">
        <v>30</v>
      </c>
      <c r="K1070" s="2" t="s">
        <v>17</v>
      </c>
      <c r="L1070" s="7">
        <f>Table3[[#This Row],[Revenue]]-Table3[[#This Row],[Ad Spend]]</f>
        <v>219</v>
      </c>
      <c r="M1070" s="11">
        <v>115.66</v>
      </c>
    </row>
    <row r="1071" spans="1:13" ht="15.75" customHeight="1" x14ac:dyDescent="0.3">
      <c r="A1071" s="4" t="s">
        <v>610</v>
      </c>
      <c r="B1071">
        <f t="shared" si="16"/>
        <v>11</v>
      </c>
      <c r="C1071" s="2" t="s">
        <v>63</v>
      </c>
      <c r="D1071" s="2" t="s">
        <v>802</v>
      </c>
      <c r="E1071" s="7">
        <v>81.69</v>
      </c>
      <c r="F1071" s="2">
        <v>2</v>
      </c>
      <c r="G1071" s="7">
        <v>164.27</v>
      </c>
      <c r="H1071" s="2" t="s">
        <v>1172</v>
      </c>
      <c r="I1071" s="2" t="s">
        <v>15</v>
      </c>
      <c r="J1071" s="2" t="s">
        <v>16</v>
      </c>
      <c r="K1071" s="2" t="s">
        <v>17</v>
      </c>
      <c r="L1071" s="7">
        <f>Table3[[#This Row],[Revenue]]-Table3[[#This Row],[Ad Spend]]</f>
        <v>82.580000000000013</v>
      </c>
      <c r="M1071" s="11">
        <v>131.49</v>
      </c>
    </row>
    <row r="1072" spans="1:13" ht="15.75" customHeight="1" x14ac:dyDescent="0.3">
      <c r="A1072" s="4" t="s">
        <v>226</v>
      </c>
      <c r="B1072">
        <f t="shared" si="16"/>
        <v>2</v>
      </c>
      <c r="C1072" s="2" t="s">
        <v>32</v>
      </c>
      <c r="D1072" s="2" t="s">
        <v>1226</v>
      </c>
      <c r="E1072" s="7">
        <v>28.72</v>
      </c>
      <c r="F1072" s="2">
        <v>1</v>
      </c>
      <c r="G1072" s="7">
        <v>357.53</v>
      </c>
      <c r="H1072" s="2" t="s">
        <v>413</v>
      </c>
      <c r="I1072" s="2" t="s">
        <v>35</v>
      </c>
      <c r="J1072" s="2" t="s">
        <v>87</v>
      </c>
      <c r="K1072" s="2" t="s">
        <v>17</v>
      </c>
      <c r="L1072" s="7">
        <f>Table3[[#This Row],[Revenue]]-Table3[[#This Row],[Ad Spend]]</f>
        <v>328.80999999999995</v>
      </c>
      <c r="M1072" s="11">
        <v>120.69</v>
      </c>
    </row>
    <row r="1073" spans="1:13" ht="15.75" customHeight="1" x14ac:dyDescent="0.3">
      <c r="A1073" s="4" t="s">
        <v>428</v>
      </c>
      <c r="B1073">
        <f t="shared" si="16"/>
        <v>3</v>
      </c>
      <c r="C1073" s="2" t="s">
        <v>19</v>
      </c>
      <c r="D1073" s="2" t="s">
        <v>998</v>
      </c>
      <c r="E1073" s="7">
        <v>118.06</v>
      </c>
      <c r="F1073" s="2">
        <v>4</v>
      </c>
      <c r="G1073" s="7">
        <v>28.12</v>
      </c>
      <c r="H1073" s="2" t="s">
        <v>705</v>
      </c>
      <c r="I1073" s="2" t="s">
        <v>35</v>
      </c>
      <c r="J1073" s="2" t="s">
        <v>25</v>
      </c>
      <c r="K1073" s="2" t="s">
        <v>17</v>
      </c>
      <c r="L1073" s="7">
        <f>Table3[[#This Row],[Revenue]]-Table3[[#This Row],[Ad Spend]]</f>
        <v>-89.94</v>
      </c>
      <c r="M1073" s="11">
        <v>135.41999999999999</v>
      </c>
    </row>
    <row r="1074" spans="1:13" ht="15.75" customHeight="1" x14ac:dyDescent="0.3">
      <c r="A1074" s="4" t="s">
        <v>11</v>
      </c>
      <c r="B1074">
        <f t="shared" si="16"/>
        <v>1</v>
      </c>
      <c r="C1074" s="2" t="s">
        <v>32</v>
      </c>
      <c r="D1074" s="2" t="s">
        <v>1227</v>
      </c>
      <c r="E1074" s="7">
        <v>124.83</v>
      </c>
      <c r="F1074" s="2">
        <v>4</v>
      </c>
      <c r="G1074" s="7">
        <v>88.47</v>
      </c>
      <c r="H1074" s="2" t="s">
        <v>1130</v>
      </c>
      <c r="I1074" s="2" t="s">
        <v>15</v>
      </c>
      <c r="J1074" s="2" t="s">
        <v>53</v>
      </c>
      <c r="K1074" s="2" t="s">
        <v>17</v>
      </c>
      <c r="L1074" s="7">
        <f>Table3[[#This Row],[Revenue]]-Table3[[#This Row],[Ad Spend]]</f>
        <v>-36.36</v>
      </c>
      <c r="M1074" s="11">
        <v>64.11</v>
      </c>
    </row>
    <row r="1075" spans="1:13" ht="15.75" customHeight="1" x14ac:dyDescent="0.3">
      <c r="A1075" s="4" t="s">
        <v>353</v>
      </c>
      <c r="B1075">
        <f t="shared" si="16"/>
        <v>1</v>
      </c>
      <c r="C1075" s="2" t="s">
        <v>63</v>
      </c>
      <c r="D1075" s="2" t="s">
        <v>627</v>
      </c>
      <c r="E1075" s="7">
        <v>71.5</v>
      </c>
      <c r="F1075" s="2">
        <v>0</v>
      </c>
      <c r="G1075" s="7">
        <v>283.85000000000002</v>
      </c>
      <c r="H1075" s="2" t="s">
        <v>67</v>
      </c>
      <c r="I1075" s="2" t="s">
        <v>29</v>
      </c>
      <c r="J1075" s="2" t="s">
        <v>16</v>
      </c>
      <c r="K1075" s="2" t="s">
        <v>46</v>
      </c>
      <c r="L1075" s="7">
        <f>Table3[[#This Row],[Revenue]]-Table3[[#This Row],[Ad Spend]]</f>
        <v>212.35000000000002</v>
      </c>
      <c r="M1075" s="11">
        <v>99.62</v>
      </c>
    </row>
    <row r="1076" spans="1:13" ht="15.75" customHeight="1" x14ac:dyDescent="0.3">
      <c r="A1076" s="4" t="s">
        <v>269</v>
      </c>
      <c r="B1076">
        <f t="shared" si="16"/>
        <v>12</v>
      </c>
      <c r="C1076" s="2" t="s">
        <v>32</v>
      </c>
      <c r="D1076" s="2" t="s">
        <v>1228</v>
      </c>
      <c r="E1076" s="7">
        <v>32.46</v>
      </c>
      <c r="F1076" s="2">
        <v>5</v>
      </c>
      <c r="G1076" s="7">
        <v>393.6</v>
      </c>
      <c r="H1076" s="2" t="s">
        <v>422</v>
      </c>
      <c r="I1076" s="2" t="s">
        <v>29</v>
      </c>
      <c r="J1076" s="2" t="s">
        <v>30</v>
      </c>
      <c r="K1076" s="2" t="s">
        <v>17</v>
      </c>
      <c r="L1076" s="7">
        <f>Table3[[#This Row],[Revenue]]-Table3[[#This Row],[Ad Spend]]</f>
        <v>361.14000000000004</v>
      </c>
      <c r="M1076" s="11">
        <v>142.43</v>
      </c>
    </row>
    <row r="1077" spans="1:13" ht="15.75" customHeight="1" x14ac:dyDescent="0.3">
      <c r="A1077" s="4" t="s">
        <v>610</v>
      </c>
      <c r="B1077">
        <f t="shared" si="16"/>
        <v>11</v>
      </c>
      <c r="C1077" s="2" t="s">
        <v>19</v>
      </c>
      <c r="D1077" s="2" t="s">
        <v>311</v>
      </c>
      <c r="E1077" s="7">
        <v>127.77</v>
      </c>
      <c r="F1077" s="2">
        <v>4</v>
      </c>
      <c r="G1077" s="7">
        <v>353.59</v>
      </c>
      <c r="H1077" s="2" t="s">
        <v>147</v>
      </c>
      <c r="I1077" s="2" t="s">
        <v>35</v>
      </c>
      <c r="J1077" s="2" t="s">
        <v>87</v>
      </c>
      <c r="K1077" s="2" t="s">
        <v>17</v>
      </c>
      <c r="L1077" s="7">
        <f>Table3[[#This Row],[Revenue]]-Table3[[#This Row],[Ad Spend]]</f>
        <v>225.82</v>
      </c>
      <c r="M1077" s="11">
        <v>138.47999999999999</v>
      </c>
    </row>
    <row r="1078" spans="1:13" ht="15.75" customHeight="1" x14ac:dyDescent="0.3">
      <c r="A1078" s="4" t="s">
        <v>404</v>
      </c>
      <c r="B1078">
        <f t="shared" si="16"/>
        <v>3</v>
      </c>
      <c r="C1078" s="2" t="s">
        <v>32</v>
      </c>
      <c r="D1078" s="2" t="s">
        <v>929</v>
      </c>
      <c r="E1078" s="7">
        <v>67.03</v>
      </c>
      <c r="F1078" s="2">
        <v>3</v>
      </c>
      <c r="G1078" s="7">
        <v>366.32</v>
      </c>
      <c r="H1078" s="2" t="s">
        <v>174</v>
      </c>
      <c r="I1078" s="2" t="s">
        <v>15</v>
      </c>
      <c r="J1078" s="2" t="s">
        <v>87</v>
      </c>
      <c r="K1078" s="2" t="s">
        <v>17</v>
      </c>
      <c r="L1078" s="7">
        <f>Table3[[#This Row],[Revenue]]-Table3[[#This Row],[Ad Spend]]</f>
        <v>299.28999999999996</v>
      </c>
      <c r="M1078" s="11">
        <v>104.75</v>
      </c>
    </row>
    <row r="1079" spans="1:13" ht="15.75" customHeight="1" x14ac:dyDescent="0.3">
      <c r="A1079" s="4" t="s">
        <v>216</v>
      </c>
      <c r="B1079">
        <f t="shared" si="16"/>
        <v>2</v>
      </c>
      <c r="C1079" s="2" t="s">
        <v>19</v>
      </c>
      <c r="D1079" s="2" t="s">
        <v>1229</v>
      </c>
      <c r="E1079" s="7">
        <v>147.58000000000001</v>
      </c>
      <c r="F1079" s="2">
        <v>3</v>
      </c>
      <c r="G1079" s="7">
        <v>76.72</v>
      </c>
      <c r="H1079" s="2" t="s">
        <v>372</v>
      </c>
      <c r="I1079" s="2" t="s">
        <v>29</v>
      </c>
      <c r="J1079" s="2" t="s">
        <v>53</v>
      </c>
      <c r="K1079" s="2" t="s">
        <v>17</v>
      </c>
      <c r="L1079" s="7">
        <f>Table3[[#This Row],[Revenue]]-Table3[[#This Row],[Ad Spend]]</f>
        <v>-70.860000000000014</v>
      </c>
      <c r="M1079" s="11">
        <v>112.34</v>
      </c>
    </row>
    <row r="1080" spans="1:13" ht="15.75" customHeight="1" x14ac:dyDescent="0.3">
      <c r="A1080" s="4" t="s">
        <v>610</v>
      </c>
      <c r="B1080">
        <f t="shared" si="16"/>
        <v>11</v>
      </c>
      <c r="C1080" s="2" t="s">
        <v>32</v>
      </c>
      <c r="D1080" s="2" t="s">
        <v>1230</v>
      </c>
      <c r="E1080" s="7">
        <v>63.33</v>
      </c>
      <c r="F1080" s="2">
        <v>6</v>
      </c>
      <c r="G1080" s="7">
        <v>157.72</v>
      </c>
      <c r="H1080" s="2" t="s">
        <v>664</v>
      </c>
      <c r="I1080" s="2" t="s">
        <v>15</v>
      </c>
      <c r="J1080" s="2" t="s">
        <v>30</v>
      </c>
      <c r="K1080" s="2" t="s">
        <v>17</v>
      </c>
      <c r="L1080" s="7">
        <f>Table3[[#This Row],[Revenue]]-Table3[[#This Row],[Ad Spend]]</f>
        <v>94.39</v>
      </c>
      <c r="M1080" s="11">
        <v>162.16999999999999</v>
      </c>
    </row>
    <row r="1081" spans="1:13" ht="15.75" customHeight="1" x14ac:dyDescent="0.3">
      <c r="A1081" s="4" t="s">
        <v>131</v>
      </c>
      <c r="B1081">
        <f t="shared" si="16"/>
        <v>11</v>
      </c>
      <c r="C1081" s="2" t="s">
        <v>32</v>
      </c>
      <c r="D1081" s="2" t="s">
        <v>1231</v>
      </c>
      <c r="E1081" s="7">
        <v>83.24</v>
      </c>
      <c r="F1081" s="2">
        <v>4</v>
      </c>
      <c r="G1081" s="7">
        <v>457.89</v>
      </c>
      <c r="H1081" s="2" t="s">
        <v>28</v>
      </c>
      <c r="I1081" s="2" t="s">
        <v>29</v>
      </c>
      <c r="J1081" s="2" t="s">
        <v>87</v>
      </c>
      <c r="K1081" s="2" t="s">
        <v>17</v>
      </c>
      <c r="L1081" s="7">
        <f>Table3[[#This Row],[Revenue]]-Table3[[#This Row],[Ad Spend]]</f>
        <v>374.65</v>
      </c>
      <c r="M1081" s="11">
        <v>140.29</v>
      </c>
    </row>
    <row r="1082" spans="1:13" ht="15.75" customHeight="1" x14ac:dyDescent="0.3">
      <c r="A1082" s="4" t="s">
        <v>753</v>
      </c>
      <c r="B1082">
        <f t="shared" si="16"/>
        <v>11</v>
      </c>
      <c r="C1082" s="2" t="s">
        <v>32</v>
      </c>
      <c r="D1082" s="2" t="s">
        <v>1023</v>
      </c>
      <c r="E1082" s="7">
        <v>89.96</v>
      </c>
      <c r="F1082" s="2">
        <v>1</v>
      </c>
      <c r="G1082" s="7">
        <v>273.33</v>
      </c>
      <c r="H1082" s="2" t="s">
        <v>104</v>
      </c>
      <c r="I1082" s="2" t="s">
        <v>35</v>
      </c>
      <c r="J1082" s="2" t="s">
        <v>25</v>
      </c>
      <c r="K1082" s="2" t="s">
        <v>17</v>
      </c>
      <c r="L1082" s="7">
        <f>Table3[[#This Row],[Revenue]]-Table3[[#This Row],[Ad Spend]]</f>
        <v>183.37</v>
      </c>
      <c r="M1082" s="11">
        <v>126.12</v>
      </c>
    </row>
    <row r="1083" spans="1:13" ht="15.75" customHeight="1" x14ac:dyDescent="0.3">
      <c r="A1083" s="4" t="s">
        <v>189</v>
      </c>
      <c r="B1083">
        <f t="shared" si="16"/>
        <v>2</v>
      </c>
      <c r="C1083" s="2" t="s">
        <v>63</v>
      </c>
      <c r="D1083" s="2" t="s">
        <v>1187</v>
      </c>
      <c r="E1083" s="7">
        <v>102.25</v>
      </c>
      <c r="F1083" s="2">
        <v>2</v>
      </c>
      <c r="G1083" s="7">
        <v>300.45</v>
      </c>
      <c r="H1083" s="2" t="s">
        <v>1232</v>
      </c>
      <c r="I1083" s="2" t="s">
        <v>29</v>
      </c>
      <c r="J1083" s="2" t="s">
        <v>25</v>
      </c>
      <c r="K1083" s="2" t="s">
        <v>17</v>
      </c>
      <c r="L1083" s="7">
        <f>Table3[[#This Row],[Revenue]]-Table3[[#This Row],[Ad Spend]]</f>
        <v>198.2</v>
      </c>
      <c r="M1083" s="11">
        <v>92.78</v>
      </c>
    </row>
    <row r="1084" spans="1:13" ht="15.75" customHeight="1" x14ac:dyDescent="0.3">
      <c r="A1084" s="4" t="s">
        <v>159</v>
      </c>
      <c r="B1084">
        <f t="shared" si="16"/>
        <v>2</v>
      </c>
      <c r="C1084" s="2" t="s">
        <v>12</v>
      </c>
      <c r="D1084" s="2" t="s">
        <v>782</v>
      </c>
      <c r="E1084" s="7">
        <v>149.96</v>
      </c>
      <c r="F1084" s="2">
        <v>0</v>
      </c>
      <c r="G1084" s="7">
        <v>296</v>
      </c>
      <c r="H1084" s="2" t="s">
        <v>1233</v>
      </c>
      <c r="I1084" s="2" t="s">
        <v>29</v>
      </c>
      <c r="J1084" s="2" t="s">
        <v>25</v>
      </c>
      <c r="K1084" s="2" t="s">
        <v>46</v>
      </c>
      <c r="L1084" s="7">
        <f>Table3[[#This Row],[Revenue]]-Table3[[#This Row],[Ad Spend]]</f>
        <v>146.04</v>
      </c>
      <c r="M1084" s="11">
        <v>95.06</v>
      </c>
    </row>
    <row r="1085" spans="1:13" ht="15.75" customHeight="1" x14ac:dyDescent="0.3">
      <c r="A1085" s="4" t="s">
        <v>131</v>
      </c>
      <c r="B1085">
        <f t="shared" si="16"/>
        <v>11</v>
      </c>
      <c r="C1085" s="2" t="s">
        <v>32</v>
      </c>
      <c r="D1085" s="2" t="s">
        <v>1234</v>
      </c>
      <c r="E1085" s="7">
        <v>93.58</v>
      </c>
      <c r="F1085" s="2">
        <v>7</v>
      </c>
      <c r="G1085" s="7">
        <v>178.65</v>
      </c>
      <c r="H1085" s="2" t="s">
        <v>152</v>
      </c>
      <c r="I1085" s="2" t="s">
        <v>29</v>
      </c>
      <c r="J1085" s="2" t="s">
        <v>87</v>
      </c>
      <c r="K1085" s="2" t="s">
        <v>17</v>
      </c>
      <c r="L1085" s="7">
        <f>Table3[[#This Row],[Revenue]]-Table3[[#This Row],[Ad Spend]]</f>
        <v>85.070000000000007</v>
      </c>
      <c r="M1085" s="11">
        <v>104.49</v>
      </c>
    </row>
    <row r="1086" spans="1:13" ht="15.75" customHeight="1" x14ac:dyDescent="0.3">
      <c r="A1086" s="4" t="s">
        <v>574</v>
      </c>
      <c r="B1086">
        <f t="shared" si="16"/>
        <v>1</v>
      </c>
      <c r="C1086" s="2" t="s">
        <v>19</v>
      </c>
      <c r="D1086" s="2" t="s">
        <v>675</v>
      </c>
      <c r="E1086" s="7">
        <v>48.18</v>
      </c>
      <c r="F1086" s="2">
        <v>9</v>
      </c>
      <c r="G1086" s="7">
        <v>451.99</v>
      </c>
      <c r="H1086" s="2" t="s">
        <v>695</v>
      </c>
      <c r="I1086" s="2" t="s">
        <v>29</v>
      </c>
      <c r="J1086" s="2" t="s">
        <v>36</v>
      </c>
      <c r="K1086" s="2" t="s">
        <v>17</v>
      </c>
      <c r="L1086" s="7">
        <f>Table3[[#This Row],[Revenue]]-Table3[[#This Row],[Ad Spend]]</f>
        <v>403.81</v>
      </c>
      <c r="M1086" s="11">
        <v>123.82</v>
      </c>
    </row>
    <row r="1087" spans="1:13" ht="15.75" customHeight="1" x14ac:dyDescent="0.3">
      <c r="A1087" s="4" t="s">
        <v>691</v>
      </c>
      <c r="B1087">
        <f t="shared" si="16"/>
        <v>2</v>
      </c>
      <c r="C1087" s="2" t="s">
        <v>63</v>
      </c>
      <c r="D1087" s="2" t="s">
        <v>352</v>
      </c>
      <c r="E1087" s="7">
        <v>38</v>
      </c>
      <c r="F1087" s="2">
        <v>8</v>
      </c>
      <c r="G1087" s="7">
        <v>216.28</v>
      </c>
      <c r="H1087" s="2" t="s">
        <v>174</v>
      </c>
      <c r="I1087" s="2" t="s">
        <v>15</v>
      </c>
      <c r="J1087" s="2" t="s">
        <v>87</v>
      </c>
      <c r="K1087" s="2" t="s">
        <v>17</v>
      </c>
      <c r="L1087" s="7">
        <f>Table3[[#This Row],[Revenue]]-Table3[[#This Row],[Ad Spend]]</f>
        <v>178.28</v>
      </c>
      <c r="M1087" s="11">
        <v>98.75</v>
      </c>
    </row>
    <row r="1088" spans="1:13" ht="15.75" customHeight="1" x14ac:dyDescent="0.3">
      <c r="A1088" s="4" t="s">
        <v>676</v>
      </c>
      <c r="B1088">
        <f t="shared" si="16"/>
        <v>4</v>
      </c>
      <c r="C1088" s="2" t="s">
        <v>32</v>
      </c>
      <c r="D1088" s="2" t="s">
        <v>215</v>
      </c>
      <c r="E1088" s="7">
        <v>34.22</v>
      </c>
      <c r="F1088" s="2">
        <v>6</v>
      </c>
      <c r="G1088" s="7">
        <v>222.03</v>
      </c>
      <c r="H1088" s="2" t="s">
        <v>695</v>
      </c>
      <c r="I1088" s="2" t="s">
        <v>35</v>
      </c>
      <c r="J1088" s="2" t="s">
        <v>25</v>
      </c>
      <c r="K1088" s="2" t="s">
        <v>17</v>
      </c>
      <c r="L1088" s="7">
        <f>Table3[[#This Row],[Revenue]]-Table3[[#This Row],[Ad Spend]]</f>
        <v>187.81</v>
      </c>
      <c r="M1088" s="11">
        <v>121.43</v>
      </c>
    </row>
    <row r="1089" spans="1:13" ht="15.75" customHeight="1" x14ac:dyDescent="0.3">
      <c r="A1089" s="4" t="s">
        <v>433</v>
      </c>
      <c r="B1089">
        <f t="shared" si="16"/>
        <v>1</v>
      </c>
      <c r="C1089" s="2" t="s">
        <v>19</v>
      </c>
      <c r="D1089" s="2" t="s">
        <v>955</v>
      </c>
      <c r="E1089" s="7">
        <v>64.34</v>
      </c>
      <c r="F1089" s="2">
        <v>4</v>
      </c>
      <c r="G1089" s="7">
        <v>147.69</v>
      </c>
      <c r="H1089" s="2" t="s">
        <v>664</v>
      </c>
      <c r="I1089" s="2" t="s">
        <v>29</v>
      </c>
      <c r="J1089" s="2" t="s">
        <v>16</v>
      </c>
      <c r="K1089" s="2" t="s">
        <v>17</v>
      </c>
      <c r="L1089" s="7">
        <f>Table3[[#This Row],[Revenue]]-Table3[[#This Row],[Ad Spend]]</f>
        <v>83.35</v>
      </c>
      <c r="M1089" s="11">
        <v>163.38999999999999</v>
      </c>
    </row>
    <row r="1090" spans="1:13" ht="15.75" customHeight="1" x14ac:dyDescent="0.3">
      <c r="A1090" s="4" t="s">
        <v>433</v>
      </c>
      <c r="B1090">
        <f t="shared" si="16"/>
        <v>1</v>
      </c>
      <c r="C1090" s="2" t="s">
        <v>63</v>
      </c>
      <c r="D1090" s="2" t="s">
        <v>336</v>
      </c>
      <c r="E1090" s="7">
        <v>25.9</v>
      </c>
      <c r="F1090" s="2">
        <v>8</v>
      </c>
      <c r="G1090" s="7">
        <v>57.48</v>
      </c>
      <c r="H1090" s="2" t="s">
        <v>1165</v>
      </c>
      <c r="I1090" s="2" t="s">
        <v>15</v>
      </c>
      <c r="J1090" s="2" t="s">
        <v>16</v>
      </c>
      <c r="K1090" s="2" t="s">
        <v>17</v>
      </c>
      <c r="L1090" s="7">
        <f>Table3[[#This Row],[Revenue]]-Table3[[#This Row],[Ad Spend]]</f>
        <v>31.58</v>
      </c>
      <c r="M1090" s="11">
        <v>112.37</v>
      </c>
    </row>
    <row r="1091" spans="1:13" ht="15.75" customHeight="1" x14ac:dyDescent="0.3">
      <c r="A1091" s="4" t="s">
        <v>290</v>
      </c>
      <c r="B1091">
        <f t="shared" ref="B1091:B1154" si="17">MONTH(A1091)</f>
        <v>1</v>
      </c>
      <c r="C1091" s="2" t="s">
        <v>32</v>
      </c>
      <c r="D1091" s="2" t="s">
        <v>727</v>
      </c>
      <c r="E1091" s="7">
        <v>13.26</v>
      </c>
      <c r="F1091" s="2">
        <v>3</v>
      </c>
      <c r="G1091" s="7">
        <v>479.06</v>
      </c>
      <c r="H1091" s="2" t="s">
        <v>313</v>
      </c>
      <c r="I1091" s="2" t="s">
        <v>29</v>
      </c>
      <c r="J1091" s="2" t="s">
        <v>25</v>
      </c>
      <c r="K1091" s="2" t="s">
        <v>17</v>
      </c>
      <c r="L1091" s="7">
        <f>Table3[[#This Row],[Revenue]]-Table3[[#This Row],[Ad Spend]]</f>
        <v>465.8</v>
      </c>
      <c r="M1091" s="11">
        <v>120.26</v>
      </c>
    </row>
    <row r="1092" spans="1:13" ht="15.75" customHeight="1" x14ac:dyDescent="0.3">
      <c r="A1092" s="4" t="s">
        <v>133</v>
      </c>
      <c r="B1092">
        <f t="shared" si="17"/>
        <v>3</v>
      </c>
      <c r="C1092" s="2" t="s">
        <v>32</v>
      </c>
      <c r="D1092" s="2" t="s">
        <v>77</v>
      </c>
      <c r="E1092" s="7">
        <v>144.52000000000001</v>
      </c>
      <c r="F1092" s="2">
        <v>10</v>
      </c>
      <c r="G1092" s="7">
        <v>121.41</v>
      </c>
      <c r="H1092" s="2" t="s">
        <v>926</v>
      </c>
      <c r="I1092" s="2" t="s">
        <v>29</v>
      </c>
      <c r="J1092" s="2" t="s">
        <v>25</v>
      </c>
      <c r="K1092" s="2" t="s">
        <v>17</v>
      </c>
      <c r="L1092" s="7">
        <f>Table3[[#This Row],[Revenue]]-Table3[[#This Row],[Ad Spend]]</f>
        <v>-23.110000000000014</v>
      </c>
      <c r="M1092" s="11">
        <v>67.58</v>
      </c>
    </row>
    <row r="1093" spans="1:13" ht="15.75" customHeight="1" x14ac:dyDescent="0.3">
      <c r="A1093" s="4" t="s">
        <v>836</v>
      </c>
      <c r="B1093">
        <f t="shared" si="17"/>
        <v>11</v>
      </c>
      <c r="C1093" s="2" t="s">
        <v>32</v>
      </c>
      <c r="D1093" s="2" t="s">
        <v>1235</v>
      </c>
      <c r="E1093" s="7">
        <v>54.28</v>
      </c>
      <c r="F1093" s="2">
        <v>9</v>
      </c>
      <c r="G1093" s="7">
        <v>431.13</v>
      </c>
      <c r="H1093" s="2" t="s">
        <v>1236</v>
      </c>
      <c r="I1093" s="2" t="s">
        <v>15</v>
      </c>
      <c r="J1093" s="2" t="s">
        <v>25</v>
      </c>
      <c r="K1093" s="2" t="s">
        <v>17</v>
      </c>
      <c r="L1093" s="7">
        <f>Table3[[#This Row],[Revenue]]-Table3[[#This Row],[Ad Spend]]</f>
        <v>376.85</v>
      </c>
      <c r="M1093" s="11">
        <v>191.57</v>
      </c>
    </row>
    <row r="1094" spans="1:13" ht="15.75" customHeight="1" x14ac:dyDescent="0.3">
      <c r="A1094" s="4" t="s">
        <v>656</v>
      </c>
      <c r="B1094">
        <f t="shared" si="17"/>
        <v>4</v>
      </c>
      <c r="C1094" s="2" t="s">
        <v>32</v>
      </c>
      <c r="D1094" s="2" t="s">
        <v>344</v>
      </c>
      <c r="E1094" s="7">
        <v>20.59</v>
      </c>
      <c r="F1094" s="2">
        <v>5</v>
      </c>
      <c r="G1094" s="7">
        <v>222.61</v>
      </c>
      <c r="H1094" s="2" t="s">
        <v>709</v>
      </c>
      <c r="I1094" s="2" t="s">
        <v>35</v>
      </c>
      <c r="J1094" s="2" t="s">
        <v>53</v>
      </c>
      <c r="K1094" s="2" t="s">
        <v>17</v>
      </c>
      <c r="L1094" s="7">
        <f>Table3[[#This Row],[Revenue]]-Table3[[#This Row],[Ad Spend]]</f>
        <v>202.02</v>
      </c>
      <c r="M1094" s="11">
        <v>121.4</v>
      </c>
    </row>
    <row r="1095" spans="1:13" ht="15.75" customHeight="1" x14ac:dyDescent="0.3">
      <c r="A1095" s="4" t="s">
        <v>26</v>
      </c>
      <c r="B1095">
        <f t="shared" si="17"/>
        <v>12</v>
      </c>
      <c r="C1095" s="2" t="s">
        <v>12</v>
      </c>
      <c r="D1095" s="2" t="s">
        <v>788</v>
      </c>
      <c r="E1095" s="7">
        <v>8.67</v>
      </c>
      <c r="F1095" s="2">
        <v>8</v>
      </c>
      <c r="G1095" s="7">
        <v>147.21</v>
      </c>
      <c r="H1095" s="2" t="s">
        <v>586</v>
      </c>
      <c r="I1095" s="2" t="s">
        <v>29</v>
      </c>
      <c r="J1095" s="2" t="s">
        <v>25</v>
      </c>
      <c r="K1095" s="2" t="s">
        <v>17</v>
      </c>
      <c r="L1095" s="7">
        <f>Table3[[#This Row],[Revenue]]-Table3[[#This Row],[Ad Spend]]</f>
        <v>138.54000000000002</v>
      </c>
      <c r="M1095" s="11">
        <v>111.96</v>
      </c>
    </row>
    <row r="1096" spans="1:13" ht="15.75" customHeight="1" x14ac:dyDescent="0.3">
      <c r="A1096" s="4" t="s">
        <v>623</v>
      </c>
      <c r="B1096">
        <f t="shared" si="17"/>
        <v>1</v>
      </c>
      <c r="C1096" s="2" t="s">
        <v>32</v>
      </c>
      <c r="D1096" s="2" t="s">
        <v>217</v>
      </c>
      <c r="E1096" s="7">
        <v>119.34</v>
      </c>
      <c r="F1096" s="2">
        <v>0</v>
      </c>
      <c r="G1096" s="7">
        <v>253.78</v>
      </c>
      <c r="H1096" s="2" t="s">
        <v>104</v>
      </c>
      <c r="I1096" s="2" t="s">
        <v>15</v>
      </c>
      <c r="J1096" s="2" t="s">
        <v>30</v>
      </c>
      <c r="K1096" s="2" t="s">
        <v>46</v>
      </c>
      <c r="L1096" s="7">
        <f>Table3[[#This Row],[Revenue]]-Table3[[#This Row],[Ad Spend]]</f>
        <v>134.44</v>
      </c>
      <c r="M1096" s="11">
        <v>113.92</v>
      </c>
    </row>
    <row r="1097" spans="1:13" ht="15.75" customHeight="1" x14ac:dyDescent="0.3">
      <c r="A1097" s="4" t="s">
        <v>562</v>
      </c>
      <c r="B1097">
        <f t="shared" si="17"/>
        <v>2</v>
      </c>
      <c r="C1097" s="2" t="s">
        <v>63</v>
      </c>
      <c r="D1097" s="2" t="s">
        <v>1237</v>
      </c>
      <c r="E1097" s="7">
        <v>113.21</v>
      </c>
      <c r="F1097" s="2">
        <v>5</v>
      </c>
      <c r="G1097" s="7">
        <v>353.29</v>
      </c>
      <c r="H1097" s="2" t="s">
        <v>535</v>
      </c>
      <c r="I1097" s="2" t="s">
        <v>15</v>
      </c>
      <c r="J1097" s="2" t="s">
        <v>30</v>
      </c>
      <c r="K1097" s="2" t="s">
        <v>17</v>
      </c>
      <c r="L1097" s="7">
        <f>Table3[[#This Row],[Revenue]]-Table3[[#This Row],[Ad Spend]]</f>
        <v>240.08000000000004</v>
      </c>
      <c r="M1097" s="11">
        <v>117.99</v>
      </c>
    </row>
    <row r="1098" spans="1:13" ht="15.75" customHeight="1" x14ac:dyDescent="0.3">
      <c r="A1098" s="4" t="s">
        <v>459</v>
      </c>
      <c r="B1098">
        <f t="shared" si="17"/>
        <v>4</v>
      </c>
      <c r="C1098" s="2" t="s">
        <v>63</v>
      </c>
      <c r="D1098" s="2" t="s">
        <v>262</v>
      </c>
      <c r="E1098" s="7">
        <v>92.07</v>
      </c>
      <c r="F1098" s="2">
        <v>3</v>
      </c>
      <c r="G1098" s="7">
        <v>177.57</v>
      </c>
      <c r="H1098" s="2" t="s">
        <v>61</v>
      </c>
      <c r="I1098" s="2" t="s">
        <v>35</v>
      </c>
      <c r="J1098" s="2" t="s">
        <v>36</v>
      </c>
      <c r="K1098" s="2" t="s">
        <v>17</v>
      </c>
      <c r="L1098" s="7">
        <f>Table3[[#This Row],[Revenue]]-Table3[[#This Row],[Ad Spend]]</f>
        <v>85.5</v>
      </c>
      <c r="M1098" s="11">
        <v>134.41</v>
      </c>
    </row>
    <row r="1099" spans="1:13" ht="15.75" customHeight="1" x14ac:dyDescent="0.3">
      <c r="A1099" s="4" t="s">
        <v>26</v>
      </c>
      <c r="B1099">
        <f t="shared" si="17"/>
        <v>12</v>
      </c>
      <c r="C1099" s="2" t="s">
        <v>32</v>
      </c>
      <c r="D1099" s="2" t="s">
        <v>1124</v>
      </c>
      <c r="E1099" s="7">
        <v>85.49</v>
      </c>
      <c r="F1099" s="2">
        <v>8</v>
      </c>
      <c r="G1099" s="7">
        <v>427.84</v>
      </c>
      <c r="H1099" s="2" t="s">
        <v>973</v>
      </c>
      <c r="I1099" s="2" t="s">
        <v>35</v>
      </c>
      <c r="J1099" s="2" t="s">
        <v>30</v>
      </c>
      <c r="K1099" s="2" t="s">
        <v>17</v>
      </c>
      <c r="L1099" s="7">
        <f>Table3[[#This Row],[Revenue]]-Table3[[#This Row],[Ad Spend]]</f>
        <v>342.34999999999997</v>
      </c>
      <c r="M1099" s="11">
        <v>163.92</v>
      </c>
    </row>
    <row r="1100" spans="1:13" ht="15.75" customHeight="1" x14ac:dyDescent="0.3">
      <c r="A1100" s="4" t="s">
        <v>428</v>
      </c>
      <c r="B1100">
        <f t="shared" si="17"/>
        <v>3</v>
      </c>
      <c r="C1100" s="2" t="s">
        <v>32</v>
      </c>
      <c r="D1100" s="2" t="s">
        <v>221</v>
      </c>
      <c r="E1100" s="7">
        <v>27.41</v>
      </c>
      <c r="F1100" s="2">
        <v>9</v>
      </c>
      <c r="G1100" s="7">
        <v>91.19</v>
      </c>
      <c r="H1100" s="2" t="s">
        <v>427</v>
      </c>
      <c r="I1100" s="2" t="s">
        <v>15</v>
      </c>
      <c r="J1100" s="2" t="s">
        <v>30</v>
      </c>
      <c r="K1100" s="2" t="s">
        <v>17</v>
      </c>
      <c r="L1100" s="7">
        <f>Table3[[#This Row],[Revenue]]-Table3[[#This Row],[Ad Spend]]</f>
        <v>63.78</v>
      </c>
      <c r="M1100" s="11">
        <v>130.30000000000001</v>
      </c>
    </row>
    <row r="1101" spans="1:13" ht="15.75" customHeight="1" x14ac:dyDescent="0.3">
      <c r="A1101" s="4" t="s">
        <v>105</v>
      </c>
      <c r="B1101">
        <f t="shared" si="17"/>
        <v>1</v>
      </c>
      <c r="C1101" s="2" t="s">
        <v>19</v>
      </c>
      <c r="D1101" s="2" t="s">
        <v>329</v>
      </c>
      <c r="E1101" s="7">
        <v>81.97</v>
      </c>
      <c r="F1101" s="2">
        <v>8</v>
      </c>
      <c r="G1101" s="7">
        <v>38.28</v>
      </c>
      <c r="H1101" s="2" t="s">
        <v>1238</v>
      </c>
      <c r="I1101" s="2" t="s">
        <v>29</v>
      </c>
      <c r="J1101" s="2" t="s">
        <v>25</v>
      </c>
      <c r="K1101" s="2" t="s">
        <v>17</v>
      </c>
      <c r="L1101" s="7">
        <f>Table3[[#This Row],[Revenue]]-Table3[[#This Row],[Ad Spend]]</f>
        <v>-43.69</v>
      </c>
      <c r="M1101" s="11">
        <v>33.659999999999997</v>
      </c>
    </row>
    <row r="1102" spans="1:13" ht="15.75" customHeight="1" x14ac:dyDescent="0.3">
      <c r="A1102" s="4" t="s">
        <v>287</v>
      </c>
      <c r="B1102">
        <f t="shared" si="17"/>
        <v>2</v>
      </c>
      <c r="C1102" s="2" t="s">
        <v>12</v>
      </c>
      <c r="D1102" s="2" t="s">
        <v>1239</v>
      </c>
      <c r="E1102" s="7">
        <v>32.549999999999997</v>
      </c>
      <c r="F1102" s="2">
        <v>6</v>
      </c>
      <c r="G1102" s="7">
        <v>79.7</v>
      </c>
      <c r="H1102" s="2" t="s">
        <v>213</v>
      </c>
      <c r="I1102" s="2" t="s">
        <v>29</v>
      </c>
      <c r="J1102" s="2" t="s">
        <v>53</v>
      </c>
      <c r="K1102" s="2" t="s">
        <v>17</v>
      </c>
      <c r="L1102" s="7">
        <f>Table3[[#This Row],[Revenue]]-Table3[[#This Row],[Ad Spend]]</f>
        <v>47.150000000000006</v>
      </c>
      <c r="M1102" s="11">
        <v>110.47</v>
      </c>
    </row>
    <row r="1103" spans="1:13" ht="15.75" customHeight="1" x14ac:dyDescent="0.3">
      <c r="A1103" s="4" t="s">
        <v>322</v>
      </c>
      <c r="B1103">
        <f t="shared" si="17"/>
        <v>11</v>
      </c>
      <c r="C1103" s="2" t="s">
        <v>12</v>
      </c>
      <c r="D1103" s="2" t="s">
        <v>959</v>
      </c>
      <c r="E1103" s="7">
        <v>103.96</v>
      </c>
      <c r="F1103" s="2">
        <v>8</v>
      </c>
      <c r="G1103" s="7">
        <v>303.7</v>
      </c>
      <c r="H1103" s="2" t="s">
        <v>1150</v>
      </c>
      <c r="I1103" s="2" t="s">
        <v>29</v>
      </c>
      <c r="J1103" s="2" t="s">
        <v>53</v>
      </c>
      <c r="K1103" s="2" t="s">
        <v>17</v>
      </c>
      <c r="L1103" s="7">
        <f>Table3[[#This Row],[Revenue]]-Table3[[#This Row],[Ad Spend]]</f>
        <v>199.74</v>
      </c>
      <c r="M1103" s="11">
        <v>123.2</v>
      </c>
    </row>
    <row r="1104" spans="1:13" ht="15.75" customHeight="1" x14ac:dyDescent="0.3">
      <c r="A1104" s="4" t="s">
        <v>136</v>
      </c>
      <c r="B1104">
        <f t="shared" si="17"/>
        <v>2</v>
      </c>
      <c r="C1104" s="2" t="s">
        <v>63</v>
      </c>
      <c r="D1104" s="2" t="s">
        <v>671</v>
      </c>
      <c r="E1104" s="7">
        <v>77.73</v>
      </c>
      <c r="F1104" s="2">
        <v>4</v>
      </c>
      <c r="G1104" s="7">
        <v>435.41</v>
      </c>
      <c r="H1104" s="2" t="s">
        <v>14</v>
      </c>
      <c r="I1104" s="2" t="s">
        <v>29</v>
      </c>
      <c r="J1104" s="2" t="s">
        <v>87</v>
      </c>
      <c r="K1104" s="2" t="s">
        <v>17</v>
      </c>
      <c r="L1104" s="7">
        <f>Table3[[#This Row],[Revenue]]-Table3[[#This Row],[Ad Spend]]</f>
        <v>357.68</v>
      </c>
      <c r="M1104" s="11">
        <v>122.45</v>
      </c>
    </row>
    <row r="1105" spans="1:13" ht="15.75" customHeight="1" x14ac:dyDescent="0.3">
      <c r="A1105" s="4" t="s">
        <v>365</v>
      </c>
      <c r="B1105">
        <f t="shared" si="17"/>
        <v>11</v>
      </c>
      <c r="C1105" s="2" t="s">
        <v>32</v>
      </c>
      <c r="D1105" s="2" t="s">
        <v>1182</v>
      </c>
      <c r="E1105" s="7">
        <v>137.25</v>
      </c>
      <c r="F1105" s="2">
        <v>5</v>
      </c>
      <c r="G1105" s="7">
        <v>302.08999999999997</v>
      </c>
      <c r="H1105" s="2" t="s">
        <v>374</v>
      </c>
      <c r="I1105" s="2" t="s">
        <v>29</v>
      </c>
      <c r="J1105" s="2" t="s">
        <v>30</v>
      </c>
      <c r="K1105" s="2" t="s">
        <v>17</v>
      </c>
      <c r="L1105" s="7">
        <f>Table3[[#This Row],[Revenue]]-Table3[[#This Row],[Ad Spend]]</f>
        <v>164.83999999999997</v>
      </c>
      <c r="M1105" s="11">
        <v>126.48</v>
      </c>
    </row>
    <row r="1106" spans="1:13" ht="15.75" customHeight="1" x14ac:dyDescent="0.3">
      <c r="A1106" s="4" t="s">
        <v>499</v>
      </c>
      <c r="B1106">
        <f t="shared" si="17"/>
        <v>4</v>
      </c>
      <c r="C1106" s="2" t="s">
        <v>12</v>
      </c>
      <c r="D1106" s="2" t="s">
        <v>1240</v>
      </c>
      <c r="E1106" s="7">
        <v>77.39</v>
      </c>
      <c r="F1106" s="2">
        <v>4</v>
      </c>
      <c r="G1106" s="7">
        <v>327.69</v>
      </c>
      <c r="H1106" s="2" t="s">
        <v>180</v>
      </c>
      <c r="I1106" s="2" t="s">
        <v>29</v>
      </c>
      <c r="J1106" s="2" t="s">
        <v>36</v>
      </c>
      <c r="K1106" s="2" t="s">
        <v>17</v>
      </c>
      <c r="L1106" s="7">
        <f>Table3[[#This Row],[Revenue]]-Table3[[#This Row],[Ad Spend]]</f>
        <v>250.3</v>
      </c>
      <c r="M1106" s="11">
        <v>131.55000000000001</v>
      </c>
    </row>
    <row r="1107" spans="1:13" ht="15.75" customHeight="1" x14ac:dyDescent="0.3">
      <c r="A1107" s="4" t="s">
        <v>164</v>
      </c>
      <c r="B1107">
        <f t="shared" si="17"/>
        <v>2</v>
      </c>
      <c r="C1107" s="2" t="s">
        <v>63</v>
      </c>
      <c r="D1107" s="2" t="s">
        <v>1241</v>
      </c>
      <c r="E1107" s="7">
        <v>136.22</v>
      </c>
      <c r="F1107" s="2">
        <v>5</v>
      </c>
      <c r="G1107" s="7">
        <v>216.17</v>
      </c>
      <c r="H1107" s="2" t="s">
        <v>42</v>
      </c>
      <c r="I1107" s="2" t="s">
        <v>35</v>
      </c>
      <c r="J1107" s="2" t="s">
        <v>53</v>
      </c>
      <c r="K1107" s="2" t="s">
        <v>17</v>
      </c>
      <c r="L1107" s="7">
        <f>Table3[[#This Row],[Revenue]]-Table3[[#This Row],[Ad Spend]]</f>
        <v>79.949999999999989</v>
      </c>
      <c r="M1107" s="11">
        <v>112.02</v>
      </c>
    </row>
    <row r="1108" spans="1:13" ht="15.75" customHeight="1" x14ac:dyDescent="0.3">
      <c r="A1108" s="4" t="s">
        <v>214</v>
      </c>
      <c r="B1108">
        <f t="shared" si="17"/>
        <v>3</v>
      </c>
      <c r="C1108" s="2" t="s">
        <v>63</v>
      </c>
      <c r="D1108" s="2" t="s">
        <v>1242</v>
      </c>
      <c r="E1108" s="7">
        <v>40.18</v>
      </c>
      <c r="F1108" s="2">
        <v>6</v>
      </c>
      <c r="G1108" s="7">
        <v>318.01</v>
      </c>
      <c r="H1108" s="2" t="s">
        <v>81</v>
      </c>
      <c r="I1108" s="2" t="s">
        <v>29</v>
      </c>
      <c r="J1108" s="2" t="s">
        <v>25</v>
      </c>
      <c r="K1108" s="2" t="s">
        <v>17</v>
      </c>
      <c r="L1108" s="7">
        <f>Table3[[#This Row],[Revenue]]-Table3[[#This Row],[Ad Spend]]</f>
        <v>277.83</v>
      </c>
      <c r="M1108" s="11">
        <v>133.22</v>
      </c>
    </row>
    <row r="1109" spans="1:13" ht="15.75" customHeight="1" x14ac:dyDescent="0.3">
      <c r="A1109" s="4" t="s">
        <v>340</v>
      </c>
      <c r="B1109">
        <f t="shared" si="17"/>
        <v>11</v>
      </c>
      <c r="C1109" s="2" t="s">
        <v>63</v>
      </c>
      <c r="D1109" s="2" t="s">
        <v>15</v>
      </c>
      <c r="E1109" s="7">
        <v>122.42</v>
      </c>
      <c r="F1109" s="2">
        <v>9</v>
      </c>
      <c r="G1109" s="7">
        <v>229.93</v>
      </c>
      <c r="H1109" s="2" t="s">
        <v>722</v>
      </c>
      <c r="I1109" s="2" t="s">
        <v>29</v>
      </c>
      <c r="J1109" s="2" t="s">
        <v>25</v>
      </c>
      <c r="K1109" s="2" t="s">
        <v>17</v>
      </c>
      <c r="L1109" s="7">
        <f>Table3[[#This Row],[Revenue]]-Table3[[#This Row],[Ad Spend]]</f>
        <v>107.51</v>
      </c>
      <c r="M1109" s="11">
        <v>123.51</v>
      </c>
    </row>
    <row r="1110" spans="1:13" ht="15.75" customHeight="1" x14ac:dyDescent="0.3">
      <c r="A1110" s="4" t="s">
        <v>335</v>
      </c>
      <c r="B1110">
        <f t="shared" si="17"/>
        <v>11</v>
      </c>
      <c r="C1110" s="2" t="s">
        <v>12</v>
      </c>
      <c r="D1110" s="2" t="s">
        <v>64</v>
      </c>
      <c r="E1110" s="7">
        <v>119.79</v>
      </c>
      <c r="F1110" s="2">
        <v>10</v>
      </c>
      <c r="G1110" s="7">
        <v>196.19</v>
      </c>
      <c r="H1110" s="2" t="s">
        <v>372</v>
      </c>
      <c r="I1110" s="2" t="s">
        <v>15</v>
      </c>
      <c r="J1110" s="2" t="s">
        <v>30</v>
      </c>
      <c r="K1110" s="2" t="s">
        <v>17</v>
      </c>
      <c r="L1110" s="7">
        <f>Table3[[#This Row],[Revenue]]-Table3[[#This Row],[Ad Spend]]</f>
        <v>76.399999999999991</v>
      </c>
      <c r="M1110" s="11">
        <v>114.96</v>
      </c>
    </row>
    <row r="1111" spans="1:13" ht="15.75" customHeight="1" x14ac:dyDescent="0.3">
      <c r="A1111" s="4" t="s">
        <v>205</v>
      </c>
      <c r="B1111">
        <f t="shared" si="17"/>
        <v>2</v>
      </c>
      <c r="C1111" s="2" t="s">
        <v>19</v>
      </c>
      <c r="D1111" s="2" t="s">
        <v>1083</v>
      </c>
      <c r="E1111" s="7">
        <v>44.99</v>
      </c>
      <c r="F1111" s="2">
        <v>7</v>
      </c>
      <c r="G1111" s="7">
        <v>202.1</v>
      </c>
      <c r="H1111" s="2" t="s">
        <v>395</v>
      </c>
      <c r="I1111" s="2" t="s">
        <v>15</v>
      </c>
      <c r="J1111" s="2" t="s">
        <v>25</v>
      </c>
      <c r="K1111" s="2" t="s">
        <v>17</v>
      </c>
      <c r="L1111" s="7">
        <f>Table3[[#This Row],[Revenue]]-Table3[[#This Row],[Ad Spend]]</f>
        <v>157.10999999999999</v>
      </c>
      <c r="M1111" s="11">
        <v>156.1</v>
      </c>
    </row>
    <row r="1112" spans="1:13" ht="15.75" customHeight="1" x14ac:dyDescent="0.3">
      <c r="A1112" s="4" t="s">
        <v>483</v>
      </c>
      <c r="B1112">
        <f t="shared" si="17"/>
        <v>4</v>
      </c>
      <c r="C1112" s="2" t="s">
        <v>32</v>
      </c>
      <c r="D1112" s="2" t="s">
        <v>746</v>
      </c>
      <c r="E1112" s="7">
        <v>16.47</v>
      </c>
      <c r="F1112" s="2">
        <v>0</v>
      </c>
      <c r="G1112" s="7">
        <v>191.08</v>
      </c>
      <c r="H1112" s="2" t="s">
        <v>225</v>
      </c>
      <c r="I1112" s="2" t="s">
        <v>29</v>
      </c>
      <c r="J1112" s="2" t="s">
        <v>16</v>
      </c>
      <c r="K1112" s="2" t="s">
        <v>46</v>
      </c>
      <c r="L1112" s="7">
        <f>Table3[[#This Row],[Revenue]]-Table3[[#This Row],[Ad Spend]]</f>
        <v>174.61</v>
      </c>
      <c r="M1112" s="11">
        <v>126.95</v>
      </c>
    </row>
    <row r="1113" spans="1:13" ht="15.75" customHeight="1" x14ac:dyDescent="0.3">
      <c r="A1113" s="4" t="s">
        <v>383</v>
      </c>
      <c r="B1113">
        <f t="shared" si="17"/>
        <v>12</v>
      </c>
      <c r="C1113" s="2" t="s">
        <v>12</v>
      </c>
      <c r="D1113" s="2" t="s">
        <v>1220</v>
      </c>
      <c r="E1113" s="7">
        <v>108.76</v>
      </c>
      <c r="F1113" s="2">
        <v>3</v>
      </c>
      <c r="G1113" s="7">
        <v>38.82</v>
      </c>
      <c r="H1113" s="2" t="s">
        <v>1243</v>
      </c>
      <c r="I1113" s="2" t="s">
        <v>15</v>
      </c>
      <c r="J1113" s="2" t="s">
        <v>87</v>
      </c>
      <c r="K1113" s="2" t="s">
        <v>17</v>
      </c>
      <c r="L1113" s="7">
        <f>Table3[[#This Row],[Revenue]]-Table3[[#This Row],[Ad Spend]]</f>
        <v>-69.94</v>
      </c>
      <c r="M1113" s="11">
        <v>110.97</v>
      </c>
    </row>
    <row r="1114" spans="1:13" ht="15.75" customHeight="1" x14ac:dyDescent="0.3">
      <c r="A1114" s="4" t="s">
        <v>31</v>
      </c>
      <c r="B1114">
        <f t="shared" si="17"/>
        <v>1</v>
      </c>
      <c r="C1114" s="2" t="s">
        <v>32</v>
      </c>
      <c r="D1114" s="2" t="s">
        <v>1050</v>
      </c>
      <c r="E1114" s="7">
        <v>20.420000000000002</v>
      </c>
      <c r="F1114" s="2">
        <v>2</v>
      </c>
      <c r="G1114" s="7">
        <v>141.01</v>
      </c>
      <c r="H1114" s="2" t="s">
        <v>861</v>
      </c>
      <c r="I1114" s="2" t="s">
        <v>15</v>
      </c>
      <c r="J1114" s="2" t="s">
        <v>36</v>
      </c>
      <c r="K1114" s="2" t="s">
        <v>17</v>
      </c>
      <c r="L1114" s="7">
        <f>Table3[[#This Row],[Revenue]]-Table3[[#This Row],[Ad Spend]]</f>
        <v>120.58999999999999</v>
      </c>
      <c r="M1114" s="11">
        <v>123.52</v>
      </c>
    </row>
    <row r="1115" spans="1:13" ht="15.75" customHeight="1" x14ac:dyDescent="0.3">
      <c r="A1115" s="4" t="s">
        <v>522</v>
      </c>
      <c r="B1115">
        <f t="shared" si="17"/>
        <v>1</v>
      </c>
      <c r="C1115" s="2" t="s">
        <v>32</v>
      </c>
      <c r="D1115" s="2" t="s">
        <v>1228</v>
      </c>
      <c r="E1115" s="7">
        <v>55.54</v>
      </c>
      <c r="F1115" s="2">
        <v>2</v>
      </c>
      <c r="G1115" s="7">
        <v>486.28</v>
      </c>
      <c r="H1115" s="2" t="s">
        <v>514</v>
      </c>
      <c r="I1115" s="2" t="s">
        <v>35</v>
      </c>
      <c r="J1115" s="2" t="s">
        <v>30</v>
      </c>
      <c r="K1115" s="2" t="s">
        <v>17</v>
      </c>
      <c r="L1115" s="7">
        <f>Table3[[#This Row],[Revenue]]-Table3[[#This Row],[Ad Spend]]</f>
        <v>430.73999999999995</v>
      </c>
      <c r="M1115" s="11">
        <v>187.63</v>
      </c>
    </row>
    <row r="1116" spans="1:13" ht="15.75" customHeight="1" x14ac:dyDescent="0.3">
      <c r="A1116" s="4" t="s">
        <v>589</v>
      </c>
      <c r="B1116">
        <f t="shared" si="17"/>
        <v>12</v>
      </c>
      <c r="C1116" s="2" t="s">
        <v>12</v>
      </c>
      <c r="D1116" s="2" t="s">
        <v>1244</v>
      </c>
      <c r="E1116" s="7">
        <v>74.08</v>
      </c>
      <c r="F1116" s="2">
        <v>2</v>
      </c>
      <c r="G1116" s="7">
        <v>435.96</v>
      </c>
      <c r="H1116" s="2" t="s">
        <v>467</v>
      </c>
      <c r="I1116" s="2" t="s">
        <v>35</v>
      </c>
      <c r="J1116" s="2" t="s">
        <v>16</v>
      </c>
      <c r="K1116" s="2" t="s">
        <v>17</v>
      </c>
      <c r="L1116" s="7">
        <f>Table3[[#This Row],[Revenue]]-Table3[[#This Row],[Ad Spend]]</f>
        <v>361.88</v>
      </c>
      <c r="M1116" s="11">
        <v>140.94</v>
      </c>
    </row>
    <row r="1117" spans="1:13" ht="15.75" customHeight="1" x14ac:dyDescent="0.3">
      <c r="A1117" s="4" t="s">
        <v>834</v>
      </c>
      <c r="B1117">
        <f t="shared" si="17"/>
        <v>11</v>
      </c>
      <c r="C1117" s="2" t="s">
        <v>12</v>
      </c>
      <c r="D1117" s="2" t="s">
        <v>1225</v>
      </c>
      <c r="E1117" s="7">
        <v>74.58</v>
      </c>
      <c r="F1117" s="2">
        <v>0</v>
      </c>
      <c r="G1117" s="7">
        <v>146.4</v>
      </c>
      <c r="H1117" s="2" t="s">
        <v>112</v>
      </c>
      <c r="I1117" s="2" t="s">
        <v>29</v>
      </c>
      <c r="J1117" s="2" t="s">
        <v>53</v>
      </c>
      <c r="K1117" s="2" t="s">
        <v>46</v>
      </c>
      <c r="L1117" s="7">
        <f>Table3[[#This Row],[Revenue]]-Table3[[#This Row],[Ad Spend]]</f>
        <v>71.820000000000007</v>
      </c>
      <c r="M1117" s="11">
        <v>117.96</v>
      </c>
    </row>
    <row r="1118" spans="1:13" ht="15.75" customHeight="1" x14ac:dyDescent="0.3">
      <c r="A1118" s="4" t="s">
        <v>110</v>
      </c>
      <c r="B1118">
        <f t="shared" si="17"/>
        <v>4</v>
      </c>
      <c r="C1118" s="2" t="s">
        <v>19</v>
      </c>
      <c r="D1118" s="2" t="s">
        <v>224</v>
      </c>
      <c r="E1118" s="7">
        <v>68.86</v>
      </c>
      <c r="F1118" s="2">
        <v>1</v>
      </c>
      <c r="G1118" s="7">
        <v>123.91</v>
      </c>
      <c r="H1118" s="2" t="s">
        <v>24</v>
      </c>
      <c r="I1118" s="2" t="s">
        <v>35</v>
      </c>
      <c r="J1118" s="2" t="s">
        <v>30</v>
      </c>
      <c r="K1118" s="2" t="s">
        <v>17</v>
      </c>
      <c r="L1118" s="7">
        <f>Table3[[#This Row],[Revenue]]-Table3[[#This Row],[Ad Spend]]</f>
        <v>55.05</v>
      </c>
      <c r="M1118" s="11">
        <v>147.91</v>
      </c>
    </row>
    <row r="1119" spans="1:13" ht="15.75" customHeight="1" x14ac:dyDescent="0.3">
      <c r="A1119" s="4" t="s">
        <v>37</v>
      </c>
      <c r="B1119">
        <f t="shared" si="17"/>
        <v>12</v>
      </c>
      <c r="C1119" s="2" t="s">
        <v>63</v>
      </c>
      <c r="D1119" s="2" t="s">
        <v>1047</v>
      </c>
      <c r="E1119" s="7">
        <v>138.56</v>
      </c>
      <c r="F1119" s="2">
        <v>7</v>
      </c>
      <c r="G1119" s="7">
        <v>76.2</v>
      </c>
      <c r="H1119" s="2" t="s">
        <v>625</v>
      </c>
      <c r="I1119" s="2" t="s">
        <v>29</v>
      </c>
      <c r="J1119" s="2" t="s">
        <v>87</v>
      </c>
      <c r="K1119" s="2" t="s">
        <v>17</v>
      </c>
      <c r="L1119" s="7">
        <f>Table3[[#This Row],[Revenue]]-Table3[[#This Row],[Ad Spend]]</f>
        <v>-62.36</v>
      </c>
      <c r="M1119" s="11">
        <v>106.89</v>
      </c>
    </row>
    <row r="1120" spans="1:13" ht="15.75" customHeight="1" x14ac:dyDescent="0.3">
      <c r="A1120" s="4" t="s">
        <v>673</v>
      </c>
      <c r="B1120">
        <f t="shared" si="17"/>
        <v>12</v>
      </c>
      <c r="C1120" s="2" t="s">
        <v>63</v>
      </c>
      <c r="D1120" s="2" t="s">
        <v>1245</v>
      </c>
      <c r="E1120" s="7">
        <v>146.59</v>
      </c>
      <c r="F1120" s="2">
        <v>2</v>
      </c>
      <c r="G1120" s="7">
        <v>437.35</v>
      </c>
      <c r="H1120" s="2" t="s">
        <v>372</v>
      </c>
      <c r="I1120" s="2" t="s">
        <v>15</v>
      </c>
      <c r="J1120" s="2" t="s">
        <v>25</v>
      </c>
      <c r="K1120" s="2" t="s">
        <v>17</v>
      </c>
      <c r="L1120" s="7">
        <f>Table3[[#This Row],[Revenue]]-Table3[[#This Row],[Ad Spend]]</f>
        <v>290.76</v>
      </c>
      <c r="M1120" s="11">
        <v>115.32</v>
      </c>
    </row>
    <row r="1121" spans="1:13" ht="15.75" customHeight="1" x14ac:dyDescent="0.3">
      <c r="A1121" s="4" t="s">
        <v>409</v>
      </c>
      <c r="B1121">
        <f t="shared" si="17"/>
        <v>11</v>
      </c>
      <c r="C1121" s="2" t="s">
        <v>19</v>
      </c>
      <c r="D1121" s="2" t="s">
        <v>1246</v>
      </c>
      <c r="E1121" s="7">
        <v>118.43</v>
      </c>
      <c r="F1121" s="2">
        <v>7</v>
      </c>
      <c r="G1121" s="7">
        <v>447.69</v>
      </c>
      <c r="H1121" s="2" t="s">
        <v>667</v>
      </c>
      <c r="I1121" s="2" t="s">
        <v>29</v>
      </c>
      <c r="J1121" s="2" t="s">
        <v>16</v>
      </c>
      <c r="K1121" s="2" t="s">
        <v>17</v>
      </c>
      <c r="L1121" s="7">
        <f>Table3[[#This Row],[Revenue]]-Table3[[#This Row],[Ad Spend]]</f>
        <v>329.26</v>
      </c>
      <c r="M1121" s="11">
        <v>162</v>
      </c>
    </row>
    <row r="1122" spans="1:13" ht="15.75" customHeight="1" x14ac:dyDescent="0.3">
      <c r="A1122" s="4" t="s">
        <v>47</v>
      </c>
      <c r="B1122">
        <f t="shared" si="17"/>
        <v>12</v>
      </c>
      <c r="C1122" s="2" t="s">
        <v>32</v>
      </c>
      <c r="D1122" s="2" t="s">
        <v>706</v>
      </c>
      <c r="E1122" s="7">
        <v>79.59</v>
      </c>
      <c r="F1122" s="2">
        <v>2</v>
      </c>
      <c r="G1122" s="7">
        <v>58.15</v>
      </c>
      <c r="H1122" s="2" t="s">
        <v>956</v>
      </c>
      <c r="I1122" s="2" t="s">
        <v>29</v>
      </c>
      <c r="J1122" s="2" t="s">
        <v>25</v>
      </c>
      <c r="K1122" s="2" t="s">
        <v>17</v>
      </c>
      <c r="L1122" s="7">
        <f>Table3[[#This Row],[Revenue]]-Table3[[#This Row],[Ad Spend]]</f>
        <v>-21.440000000000005</v>
      </c>
      <c r="M1122" s="11">
        <v>109.01</v>
      </c>
    </row>
    <row r="1123" spans="1:13" ht="15.75" customHeight="1" x14ac:dyDescent="0.3">
      <c r="A1123" s="4" t="s">
        <v>1061</v>
      </c>
      <c r="B1123">
        <f t="shared" si="17"/>
        <v>4</v>
      </c>
      <c r="C1123" s="2" t="s">
        <v>32</v>
      </c>
      <c r="D1123" s="2" t="s">
        <v>341</v>
      </c>
      <c r="E1123" s="7">
        <v>60.82</v>
      </c>
      <c r="F1123" s="2">
        <v>2</v>
      </c>
      <c r="G1123" s="7">
        <v>457.78</v>
      </c>
      <c r="H1123" s="2" t="s">
        <v>213</v>
      </c>
      <c r="I1123" s="2" t="s">
        <v>35</v>
      </c>
      <c r="J1123" s="2" t="s">
        <v>36</v>
      </c>
      <c r="K1123" s="2" t="s">
        <v>17</v>
      </c>
      <c r="L1123" s="7">
        <f>Table3[[#This Row],[Revenue]]-Table3[[#This Row],[Ad Spend]]</f>
        <v>396.96</v>
      </c>
      <c r="M1123" s="11">
        <v>120.64</v>
      </c>
    </row>
    <row r="1124" spans="1:13" ht="15.75" customHeight="1" x14ac:dyDescent="0.3">
      <c r="A1124" s="4" t="s">
        <v>233</v>
      </c>
      <c r="B1124">
        <f t="shared" si="17"/>
        <v>3</v>
      </c>
      <c r="C1124" s="2" t="s">
        <v>12</v>
      </c>
      <c r="D1124" s="2" t="s">
        <v>886</v>
      </c>
      <c r="E1124" s="7">
        <v>15.35</v>
      </c>
      <c r="F1124" s="2">
        <v>4</v>
      </c>
      <c r="G1124" s="7">
        <v>83.05</v>
      </c>
      <c r="H1124" s="2" t="s">
        <v>225</v>
      </c>
      <c r="I1124" s="2" t="s">
        <v>29</v>
      </c>
      <c r="J1124" s="2" t="s">
        <v>36</v>
      </c>
      <c r="K1124" s="2" t="s">
        <v>17</v>
      </c>
      <c r="L1124" s="7">
        <f>Table3[[#This Row],[Revenue]]-Table3[[#This Row],[Ad Spend]]</f>
        <v>67.7</v>
      </c>
      <c r="M1124" s="11">
        <v>121.42</v>
      </c>
    </row>
    <row r="1125" spans="1:13" ht="15.75" customHeight="1" x14ac:dyDescent="0.3">
      <c r="A1125" s="4" t="s">
        <v>172</v>
      </c>
      <c r="B1125">
        <f t="shared" si="17"/>
        <v>2</v>
      </c>
      <c r="C1125" s="2" t="s">
        <v>12</v>
      </c>
      <c r="D1125" s="2" t="s">
        <v>1210</v>
      </c>
      <c r="E1125" s="7">
        <v>100.56</v>
      </c>
      <c r="F1125" s="2">
        <v>9</v>
      </c>
      <c r="G1125" s="7">
        <v>195.86</v>
      </c>
      <c r="H1125" s="2" t="s">
        <v>1247</v>
      </c>
      <c r="I1125" s="2" t="s">
        <v>35</v>
      </c>
      <c r="J1125" s="2" t="s">
        <v>16</v>
      </c>
      <c r="K1125" s="2" t="s">
        <v>17</v>
      </c>
      <c r="L1125" s="7">
        <f>Table3[[#This Row],[Revenue]]-Table3[[#This Row],[Ad Spend]]</f>
        <v>95.300000000000011</v>
      </c>
      <c r="M1125" s="11">
        <v>145.84</v>
      </c>
    </row>
    <row r="1126" spans="1:13" ht="15.75" customHeight="1" x14ac:dyDescent="0.3">
      <c r="A1126" s="4" t="s">
        <v>159</v>
      </c>
      <c r="B1126">
        <f t="shared" si="17"/>
        <v>2</v>
      </c>
      <c r="C1126" s="2" t="s">
        <v>19</v>
      </c>
      <c r="D1126" s="2" t="s">
        <v>717</v>
      </c>
      <c r="E1126" s="7">
        <v>101.02</v>
      </c>
      <c r="F1126" s="2">
        <v>4</v>
      </c>
      <c r="G1126" s="7">
        <v>51.17</v>
      </c>
      <c r="H1126" s="2" t="s">
        <v>1102</v>
      </c>
      <c r="I1126" s="2" t="s">
        <v>15</v>
      </c>
      <c r="J1126" s="2" t="s">
        <v>53</v>
      </c>
      <c r="K1126" s="2" t="s">
        <v>17</v>
      </c>
      <c r="L1126" s="7">
        <f>Table3[[#This Row],[Revenue]]-Table3[[#This Row],[Ad Spend]]</f>
        <v>-49.849999999999994</v>
      </c>
      <c r="M1126" s="11">
        <v>100.19</v>
      </c>
    </row>
    <row r="1127" spans="1:13" ht="15.75" customHeight="1" x14ac:dyDescent="0.3">
      <c r="A1127" s="4" t="s">
        <v>136</v>
      </c>
      <c r="B1127">
        <f t="shared" si="17"/>
        <v>2</v>
      </c>
      <c r="C1127" s="2" t="s">
        <v>19</v>
      </c>
      <c r="D1127" s="2" t="s">
        <v>617</v>
      </c>
      <c r="E1127" s="7">
        <v>10.18</v>
      </c>
      <c r="F1127" s="2">
        <v>4</v>
      </c>
      <c r="G1127" s="7">
        <v>26.45</v>
      </c>
      <c r="H1127" s="2" t="s">
        <v>345</v>
      </c>
      <c r="I1127" s="2" t="s">
        <v>29</v>
      </c>
      <c r="J1127" s="2" t="s">
        <v>30</v>
      </c>
      <c r="K1127" s="2" t="s">
        <v>17</v>
      </c>
      <c r="L1127" s="7">
        <f>Table3[[#This Row],[Revenue]]-Table3[[#This Row],[Ad Spend]]</f>
        <v>16.27</v>
      </c>
      <c r="M1127" s="11">
        <v>80.8</v>
      </c>
    </row>
    <row r="1128" spans="1:13" ht="15.75" customHeight="1" x14ac:dyDescent="0.3">
      <c r="A1128" s="4" t="s">
        <v>504</v>
      </c>
      <c r="B1128">
        <f t="shared" si="17"/>
        <v>12</v>
      </c>
      <c r="C1128" s="2" t="s">
        <v>19</v>
      </c>
      <c r="D1128" s="2" t="s">
        <v>602</v>
      </c>
      <c r="E1128" s="7">
        <v>62.48</v>
      </c>
      <c r="F1128" s="2">
        <v>0</v>
      </c>
      <c r="G1128" s="7">
        <v>427.35</v>
      </c>
      <c r="H1128" s="2" t="s">
        <v>237</v>
      </c>
      <c r="I1128" s="2" t="s">
        <v>35</v>
      </c>
      <c r="J1128" s="2" t="s">
        <v>16</v>
      </c>
      <c r="K1128" s="2" t="s">
        <v>46</v>
      </c>
      <c r="L1128" s="7">
        <f>Table3[[#This Row],[Revenue]]-Table3[[#This Row],[Ad Spend]]</f>
        <v>364.87</v>
      </c>
      <c r="M1128" s="11">
        <v>143.35</v>
      </c>
    </row>
    <row r="1129" spans="1:13" ht="15.75" customHeight="1" x14ac:dyDescent="0.3">
      <c r="A1129" s="4" t="s">
        <v>47</v>
      </c>
      <c r="B1129">
        <f t="shared" si="17"/>
        <v>12</v>
      </c>
      <c r="C1129" s="2" t="s">
        <v>12</v>
      </c>
      <c r="D1129" s="2" t="s">
        <v>609</v>
      </c>
      <c r="E1129" s="7">
        <v>31.76</v>
      </c>
      <c r="F1129" s="2">
        <v>10</v>
      </c>
      <c r="G1129" s="7">
        <v>72.92</v>
      </c>
      <c r="H1129" s="2" t="s">
        <v>427</v>
      </c>
      <c r="I1129" s="2" t="s">
        <v>15</v>
      </c>
      <c r="J1129" s="2" t="s">
        <v>30</v>
      </c>
      <c r="K1129" s="2" t="s">
        <v>17</v>
      </c>
      <c r="L1129" s="7">
        <f>Table3[[#This Row],[Revenue]]-Table3[[#This Row],[Ad Spend]]</f>
        <v>41.16</v>
      </c>
      <c r="M1129" s="11">
        <v>132.03</v>
      </c>
    </row>
    <row r="1130" spans="1:13" ht="15.75" customHeight="1" x14ac:dyDescent="0.3">
      <c r="A1130" s="4" t="s">
        <v>673</v>
      </c>
      <c r="B1130">
        <f t="shared" si="17"/>
        <v>12</v>
      </c>
      <c r="C1130" s="2" t="s">
        <v>19</v>
      </c>
      <c r="D1130" s="2" t="s">
        <v>628</v>
      </c>
      <c r="E1130" s="7">
        <v>71.489999999999995</v>
      </c>
      <c r="F1130" s="2">
        <v>7</v>
      </c>
      <c r="G1130" s="7">
        <v>315.44</v>
      </c>
      <c r="H1130" s="2" t="s">
        <v>52</v>
      </c>
      <c r="I1130" s="2" t="s">
        <v>15</v>
      </c>
      <c r="J1130" s="2" t="s">
        <v>30</v>
      </c>
      <c r="K1130" s="2" t="s">
        <v>17</v>
      </c>
      <c r="L1130" s="7">
        <f>Table3[[#This Row],[Revenue]]-Table3[[#This Row],[Ad Spend]]</f>
        <v>243.95</v>
      </c>
      <c r="M1130" s="11">
        <v>118.18</v>
      </c>
    </row>
    <row r="1131" spans="1:13" ht="15.75" customHeight="1" x14ac:dyDescent="0.3">
      <c r="A1131" s="4" t="s">
        <v>368</v>
      </c>
      <c r="B1131">
        <f t="shared" si="17"/>
        <v>3</v>
      </c>
      <c r="C1131" s="2" t="s">
        <v>63</v>
      </c>
      <c r="D1131" s="2" t="s">
        <v>151</v>
      </c>
      <c r="E1131" s="7">
        <v>85.73</v>
      </c>
      <c r="F1131" s="2">
        <v>3</v>
      </c>
      <c r="G1131" s="7">
        <v>449.3</v>
      </c>
      <c r="H1131" s="2" t="s">
        <v>158</v>
      </c>
      <c r="I1131" s="2" t="s">
        <v>29</v>
      </c>
      <c r="J1131" s="2" t="s">
        <v>25</v>
      </c>
      <c r="K1131" s="2" t="s">
        <v>17</v>
      </c>
      <c r="L1131" s="7">
        <f>Table3[[#This Row],[Revenue]]-Table3[[#This Row],[Ad Spend]]</f>
        <v>363.57</v>
      </c>
      <c r="M1131" s="11">
        <v>117.03</v>
      </c>
    </row>
    <row r="1132" spans="1:13" ht="15.75" customHeight="1" x14ac:dyDescent="0.3">
      <c r="A1132" s="4" t="s">
        <v>115</v>
      </c>
      <c r="B1132">
        <f t="shared" si="17"/>
        <v>2</v>
      </c>
      <c r="C1132" s="2" t="s">
        <v>32</v>
      </c>
      <c r="D1132" s="2" t="s">
        <v>341</v>
      </c>
      <c r="E1132" s="7">
        <v>148.69999999999999</v>
      </c>
      <c r="F1132" s="2">
        <v>7</v>
      </c>
      <c r="G1132" s="7">
        <v>441.31</v>
      </c>
      <c r="H1132" s="2" t="s">
        <v>1248</v>
      </c>
      <c r="I1132" s="2" t="s">
        <v>35</v>
      </c>
      <c r="J1132" s="2" t="s">
        <v>16</v>
      </c>
      <c r="K1132" s="2" t="s">
        <v>17</v>
      </c>
      <c r="L1132" s="7">
        <f>Table3[[#This Row],[Revenue]]-Table3[[#This Row],[Ad Spend]]</f>
        <v>292.61</v>
      </c>
      <c r="M1132" s="11">
        <v>194.44</v>
      </c>
    </row>
    <row r="1133" spans="1:13" ht="15.75" customHeight="1" x14ac:dyDescent="0.3">
      <c r="A1133" s="4" t="s">
        <v>387</v>
      </c>
      <c r="B1133">
        <f t="shared" si="17"/>
        <v>2</v>
      </c>
      <c r="C1133" s="2" t="s">
        <v>19</v>
      </c>
      <c r="D1133" s="2" t="s">
        <v>882</v>
      </c>
      <c r="E1133" s="7">
        <v>64.58</v>
      </c>
      <c r="F1133" s="2">
        <v>8</v>
      </c>
      <c r="G1133" s="7">
        <v>82.53</v>
      </c>
      <c r="H1133" s="2" t="s">
        <v>264</v>
      </c>
      <c r="I1133" s="2" t="s">
        <v>15</v>
      </c>
      <c r="J1133" s="2" t="s">
        <v>53</v>
      </c>
      <c r="K1133" s="2" t="s">
        <v>17</v>
      </c>
      <c r="L1133" s="7">
        <f>Table3[[#This Row],[Revenue]]-Table3[[#This Row],[Ad Spend]]</f>
        <v>17.950000000000003</v>
      </c>
      <c r="M1133" s="11">
        <v>119.84</v>
      </c>
    </row>
    <row r="1134" spans="1:13" ht="15.75" customHeight="1" x14ac:dyDescent="0.3">
      <c r="A1134" s="4" t="s">
        <v>579</v>
      </c>
      <c r="B1134">
        <f t="shared" si="17"/>
        <v>1</v>
      </c>
      <c r="C1134" s="2" t="s">
        <v>12</v>
      </c>
      <c r="D1134" s="2" t="s">
        <v>1249</v>
      </c>
      <c r="E1134" s="7">
        <v>58.26</v>
      </c>
      <c r="F1134" s="2">
        <v>7</v>
      </c>
      <c r="G1134" s="7">
        <v>101.24</v>
      </c>
      <c r="H1134" s="2" t="s">
        <v>147</v>
      </c>
      <c r="I1134" s="2" t="s">
        <v>15</v>
      </c>
      <c r="J1134" s="2" t="s">
        <v>30</v>
      </c>
      <c r="K1134" s="2" t="s">
        <v>17</v>
      </c>
      <c r="L1134" s="7">
        <f>Table3[[#This Row],[Revenue]]-Table3[[#This Row],[Ad Spend]]</f>
        <v>42.98</v>
      </c>
      <c r="M1134" s="11">
        <v>138.62</v>
      </c>
    </row>
    <row r="1135" spans="1:13" ht="15.75" customHeight="1" x14ac:dyDescent="0.3">
      <c r="A1135" s="4" t="s">
        <v>623</v>
      </c>
      <c r="B1135">
        <f t="shared" si="17"/>
        <v>1</v>
      </c>
      <c r="C1135" s="2" t="s">
        <v>63</v>
      </c>
      <c r="D1135" s="2" t="s">
        <v>1124</v>
      </c>
      <c r="E1135" s="7">
        <v>113.14</v>
      </c>
      <c r="F1135" s="2">
        <v>0</v>
      </c>
      <c r="G1135" s="7">
        <v>38.549999999999997</v>
      </c>
      <c r="H1135" s="2" t="s">
        <v>161</v>
      </c>
      <c r="I1135" s="2" t="s">
        <v>35</v>
      </c>
      <c r="J1135" s="2" t="s">
        <v>16</v>
      </c>
      <c r="K1135" s="2" t="s">
        <v>46</v>
      </c>
      <c r="L1135" s="7">
        <f>Table3[[#This Row],[Revenue]]-Table3[[#This Row],[Ad Spend]]</f>
        <v>-74.59</v>
      </c>
      <c r="M1135" s="11">
        <v>122.91</v>
      </c>
    </row>
    <row r="1136" spans="1:13" ht="15.75" customHeight="1" x14ac:dyDescent="0.3">
      <c r="A1136" s="4" t="s">
        <v>428</v>
      </c>
      <c r="B1136">
        <f t="shared" si="17"/>
        <v>3</v>
      </c>
      <c r="C1136" s="2" t="s">
        <v>63</v>
      </c>
      <c r="D1136" s="2" t="s">
        <v>245</v>
      </c>
      <c r="E1136" s="7">
        <v>149.62</v>
      </c>
      <c r="F1136" s="2">
        <v>1</v>
      </c>
      <c r="G1136" s="7">
        <v>61.63</v>
      </c>
      <c r="H1136" s="2" t="s">
        <v>101</v>
      </c>
      <c r="I1136" s="2" t="s">
        <v>15</v>
      </c>
      <c r="J1136" s="2" t="s">
        <v>36</v>
      </c>
      <c r="K1136" s="2" t="s">
        <v>17</v>
      </c>
      <c r="L1136" s="7">
        <f>Table3[[#This Row],[Revenue]]-Table3[[#This Row],[Ad Spend]]</f>
        <v>-87.990000000000009</v>
      </c>
      <c r="M1136" s="11">
        <v>128.97</v>
      </c>
    </row>
    <row r="1137" spans="1:13" ht="15.75" customHeight="1" x14ac:dyDescent="0.3">
      <c r="A1137" s="4" t="s">
        <v>421</v>
      </c>
      <c r="B1137">
        <f t="shared" si="17"/>
        <v>11</v>
      </c>
      <c r="C1137" s="2" t="s">
        <v>63</v>
      </c>
      <c r="D1137" s="2" t="s">
        <v>1250</v>
      </c>
      <c r="E1137" s="7">
        <v>106.58</v>
      </c>
      <c r="F1137" s="2">
        <v>7</v>
      </c>
      <c r="G1137" s="7">
        <v>448.92</v>
      </c>
      <c r="H1137" s="2" t="s">
        <v>1160</v>
      </c>
      <c r="I1137" s="2" t="s">
        <v>35</v>
      </c>
      <c r="J1137" s="2" t="s">
        <v>25</v>
      </c>
      <c r="K1137" s="2" t="s">
        <v>17</v>
      </c>
      <c r="L1137" s="7">
        <f>Table3[[#This Row],[Revenue]]-Table3[[#This Row],[Ad Spend]]</f>
        <v>342.34000000000003</v>
      </c>
      <c r="M1137" s="11">
        <v>124.93</v>
      </c>
    </row>
    <row r="1138" spans="1:13" ht="15.75" customHeight="1" x14ac:dyDescent="0.3">
      <c r="A1138" s="4" t="s">
        <v>683</v>
      </c>
      <c r="B1138">
        <f t="shared" si="17"/>
        <v>11</v>
      </c>
      <c r="C1138" s="2" t="s">
        <v>19</v>
      </c>
      <c r="D1138" s="2" t="s">
        <v>1161</v>
      </c>
      <c r="E1138" s="7">
        <v>47.82</v>
      </c>
      <c r="F1138" s="2">
        <v>5</v>
      </c>
      <c r="G1138" s="7">
        <v>90.87</v>
      </c>
      <c r="H1138" s="2" t="s">
        <v>1098</v>
      </c>
      <c r="I1138" s="2" t="s">
        <v>29</v>
      </c>
      <c r="J1138" s="2" t="s">
        <v>16</v>
      </c>
      <c r="K1138" s="2" t="s">
        <v>17</v>
      </c>
      <c r="L1138" s="7">
        <f>Table3[[#This Row],[Revenue]]-Table3[[#This Row],[Ad Spend]]</f>
        <v>43.050000000000004</v>
      </c>
      <c r="M1138" s="11">
        <v>68.67</v>
      </c>
    </row>
    <row r="1139" spans="1:13" ht="15.75" customHeight="1" x14ac:dyDescent="0.3">
      <c r="A1139" s="4" t="s">
        <v>181</v>
      </c>
      <c r="B1139">
        <f t="shared" si="17"/>
        <v>11</v>
      </c>
      <c r="C1139" s="2" t="s">
        <v>19</v>
      </c>
      <c r="D1139" s="2" t="s">
        <v>1239</v>
      </c>
      <c r="E1139" s="7">
        <v>21.42</v>
      </c>
      <c r="F1139" s="2">
        <v>2</v>
      </c>
      <c r="G1139" s="7">
        <v>249.13</v>
      </c>
      <c r="H1139" s="2" t="s">
        <v>1251</v>
      </c>
      <c r="I1139" s="2" t="s">
        <v>15</v>
      </c>
      <c r="J1139" s="2" t="s">
        <v>16</v>
      </c>
      <c r="K1139" s="2" t="s">
        <v>17</v>
      </c>
      <c r="L1139" s="7">
        <f>Table3[[#This Row],[Revenue]]-Table3[[#This Row],[Ad Spend]]</f>
        <v>227.70999999999998</v>
      </c>
      <c r="M1139" s="11">
        <v>147.09</v>
      </c>
    </row>
    <row r="1140" spans="1:13" ht="15.75" customHeight="1" x14ac:dyDescent="0.3">
      <c r="A1140" s="4" t="s">
        <v>522</v>
      </c>
      <c r="B1140">
        <f t="shared" si="17"/>
        <v>1</v>
      </c>
      <c r="C1140" s="2" t="s">
        <v>32</v>
      </c>
      <c r="D1140" s="2" t="s">
        <v>979</v>
      </c>
      <c r="E1140" s="7">
        <v>72.040000000000006</v>
      </c>
      <c r="F1140" s="2">
        <v>8</v>
      </c>
      <c r="G1140" s="7">
        <v>295.05</v>
      </c>
      <c r="H1140" s="2" t="s">
        <v>982</v>
      </c>
      <c r="I1140" s="2" t="s">
        <v>29</v>
      </c>
      <c r="J1140" s="2" t="s">
        <v>25</v>
      </c>
      <c r="K1140" s="2" t="s">
        <v>17</v>
      </c>
      <c r="L1140" s="7">
        <f>Table3[[#This Row],[Revenue]]-Table3[[#This Row],[Ad Spend]]</f>
        <v>223.01</v>
      </c>
      <c r="M1140" s="11">
        <v>166.87</v>
      </c>
    </row>
    <row r="1141" spans="1:13" ht="15.75" customHeight="1" x14ac:dyDescent="0.3">
      <c r="A1141" s="4" t="s">
        <v>918</v>
      </c>
      <c r="B1141">
        <f t="shared" si="17"/>
        <v>2</v>
      </c>
      <c r="C1141" s="2" t="s">
        <v>32</v>
      </c>
      <c r="D1141" s="2" t="s">
        <v>1216</v>
      </c>
      <c r="E1141" s="7">
        <v>107.92</v>
      </c>
      <c r="F1141" s="2">
        <v>8</v>
      </c>
      <c r="G1141" s="7">
        <v>91.76</v>
      </c>
      <c r="H1141" s="2" t="s">
        <v>1252</v>
      </c>
      <c r="I1141" s="2" t="s">
        <v>35</v>
      </c>
      <c r="J1141" s="2" t="s">
        <v>16</v>
      </c>
      <c r="K1141" s="2" t="s">
        <v>17</v>
      </c>
      <c r="L1141" s="7">
        <f>Table3[[#This Row],[Revenue]]-Table3[[#This Row],[Ad Spend]]</f>
        <v>-16.159999999999997</v>
      </c>
      <c r="M1141" s="11">
        <v>59.86</v>
      </c>
    </row>
    <row r="1142" spans="1:13" ht="15.75" customHeight="1" x14ac:dyDescent="0.3">
      <c r="A1142" s="4" t="s">
        <v>159</v>
      </c>
      <c r="B1142">
        <f t="shared" si="17"/>
        <v>2</v>
      </c>
      <c r="C1142" s="2" t="s">
        <v>19</v>
      </c>
      <c r="D1142" s="2" t="s">
        <v>1253</v>
      </c>
      <c r="E1142" s="7">
        <v>134.52000000000001</v>
      </c>
      <c r="F1142" s="2">
        <v>2</v>
      </c>
      <c r="G1142" s="7">
        <v>368.14</v>
      </c>
      <c r="H1142" s="2" t="s">
        <v>1243</v>
      </c>
      <c r="I1142" s="2" t="s">
        <v>29</v>
      </c>
      <c r="J1142" s="2" t="s">
        <v>30</v>
      </c>
      <c r="K1142" s="2" t="s">
        <v>17</v>
      </c>
      <c r="L1142" s="7">
        <f>Table3[[#This Row],[Revenue]]-Table3[[#This Row],[Ad Spend]]</f>
        <v>233.61999999999998</v>
      </c>
      <c r="M1142" s="11">
        <v>110.18</v>
      </c>
    </row>
    <row r="1143" spans="1:13" ht="15.75" customHeight="1" x14ac:dyDescent="0.3">
      <c r="A1143" s="4" t="s">
        <v>383</v>
      </c>
      <c r="B1143">
        <f t="shared" si="17"/>
        <v>12</v>
      </c>
      <c r="C1143" s="2" t="s">
        <v>19</v>
      </c>
      <c r="D1143" s="2" t="s">
        <v>665</v>
      </c>
      <c r="E1143" s="7">
        <v>60.74</v>
      </c>
      <c r="F1143" s="2">
        <v>2</v>
      </c>
      <c r="G1143" s="7">
        <v>230.63</v>
      </c>
      <c r="H1143" s="2" t="s">
        <v>81</v>
      </c>
      <c r="I1143" s="2" t="s">
        <v>35</v>
      </c>
      <c r="J1143" s="2" t="s">
        <v>87</v>
      </c>
      <c r="K1143" s="2" t="s">
        <v>17</v>
      </c>
      <c r="L1143" s="7">
        <f>Table3[[#This Row],[Revenue]]-Table3[[#This Row],[Ad Spend]]</f>
        <v>169.89</v>
      </c>
      <c r="M1143" s="11">
        <v>122.94</v>
      </c>
    </row>
    <row r="1144" spans="1:13" ht="15.75" customHeight="1" x14ac:dyDescent="0.3">
      <c r="A1144" s="4" t="s">
        <v>643</v>
      </c>
      <c r="B1144">
        <f t="shared" si="17"/>
        <v>2</v>
      </c>
      <c r="C1144" s="2" t="s">
        <v>32</v>
      </c>
      <c r="D1144" s="2" t="s">
        <v>1254</v>
      </c>
      <c r="E1144" s="7">
        <v>102.39</v>
      </c>
      <c r="F1144" s="2">
        <v>10</v>
      </c>
      <c r="G1144" s="7">
        <v>464.52</v>
      </c>
      <c r="H1144" s="2" t="s">
        <v>161</v>
      </c>
      <c r="I1144" s="2" t="s">
        <v>29</v>
      </c>
      <c r="J1144" s="2" t="s">
        <v>30</v>
      </c>
      <c r="K1144" s="2" t="s">
        <v>17</v>
      </c>
      <c r="L1144" s="7">
        <f>Table3[[#This Row],[Revenue]]-Table3[[#This Row],[Ad Spend]]</f>
        <v>362.13</v>
      </c>
      <c r="M1144" s="11">
        <v>121.71</v>
      </c>
    </row>
    <row r="1145" spans="1:13" ht="15.75" customHeight="1" x14ac:dyDescent="0.3">
      <c r="A1145" s="4" t="s">
        <v>274</v>
      </c>
      <c r="B1145">
        <f t="shared" si="17"/>
        <v>12</v>
      </c>
      <c r="C1145" s="2" t="s">
        <v>19</v>
      </c>
      <c r="D1145" s="2" t="s">
        <v>1083</v>
      </c>
      <c r="E1145" s="7">
        <v>47.54</v>
      </c>
      <c r="F1145" s="2">
        <v>1</v>
      </c>
      <c r="G1145" s="7">
        <v>30</v>
      </c>
      <c r="H1145" s="2" t="s">
        <v>1255</v>
      </c>
      <c r="I1145" s="2" t="s">
        <v>15</v>
      </c>
      <c r="J1145" s="2" t="s">
        <v>25</v>
      </c>
      <c r="K1145" s="2" t="s">
        <v>17</v>
      </c>
      <c r="L1145" s="7">
        <f>Table3[[#This Row],[Revenue]]-Table3[[#This Row],[Ad Spend]]</f>
        <v>-17.54</v>
      </c>
      <c r="M1145" s="11">
        <v>38.799999999999997</v>
      </c>
    </row>
    <row r="1146" spans="1:13" ht="15.75" customHeight="1" x14ac:dyDescent="0.3">
      <c r="A1146" s="4" t="s">
        <v>117</v>
      </c>
      <c r="B1146">
        <f t="shared" si="17"/>
        <v>3</v>
      </c>
      <c r="C1146" s="2" t="s">
        <v>12</v>
      </c>
      <c r="D1146" s="2" t="s">
        <v>855</v>
      </c>
      <c r="E1146" s="7">
        <v>40.68</v>
      </c>
      <c r="F1146" s="2">
        <v>8</v>
      </c>
      <c r="G1146" s="7">
        <v>442.71</v>
      </c>
      <c r="H1146" s="2" t="s">
        <v>301</v>
      </c>
      <c r="I1146" s="2" t="s">
        <v>15</v>
      </c>
      <c r="J1146" s="2" t="s">
        <v>87</v>
      </c>
      <c r="K1146" s="2" t="s">
        <v>17</v>
      </c>
      <c r="L1146" s="7">
        <f>Table3[[#This Row],[Revenue]]-Table3[[#This Row],[Ad Spend]]</f>
        <v>402.03</v>
      </c>
      <c r="M1146" s="11">
        <v>145.94999999999999</v>
      </c>
    </row>
    <row r="1147" spans="1:13" ht="15.75" customHeight="1" x14ac:dyDescent="0.3">
      <c r="A1147" s="4" t="s">
        <v>199</v>
      </c>
      <c r="B1147">
        <f t="shared" si="17"/>
        <v>4</v>
      </c>
      <c r="C1147" s="2" t="s">
        <v>32</v>
      </c>
      <c r="D1147" s="2" t="s">
        <v>1216</v>
      </c>
      <c r="E1147" s="7">
        <v>101.7</v>
      </c>
      <c r="F1147" s="2">
        <v>8</v>
      </c>
      <c r="G1147" s="7">
        <v>256.7</v>
      </c>
      <c r="H1147" s="2" t="s">
        <v>1256</v>
      </c>
      <c r="I1147" s="2" t="s">
        <v>35</v>
      </c>
      <c r="J1147" s="2" t="s">
        <v>87</v>
      </c>
      <c r="K1147" s="2" t="s">
        <v>17</v>
      </c>
      <c r="L1147" s="7">
        <f>Table3[[#This Row],[Revenue]]-Table3[[#This Row],[Ad Spend]]</f>
        <v>155</v>
      </c>
      <c r="M1147" s="11">
        <v>112.4</v>
      </c>
    </row>
    <row r="1148" spans="1:13" ht="15.75" customHeight="1" x14ac:dyDescent="0.3">
      <c r="A1148" s="4" t="s">
        <v>123</v>
      </c>
      <c r="B1148">
        <f t="shared" si="17"/>
        <v>4</v>
      </c>
      <c r="C1148" s="2" t="s">
        <v>19</v>
      </c>
      <c r="D1148" s="2" t="s">
        <v>1257</v>
      </c>
      <c r="E1148" s="7">
        <v>64.55</v>
      </c>
      <c r="F1148" s="2">
        <v>10</v>
      </c>
      <c r="G1148" s="7">
        <v>289.52999999999997</v>
      </c>
      <c r="H1148" s="2" t="s">
        <v>232</v>
      </c>
      <c r="I1148" s="2" t="s">
        <v>35</v>
      </c>
      <c r="J1148" s="2" t="s">
        <v>16</v>
      </c>
      <c r="K1148" s="2" t="s">
        <v>17</v>
      </c>
      <c r="L1148" s="7">
        <f>Table3[[#This Row],[Revenue]]-Table3[[#This Row],[Ad Spend]]</f>
        <v>224.97999999999996</v>
      </c>
      <c r="M1148" s="11">
        <v>129.9</v>
      </c>
    </row>
    <row r="1149" spans="1:13" ht="15.75" customHeight="1" x14ac:dyDescent="0.3">
      <c r="A1149" s="4" t="s">
        <v>258</v>
      </c>
      <c r="B1149">
        <f t="shared" si="17"/>
        <v>2</v>
      </c>
      <c r="C1149" s="2" t="s">
        <v>32</v>
      </c>
      <c r="D1149" s="2" t="s">
        <v>1258</v>
      </c>
      <c r="E1149" s="7">
        <v>132.76</v>
      </c>
      <c r="F1149" s="2">
        <v>4</v>
      </c>
      <c r="G1149" s="7">
        <v>286.3</v>
      </c>
      <c r="H1149" s="2" t="s">
        <v>471</v>
      </c>
      <c r="I1149" s="2" t="s">
        <v>15</v>
      </c>
      <c r="J1149" s="2" t="s">
        <v>16</v>
      </c>
      <c r="K1149" s="2" t="s">
        <v>17</v>
      </c>
      <c r="L1149" s="7">
        <f>Table3[[#This Row],[Revenue]]-Table3[[#This Row],[Ad Spend]]</f>
        <v>153.54000000000002</v>
      </c>
      <c r="M1149" s="11">
        <v>117.87</v>
      </c>
    </row>
    <row r="1150" spans="1:13" ht="15.75" customHeight="1" x14ac:dyDescent="0.3">
      <c r="A1150" s="4" t="s">
        <v>589</v>
      </c>
      <c r="B1150">
        <f t="shared" si="17"/>
        <v>12</v>
      </c>
      <c r="C1150" s="2" t="s">
        <v>12</v>
      </c>
      <c r="D1150" s="2" t="s">
        <v>452</v>
      </c>
      <c r="E1150" s="7">
        <v>23</v>
      </c>
      <c r="F1150" s="2">
        <v>3</v>
      </c>
      <c r="G1150" s="7">
        <v>442.39</v>
      </c>
      <c r="H1150" s="2" t="s">
        <v>201</v>
      </c>
      <c r="I1150" s="2" t="s">
        <v>15</v>
      </c>
      <c r="J1150" s="2" t="s">
        <v>30</v>
      </c>
      <c r="K1150" s="2" t="s">
        <v>17</v>
      </c>
      <c r="L1150" s="7">
        <f>Table3[[#This Row],[Revenue]]-Table3[[#This Row],[Ad Spend]]</f>
        <v>419.39</v>
      </c>
      <c r="M1150" s="11">
        <v>107.73</v>
      </c>
    </row>
    <row r="1151" spans="1:13" ht="15.75" customHeight="1" x14ac:dyDescent="0.3">
      <c r="A1151" s="4" t="s">
        <v>94</v>
      </c>
      <c r="B1151">
        <f t="shared" si="17"/>
        <v>1</v>
      </c>
      <c r="C1151" s="2" t="s">
        <v>63</v>
      </c>
      <c r="D1151" s="2" t="s">
        <v>1</v>
      </c>
      <c r="E1151" s="7">
        <v>63.26</v>
      </c>
      <c r="F1151" s="2">
        <v>9</v>
      </c>
      <c r="G1151" s="7">
        <v>30.35</v>
      </c>
      <c r="H1151" s="2" t="s">
        <v>1111</v>
      </c>
      <c r="I1151" s="2" t="s">
        <v>29</v>
      </c>
      <c r="J1151" s="2" t="s">
        <v>25</v>
      </c>
      <c r="K1151" s="2" t="s">
        <v>17</v>
      </c>
      <c r="L1151" s="7">
        <f>Table3[[#This Row],[Revenue]]-Table3[[#This Row],[Ad Spend]]</f>
        <v>-32.909999999999997</v>
      </c>
      <c r="M1151" s="11">
        <v>118.72</v>
      </c>
    </row>
    <row r="1152" spans="1:13" ht="15.75" customHeight="1" x14ac:dyDescent="0.3">
      <c r="A1152" s="4" t="s">
        <v>88</v>
      </c>
      <c r="B1152">
        <f t="shared" si="17"/>
        <v>11</v>
      </c>
      <c r="C1152" s="2" t="s">
        <v>12</v>
      </c>
      <c r="D1152" s="2" t="s">
        <v>569</v>
      </c>
      <c r="E1152" s="7">
        <v>101.72</v>
      </c>
      <c r="F1152" s="2">
        <v>4</v>
      </c>
      <c r="G1152" s="7">
        <v>459.84</v>
      </c>
      <c r="H1152" s="2" t="s">
        <v>232</v>
      </c>
      <c r="I1152" s="2" t="s">
        <v>29</v>
      </c>
      <c r="J1152" s="2" t="s">
        <v>87</v>
      </c>
      <c r="K1152" s="2" t="s">
        <v>17</v>
      </c>
      <c r="L1152" s="7">
        <f>Table3[[#This Row],[Revenue]]-Table3[[#This Row],[Ad Spend]]</f>
        <v>358.12</v>
      </c>
      <c r="M1152" s="11">
        <v>135.96</v>
      </c>
    </row>
    <row r="1153" spans="1:13" ht="15.75" customHeight="1" x14ac:dyDescent="0.3">
      <c r="A1153" s="4" t="s">
        <v>428</v>
      </c>
      <c r="B1153">
        <f t="shared" si="17"/>
        <v>3</v>
      </c>
      <c r="C1153" s="2" t="s">
        <v>32</v>
      </c>
      <c r="D1153" s="2" t="s">
        <v>732</v>
      </c>
      <c r="E1153" s="7">
        <v>147.19</v>
      </c>
      <c r="F1153" s="2">
        <v>10</v>
      </c>
      <c r="G1153" s="7">
        <v>118.45</v>
      </c>
      <c r="H1153" s="2" t="s">
        <v>235</v>
      </c>
      <c r="I1153" s="2" t="s">
        <v>29</v>
      </c>
      <c r="J1153" s="2" t="s">
        <v>16</v>
      </c>
      <c r="K1153" s="2" t="s">
        <v>17</v>
      </c>
      <c r="L1153" s="7">
        <f>Table3[[#This Row],[Revenue]]-Table3[[#This Row],[Ad Spend]]</f>
        <v>-28.739999999999995</v>
      </c>
      <c r="M1153" s="11">
        <v>125.6</v>
      </c>
    </row>
    <row r="1154" spans="1:13" ht="15.75" customHeight="1" x14ac:dyDescent="0.3">
      <c r="A1154" s="4" t="s">
        <v>199</v>
      </c>
      <c r="B1154">
        <f t="shared" si="17"/>
        <v>4</v>
      </c>
      <c r="C1154" s="2" t="s">
        <v>32</v>
      </c>
      <c r="D1154" s="2" t="s">
        <v>403</v>
      </c>
      <c r="E1154" s="7">
        <v>90.96</v>
      </c>
      <c r="F1154" s="2">
        <v>5</v>
      </c>
      <c r="G1154" s="7">
        <v>154.97</v>
      </c>
      <c r="H1154" s="2" t="s">
        <v>65</v>
      </c>
      <c r="I1154" s="2" t="s">
        <v>35</v>
      </c>
      <c r="J1154" s="2" t="s">
        <v>16</v>
      </c>
      <c r="K1154" s="2" t="s">
        <v>17</v>
      </c>
      <c r="L1154" s="7">
        <f>Table3[[#This Row],[Revenue]]-Table3[[#This Row],[Ad Spend]]</f>
        <v>64.010000000000005</v>
      </c>
      <c r="M1154" s="11">
        <v>126.53</v>
      </c>
    </row>
    <row r="1155" spans="1:13" ht="15.75" customHeight="1" x14ac:dyDescent="0.3">
      <c r="A1155" s="4" t="s">
        <v>338</v>
      </c>
      <c r="B1155">
        <f t="shared" ref="B1155:B1218" si="18">MONTH(A1155)</f>
        <v>4</v>
      </c>
      <c r="C1155" s="2" t="s">
        <v>19</v>
      </c>
      <c r="D1155" s="2" t="s">
        <v>1217</v>
      </c>
      <c r="E1155" s="7">
        <v>74.680000000000007</v>
      </c>
      <c r="F1155" s="2">
        <v>3</v>
      </c>
      <c r="G1155" s="7">
        <v>286.47000000000003</v>
      </c>
      <c r="H1155" s="2" t="s">
        <v>24</v>
      </c>
      <c r="I1155" s="2" t="s">
        <v>29</v>
      </c>
      <c r="J1155" s="2" t="s">
        <v>53</v>
      </c>
      <c r="K1155" s="2" t="s">
        <v>17</v>
      </c>
      <c r="L1155" s="7">
        <f>Table3[[#This Row],[Revenue]]-Table3[[#This Row],[Ad Spend]]</f>
        <v>211.79000000000002</v>
      </c>
      <c r="M1155" s="11">
        <v>141.07</v>
      </c>
    </row>
    <row r="1156" spans="1:13" ht="15.75" customHeight="1" x14ac:dyDescent="0.3">
      <c r="A1156" s="4" t="s">
        <v>433</v>
      </c>
      <c r="B1156">
        <f t="shared" si="18"/>
        <v>1</v>
      </c>
      <c r="C1156" s="2" t="s">
        <v>19</v>
      </c>
      <c r="D1156" s="2" t="s">
        <v>1259</v>
      </c>
      <c r="E1156" s="7">
        <v>87.62</v>
      </c>
      <c r="F1156" s="2">
        <v>5</v>
      </c>
      <c r="G1156" s="7">
        <v>450.91</v>
      </c>
      <c r="H1156" s="2" t="s">
        <v>93</v>
      </c>
      <c r="I1156" s="2" t="s">
        <v>35</v>
      </c>
      <c r="J1156" s="2" t="s">
        <v>53</v>
      </c>
      <c r="K1156" s="2" t="s">
        <v>17</v>
      </c>
      <c r="L1156" s="7">
        <f>Table3[[#This Row],[Revenue]]-Table3[[#This Row],[Ad Spend]]</f>
        <v>363.29</v>
      </c>
      <c r="M1156" s="11">
        <v>169.43</v>
      </c>
    </row>
    <row r="1157" spans="1:13" ht="15.75" customHeight="1" x14ac:dyDescent="0.3">
      <c r="A1157" s="4" t="s">
        <v>230</v>
      </c>
      <c r="B1157">
        <f t="shared" si="18"/>
        <v>1</v>
      </c>
      <c r="C1157" s="2" t="s">
        <v>63</v>
      </c>
      <c r="D1157" s="2" t="s">
        <v>507</v>
      </c>
      <c r="E1157" s="7">
        <v>82</v>
      </c>
      <c r="F1157" s="2">
        <v>10</v>
      </c>
      <c r="G1157" s="7">
        <v>401.25</v>
      </c>
      <c r="H1157" s="2" t="s">
        <v>664</v>
      </c>
      <c r="I1157" s="2" t="s">
        <v>35</v>
      </c>
      <c r="J1157" s="2" t="s">
        <v>25</v>
      </c>
      <c r="K1157" s="2" t="s">
        <v>17</v>
      </c>
      <c r="L1157" s="7">
        <f>Table3[[#This Row],[Revenue]]-Table3[[#This Row],[Ad Spend]]</f>
        <v>319.25</v>
      </c>
      <c r="M1157" s="11">
        <v>159.68</v>
      </c>
    </row>
    <row r="1158" spans="1:13" ht="15.75" customHeight="1" x14ac:dyDescent="0.3">
      <c r="A1158" s="4" t="s">
        <v>172</v>
      </c>
      <c r="B1158">
        <f t="shared" si="18"/>
        <v>2</v>
      </c>
      <c r="C1158" s="2" t="s">
        <v>63</v>
      </c>
      <c r="D1158" s="2" t="s">
        <v>1024</v>
      </c>
      <c r="E1158" s="7">
        <v>11.82</v>
      </c>
      <c r="F1158" s="2">
        <v>6</v>
      </c>
      <c r="G1158" s="7">
        <v>283.73</v>
      </c>
      <c r="H1158" s="2" t="s">
        <v>174</v>
      </c>
      <c r="I1158" s="2" t="s">
        <v>35</v>
      </c>
      <c r="J1158" s="2" t="s">
        <v>30</v>
      </c>
      <c r="K1158" s="2" t="s">
        <v>17</v>
      </c>
      <c r="L1158" s="7">
        <f>Table3[[#This Row],[Revenue]]-Table3[[#This Row],[Ad Spend]]</f>
        <v>271.91000000000003</v>
      </c>
      <c r="M1158" s="11">
        <v>103.29</v>
      </c>
    </row>
    <row r="1159" spans="1:13" ht="15.75" customHeight="1" x14ac:dyDescent="0.3">
      <c r="A1159" s="4" t="s">
        <v>402</v>
      </c>
      <c r="B1159">
        <f t="shared" si="18"/>
        <v>3</v>
      </c>
      <c r="C1159" s="2" t="s">
        <v>32</v>
      </c>
      <c r="D1159" s="2" t="s">
        <v>1246</v>
      </c>
      <c r="E1159" s="7">
        <v>71.290000000000006</v>
      </c>
      <c r="F1159" s="2">
        <v>2</v>
      </c>
      <c r="G1159" s="7">
        <v>489.41</v>
      </c>
      <c r="H1159" s="2" t="s">
        <v>337</v>
      </c>
      <c r="I1159" s="2" t="s">
        <v>29</v>
      </c>
      <c r="J1159" s="2" t="s">
        <v>30</v>
      </c>
      <c r="K1159" s="2" t="s">
        <v>17</v>
      </c>
      <c r="L1159" s="7">
        <f>Table3[[#This Row],[Revenue]]-Table3[[#This Row],[Ad Spend]]</f>
        <v>418.12</v>
      </c>
      <c r="M1159" s="11">
        <v>158.88</v>
      </c>
    </row>
    <row r="1160" spans="1:13" ht="15.75" customHeight="1" x14ac:dyDescent="0.3">
      <c r="A1160" s="4" t="s">
        <v>105</v>
      </c>
      <c r="B1160">
        <f t="shared" si="18"/>
        <v>1</v>
      </c>
      <c r="C1160" s="2" t="s">
        <v>19</v>
      </c>
      <c r="D1160" s="2" t="s">
        <v>1144</v>
      </c>
      <c r="E1160" s="7">
        <v>67.959999999999994</v>
      </c>
      <c r="F1160" s="2">
        <v>6</v>
      </c>
      <c r="G1160" s="7">
        <v>70.010000000000005</v>
      </c>
      <c r="H1160" s="2" t="s">
        <v>820</v>
      </c>
      <c r="I1160" s="2" t="s">
        <v>29</v>
      </c>
      <c r="J1160" s="2" t="s">
        <v>30</v>
      </c>
      <c r="K1160" s="2" t="s">
        <v>17</v>
      </c>
      <c r="L1160" s="7">
        <f>Table3[[#This Row],[Revenue]]-Table3[[#This Row],[Ad Spend]]</f>
        <v>2.0500000000000114</v>
      </c>
      <c r="M1160" s="11">
        <v>125.93</v>
      </c>
    </row>
    <row r="1161" spans="1:13" ht="15.75" customHeight="1" x14ac:dyDescent="0.3">
      <c r="A1161" s="4" t="s">
        <v>522</v>
      </c>
      <c r="B1161">
        <f t="shared" si="18"/>
        <v>1</v>
      </c>
      <c r="C1161" s="2" t="s">
        <v>19</v>
      </c>
      <c r="D1161" s="2" t="s">
        <v>584</v>
      </c>
      <c r="E1161" s="7">
        <v>105.96</v>
      </c>
      <c r="F1161" s="2">
        <v>7</v>
      </c>
      <c r="G1161" s="7">
        <v>26</v>
      </c>
      <c r="H1161" s="2" t="s">
        <v>213</v>
      </c>
      <c r="I1161" s="2" t="s">
        <v>29</v>
      </c>
      <c r="J1161" s="2" t="s">
        <v>36</v>
      </c>
      <c r="K1161" s="2" t="s">
        <v>17</v>
      </c>
      <c r="L1161" s="7">
        <f>Table3[[#This Row],[Revenue]]-Table3[[#This Row],[Ad Spend]]</f>
        <v>-79.959999999999994</v>
      </c>
      <c r="M1161" s="11">
        <v>119.97</v>
      </c>
    </row>
    <row r="1162" spans="1:13" ht="15.75" customHeight="1" x14ac:dyDescent="0.3">
      <c r="A1162" s="4" t="s">
        <v>649</v>
      </c>
      <c r="B1162">
        <f t="shared" si="18"/>
        <v>1</v>
      </c>
      <c r="C1162" s="2" t="s">
        <v>19</v>
      </c>
      <c r="D1162" s="2" t="s">
        <v>708</v>
      </c>
      <c r="E1162" s="7">
        <v>89.39</v>
      </c>
      <c r="F1162" s="2">
        <v>1</v>
      </c>
      <c r="G1162" s="7">
        <v>175.61</v>
      </c>
      <c r="H1162" s="2" t="s">
        <v>267</v>
      </c>
      <c r="I1162" s="2" t="s">
        <v>35</v>
      </c>
      <c r="J1162" s="2" t="s">
        <v>87</v>
      </c>
      <c r="K1162" s="2" t="s">
        <v>17</v>
      </c>
      <c r="L1162" s="7">
        <f>Table3[[#This Row],[Revenue]]-Table3[[#This Row],[Ad Spend]]</f>
        <v>86.220000000000013</v>
      </c>
      <c r="M1162" s="11">
        <v>125.72</v>
      </c>
    </row>
    <row r="1163" spans="1:13" ht="15.75" customHeight="1" x14ac:dyDescent="0.3">
      <c r="A1163" s="4" t="s">
        <v>463</v>
      </c>
      <c r="B1163">
        <f t="shared" si="18"/>
        <v>3</v>
      </c>
      <c r="C1163" s="2" t="s">
        <v>32</v>
      </c>
      <c r="D1163" s="2" t="s">
        <v>275</v>
      </c>
      <c r="E1163" s="7">
        <v>61.25</v>
      </c>
      <c r="F1163" s="2">
        <v>3</v>
      </c>
      <c r="G1163" s="7">
        <v>324.14</v>
      </c>
      <c r="H1163" s="2" t="s">
        <v>119</v>
      </c>
      <c r="I1163" s="2" t="s">
        <v>15</v>
      </c>
      <c r="J1163" s="2" t="s">
        <v>30</v>
      </c>
      <c r="K1163" s="2" t="s">
        <v>17</v>
      </c>
      <c r="L1163" s="7">
        <f>Table3[[#This Row],[Revenue]]-Table3[[#This Row],[Ad Spend]]</f>
        <v>262.89</v>
      </c>
      <c r="M1163" s="11">
        <v>114.2</v>
      </c>
    </row>
    <row r="1164" spans="1:13" ht="15.75" customHeight="1" x14ac:dyDescent="0.3">
      <c r="A1164" s="4" t="s">
        <v>836</v>
      </c>
      <c r="B1164">
        <f t="shared" si="18"/>
        <v>11</v>
      </c>
      <c r="C1164" s="2" t="s">
        <v>12</v>
      </c>
      <c r="D1164" s="2" t="s">
        <v>1260</v>
      </c>
      <c r="E1164" s="7">
        <v>89.56</v>
      </c>
      <c r="F1164" s="2">
        <v>3</v>
      </c>
      <c r="G1164" s="7">
        <v>255.05</v>
      </c>
      <c r="H1164" s="2" t="s">
        <v>489</v>
      </c>
      <c r="I1164" s="2" t="s">
        <v>29</v>
      </c>
      <c r="J1164" s="2" t="s">
        <v>30</v>
      </c>
      <c r="K1164" s="2" t="s">
        <v>17</v>
      </c>
      <c r="L1164" s="7">
        <f>Table3[[#This Row],[Revenue]]-Table3[[#This Row],[Ad Spend]]</f>
        <v>165.49</v>
      </c>
      <c r="M1164" s="11">
        <v>145.65</v>
      </c>
    </row>
    <row r="1165" spans="1:13" ht="15.75" customHeight="1" x14ac:dyDescent="0.3">
      <c r="A1165" s="4" t="s">
        <v>914</v>
      </c>
      <c r="B1165">
        <f t="shared" si="18"/>
        <v>11</v>
      </c>
      <c r="C1165" s="2" t="s">
        <v>12</v>
      </c>
      <c r="D1165" s="2" t="s">
        <v>1261</v>
      </c>
      <c r="E1165" s="7">
        <v>109.26</v>
      </c>
      <c r="F1165" s="2">
        <v>5</v>
      </c>
      <c r="G1165" s="7">
        <v>374.51</v>
      </c>
      <c r="H1165" s="2" t="s">
        <v>225</v>
      </c>
      <c r="I1165" s="2" t="s">
        <v>15</v>
      </c>
      <c r="J1165" s="2" t="s">
        <v>30</v>
      </c>
      <c r="K1165" s="2" t="s">
        <v>17</v>
      </c>
      <c r="L1165" s="7">
        <f>Table3[[#This Row],[Revenue]]-Table3[[#This Row],[Ad Spend]]</f>
        <v>265.25</v>
      </c>
      <c r="M1165" s="11">
        <v>119.1</v>
      </c>
    </row>
    <row r="1166" spans="1:13" ht="15.75" customHeight="1" x14ac:dyDescent="0.3">
      <c r="A1166" s="4" t="s">
        <v>522</v>
      </c>
      <c r="B1166">
        <f t="shared" si="18"/>
        <v>1</v>
      </c>
      <c r="C1166" s="2" t="s">
        <v>12</v>
      </c>
      <c r="D1166" s="2" t="s">
        <v>255</v>
      </c>
      <c r="E1166" s="7">
        <v>142.97999999999999</v>
      </c>
      <c r="F1166" s="2">
        <v>7</v>
      </c>
      <c r="G1166" s="7">
        <v>201.27</v>
      </c>
      <c r="H1166" s="2" t="s">
        <v>763</v>
      </c>
      <c r="I1166" s="2" t="s">
        <v>35</v>
      </c>
      <c r="J1166" s="2" t="s">
        <v>30</v>
      </c>
      <c r="K1166" s="2" t="s">
        <v>17</v>
      </c>
      <c r="L1166" s="7">
        <f>Table3[[#This Row],[Revenue]]-Table3[[#This Row],[Ad Spend]]</f>
        <v>58.29000000000002</v>
      </c>
      <c r="M1166" s="11">
        <v>143.22999999999999</v>
      </c>
    </row>
    <row r="1167" spans="1:13" ht="15.75" customHeight="1" x14ac:dyDescent="0.3">
      <c r="A1167" s="4" t="s">
        <v>309</v>
      </c>
      <c r="B1167">
        <f t="shared" si="18"/>
        <v>4</v>
      </c>
      <c r="C1167" s="2" t="s">
        <v>12</v>
      </c>
      <c r="D1167" s="2" t="s">
        <v>798</v>
      </c>
      <c r="E1167" s="7">
        <v>21.21</v>
      </c>
      <c r="F1167" s="2">
        <v>7</v>
      </c>
      <c r="G1167" s="7">
        <v>410.92</v>
      </c>
      <c r="H1167" s="2" t="s">
        <v>310</v>
      </c>
      <c r="I1167" s="2" t="s">
        <v>29</v>
      </c>
      <c r="J1167" s="2" t="s">
        <v>87</v>
      </c>
      <c r="K1167" s="2" t="s">
        <v>17</v>
      </c>
      <c r="L1167" s="7">
        <f>Table3[[#This Row],[Revenue]]-Table3[[#This Row],[Ad Spend]]</f>
        <v>389.71000000000004</v>
      </c>
      <c r="M1167" s="11">
        <v>103.11</v>
      </c>
    </row>
    <row r="1168" spans="1:13" ht="15.75" customHeight="1" x14ac:dyDescent="0.3">
      <c r="A1168" s="4" t="s">
        <v>47</v>
      </c>
      <c r="B1168">
        <f t="shared" si="18"/>
        <v>12</v>
      </c>
      <c r="C1168" s="2" t="s">
        <v>63</v>
      </c>
      <c r="D1168" s="2" t="s">
        <v>1092</v>
      </c>
      <c r="E1168" s="7">
        <v>132.31</v>
      </c>
      <c r="F1168" s="2">
        <v>7</v>
      </c>
      <c r="G1168" s="7">
        <v>190.12</v>
      </c>
      <c r="H1168" s="2" t="s">
        <v>1125</v>
      </c>
      <c r="I1168" s="2" t="s">
        <v>15</v>
      </c>
      <c r="J1168" s="2" t="s">
        <v>36</v>
      </c>
      <c r="K1168" s="2" t="s">
        <v>17</v>
      </c>
      <c r="L1168" s="7">
        <f>Table3[[#This Row],[Revenue]]-Table3[[#This Row],[Ad Spend]]</f>
        <v>57.81</v>
      </c>
      <c r="M1168" s="11">
        <v>81.91</v>
      </c>
    </row>
    <row r="1169" spans="1:13" ht="15.75" customHeight="1" x14ac:dyDescent="0.3">
      <c r="A1169" s="4" t="s">
        <v>610</v>
      </c>
      <c r="B1169">
        <f t="shared" si="18"/>
        <v>11</v>
      </c>
      <c r="C1169" s="2" t="s">
        <v>32</v>
      </c>
      <c r="D1169" s="2" t="s">
        <v>291</v>
      </c>
      <c r="E1169" s="7">
        <v>13.11</v>
      </c>
      <c r="F1169" s="2">
        <v>7</v>
      </c>
      <c r="G1169" s="7">
        <v>60.55</v>
      </c>
      <c r="H1169" s="2" t="s">
        <v>1262</v>
      </c>
      <c r="I1169" s="2" t="s">
        <v>15</v>
      </c>
      <c r="J1169" s="2" t="s">
        <v>30</v>
      </c>
      <c r="K1169" s="2" t="s">
        <v>17</v>
      </c>
      <c r="L1169" s="7">
        <f>Table3[[#This Row],[Revenue]]-Table3[[#This Row],[Ad Spend]]</f>
        <v>47.44</v>
      </c>
      <c r="M1169" s="11">
        <v>83.3</v>
      </c>
    </row>
    <row r="1170" spans="1:13" ht="15.75" customHeight="1" x14ac:dyDescent="0.3">
      <c r="A1170" s="4" t="s">
        <v>247</v>
      </c>
      <c r="B1170">
        <f t="shared" si="18"/>
        <v>3</v>
      </c>
      <c r="C1170" s="2" t="s">
        <v>32</v>
      </c>
      <c r="D1170" s="2" t="s">
        <v>1263</v>
      </c>
      <c r="E1170" s="7">
        <v>74.97</v>
      </c>
      <c r="F1170" s="2">
        <v>8</v>
      </c>
      <c r="G1170" s="7">
        <v>140.94999999999999</v>
      </c>
      <c r="H1170" s="2" t="s">
        <v>794</v>
      </c>
      <c r="I1170" s="2" t="s">
        <v>15</v>
      </c>
      <c r="J1170" s="2" t="s">
        <v>53</v>
      </c>
      <c r="K1170" s="2" t="s">
        <v>17</v>
      </c>
      <c r="L1170" s="7">
        <f>Table3[[#This Row],[Revenue]]-Table3[[#This Row],[Ad Spend]]</f>
        <v>65.97999999999999</v>
      </c>
      <c r="M1170" s="11">
        <v>121.28</v>
      </c>
    </row>
    <row r="1171" spans="1:13" ht="15.75" customHeight="1" x14ac:dyDescent="0.3">
      <c r="A1171" s="4" t="s">
        <v>287</v>
      </c>
      <c r="B1171">
        <f t="shared" si="18"/>
        <v>2</v>
      </c>
      <c r="C1171" s="2" t="s">
        <v>12</v>
      </c>
      <c r="D1171" s="2" t="s">
        <v>1264</v>
      </c>
      <c r="E1171" s="7">
        <v>71.430000000000007</v>
      </c>
      <c r="F1171" s="2">
        <v>6</v>
      </c>
      <c r="G1171" s="7">
        <v>28.61</v>
      </c>
      <c r="H1171" s="2" t="s">
        <v>310</v>
      </c>
      <c r="I1171" s="2" t="s">
        <v>29</v>
      </c>
      <c r="J1171" s="2" t="s">
        <v>25</v>
      </c>
      <c r="K1171" s="2" t="s">
        <v>17</v>
      </c>
      <c r="L1171" s="7">
        <f>Table3[[#This Row],[Revenue]]-Table3[[#This Row],[Ad Spend]]</f>
        <v>-42.820000000000007</v>
      </c>
      <c r="M1171" s="11">
        <v>98.77</v>
      </c>
    </row>
    <row r="1172" spans="1:13" ht="15.75" customHeight="1" x14ac:dyDescent="0.3">
      <c r="A1172" s="4" t="s">
        <v>404</v>
      </c>
      <c r="B1172">
        <f t="shared" si="18"/>
        <v>3</v>
      </c>
      <c r="C1172" s="2" t="s">
        <v>12</v>
      </c>
      <c r="D1172" s="2" t="s">
        <v>1265</v>
      </c>
      <c r="E1172" s="7">
        <v>47.94</v>
      </c>
      <c r="F1172" s="2">
        <v>10</v>
      </c>
      <c r="G1172" s="7">
        <v>417.81</v>
      </c>
      <c r="H1172" s="2" t="s">
        <v>707</v>
      </c>
      <c r="I1172" s="2" t="s">
        <v>35</v>
      </c>
      <c r="J1172" s="2" t="s">
        <v>53</v>
      </c>
      <c r="K1172" s="2" t="s">
        <v>17</v>
      </c>
      <c r="L1172" s="7">
        <f>Table3[[#This Row],[Revenue]]-Table3[[#This Row],[Ad Spend]]</f>
        <v>369.87</v>
      </c>
      <c r="M1172" s="11">
        <v>132.30000000000001</v>
      </c>
    </row>
    <row r="1173" spans="1:13" ht="15.75" customHeight="1" x14ac:dyDescent="0.3">
      <c r="A1173" s="4" t="s">
        <v>250</v>
      </c>
      <c r="B1173">
        <f t="shared" si="18"/>
        <v>12</v>
      </c>
      <c r="C1173" s="2" t="s">
        <v>19</v>
      </c>
      <c r="D1173" s="2" t="s">
        <v>1266</v>
      </c>
      <c r="E1173" s="7">
        <v>37.979999999999997</v>
      </c>
      <c r="F1173" s="2">
        <v>1</v>
      </c>
      <c r="G1173" s="7">
        <v>381.15</v>
      </c>
      <c r="H1173" s="2" t="s">
        <v>1150</v>
      </c>
      <c r="I1173" s="2" t="s">
        <v>15</v>
      </c>
      <c r="J1173" s="2" t="s">
        <v>30</v>
      </c>
      <c r="K1173" s="2" t="s">
        <v>17</v>
      </c>
      <c r="L1173" s="7">
        <f>Table3[[#This Row],[Revenue]]-Table3[[#This Row],[Ad Spend]]</f>
        <v>343.16999999999996</v>
      </c>
      <c r="M1173" s="11">
        <v>130.49</v>
      </c>
    </row>
    <row r="1174" spans="1:13" ht="15.75" customHeight="1" x14ac:dyDescent="0.3">
      <c r="A1174" s="4" t="s">
        <v>50</v>
      </c>
      <c r="B1174">
        <f t="shared" si="18"/>
        <v>12</v>
      </c>
      <c r="C1174" s="2" t="s">
        <v>12</v>
      </c>
      <c r="D1174" s="2" t="s">
        <v>700</v>
      </c>
      <c r="E1174" s="7">
        <v>32.83</v>
      </c>
      <c r="F1174" s="2">
        <v>6</v>
      </c>
      <c r="G1174" s="7">
        <v>104.98</v>
      </c>
      <c r="H1174" s="2" t="s">
        <v>1267</v>
      </c>
      <c r="I1174" s="2" t="s">
        <v>15</v>
      </c>
      <c r="J1174" s="2" t="s">
        <v>25</v>
      </c>
      <c r="K1174" s="2" t="s">
        <v>17</v>
      </c>
      <c r="L1174" s="7">
        <f>Table3[[#This Row],[Revenue]]-Table3[[#This Row],[Ad Spend]]</f>
        <v>72.150000000000006</v>
      </c>
      <c r="M1174" s="11">
        <v>70.08</v>
      </c>
    </row>
    <row r="1175" spans="1:13" ht="15.75" customHeight="1" x14ac:dyDescent="0.3">
      <c r="A1175" s="4" t="s">
        <v>208</v>
      </c>
      <c r="B1175">
        <f t="shared" si="18"/>
        <v>11</v>
      </c>
      <c r="C1175" s="2" t="s">
        <v>32</v>
      </c>
      <c r="D1175" s="2" t="s">
        <v>1085</v>
      </c>
      <c r="E1175" s="7">
        <v>53.17</v>
      </c>
      <c r="F1175" s="2">
        <v>3</v>
      </c>
      <c r="G1175" s="7">
        <v>146.74</v>
      </c>
      <c r="H1175" s="2" t="s">
        <v>161</v>
      </c>
      <c r="I1175" s="2" t="s">
        <v>29</v>
      </c>
      <c r="J1175" s="2" t="s">
        <v>30</v>
      </c>
      <c r="K1175" s="2" t="s">
        <v>17</v>
      </c>
      <c r="L1175" s="7">
        <f>Table3[[#This Row],[Revenue]]-Table3[[#This Row],[Ad Spend]]</f>
        <v>93.570000000000007</v>
      </c>
      <c r="M1175" s="11">
        <v>124.03</v>
      </c>
    </row>
    <row r="1176" spans="1:13" ht="15.75" customHeight="1" x14ac:dyDescent="0.3">
      <c r="A1176" s="4" t="s">
        <v>365</v>
      </c>
      <c r="B1176">
        <f t="shared" si="18"/>
        <v>11</v>
      </c>
      <c r="C1176" s="2" t="s">
        <v>63</v>
      </c>
      <c r="D1176" s="2" t="s">
        <v>1268</v>
      </c>
      <c r="E1176" s="7">
        <v>99.55</v>
      </c>
      <c r="F1176" s="2">
        <v>0</v>
      </c>
      <c r="G1176" s="7">
        <v>334.86</v>
      </c>
      <c r="H1176" s="2" t="s">
        <v>705</v>
      </c>
      <c r="I1176" s="2" t="s">
        <v>15</v>
      </c>
      <c r="J1176" s="2" t="s">
        <v>16</v>
      </c>
      <c r="K1176" s="2" t="s">
        <v>46</v>
      </c>
      <c r="L1176" s="7">
        <f>Table3[[#This Row],[Revenue]]-Table3[[#This Row],[Ad Spend]]</f>
        <v>235.31</v>
      </c>
      <c r="M1176" s="11">
        <v>132.44</v>
      </c>
    </row>
    <row r="1177" spans="1:13" ht="15.75" customHeight="1" x14ac:dyDescent="0.3">
      <c r="A1177" s="4" t="s">
        <v>383</v>
      </c>
      <c r="B1177">
        <f t="shared" si="18"/>
        <v>12</v>
      </c>
      <c r="C1177" s="2" t="s">
        <v>63</v>
      </c>
      <c r="D1177" s="2" t="s">
        <v>1131</v>
      </c>
      <c r="E1177" s="7">
        <v>148.66999999999999</v>
      </c>
      <c r="F1177" s="2">
        <v>4</v>
      </c>
      <c r="G1177" s="7">
        <v>422.86</v>
      </c>
      <c r="H1177" s="2" t="s">
        <v>1165</v>
      </c>
      <c r="I1177" s="2" t="s">
        <v>15</v>
      </c>
      <c r="J1177" s="2" t="s">
        <v>87</v>
      </c>
      <c r="K1177" s="2" t="s">
        <v>17</v>
      </c>
      <c r="L1177" s="7">
        <f>Table3[[#This Row],[Revenue]]-Table3[[#This Row],[Ad Spend]]</f>
        <v>274.19000000000005</v>
      </c>
      <c r="M1177" s="11">
        <v>115.53</v>
      </c>
    </row>
    <row r="1178" spans="1:13" ht="15.75" customHeight="1" x14ac:dyDescent="0.3">
      <c r="A1178" s="4" t="s">
        <v>280</v>
      </c>
      <c r="B1178">
        <f t="shared" si="18"/>
        <v>2</v>
      </c>
      <c r="C1178" s="2" t="s">
        <v>63</v>
      </c>
      <c r="D1178" s="2" t="s">
        <v>590</v>
      </c>
      <c r="E1178" s="7">
        <v>9.7899999999999991</v>
      </c>
      <c r="F1178" s="2">
        <v>1</v>
      </c>
      <c r="G1178" s="7">
        <v>276.88</v>
      </c>
      <c r="H1178" s="2" t="s">
        <v>122</v>
      </c>
      <c r="I1178" s="2" t="s">
        <v>35</v>
      </c>
      <c r="J1178" s="2" t="s">
        <v>36</v>
      </c>
      <c r="K1178" s="2" t="s">
        <v>17</v>
      </c>
      <c r="L1178" s="7">
        <f>Table3[[#This Row],[Revenue]]-Table3[[#This Row],[Ad Spend]]</f>
        <v>267.08999999999997</v>
      </c>
      <c r="M1178" s="11">
        <v>117.39</v>
      </c>
    </row>
    <row r="1179" spans="1:13" ht="15.75" customHeight="1" x14ac:dyDescent="0.3">
      <c r="A1179" s="4" t="s">
        <v>68</v>
      </c>
      <c r="B1179">
        <f t="shared" si="18"/>
        <v>4</v>
      </c>
      <c r="C1179" s="2" t="s">
        <v>63</v>
      </c>
      <c r="D1179" s="2" t="s">
        <v>1045</v>
      </c>
      <c r="E1179" s="7">
        <v>47.57</v>
      </c>
      <c r="F1179" s="2">
        <v>9</v>
      </c>
      <c r="G1179" s="7">
        <v>218.21</v>
      </c>
      <c r="H1179" s="2" t="s">
        <v>158</v>
      </c>
      <c r="I1179" s="2" t="s">
        <v>29</v>
      </c>
      <c r="J1179" s="2" t="s">
        <v>87</v>
      </c>
      <c r="K1179" s="2" t="s">
        <v>17</v>
      </c>
      <c r="L1179" s="7">
        <f>Table3[[#This Row],[Revenue]]-Table3[[#This Row],[Ad Spend]]</f>
        <v>170.64000000000001</v>
      </c>
      <c r="M1179" s="11">
        <v>117.44</v>
      </c>
    </row>
    <row r="1180" spans="1:13" ht="15.75" customHeight="1" x14ac:dyDescent="0.3">
      <c r="A1180" s="4" t="s">
        <v>918</v>
      </c>
      <c r="B1180">
        <f t="shared" si="18"/>
        <v>2</v>
      </c>
      <c r="C1180" s="2" t="s">
        <v>19</v>
      </c>
      <c r="D1180" s="2" t="s">
        <v>1269</v>
      </c>
      <c r="E1180" s="7">
        <v>87.85</v>
      </c>
      <c r="F1180" s="2">
        <v>8</v>
      </c>
      <c r="G1180" s="7">
        <v>39.03</v>
      </c>
      <c r="H1180" s="2" t="s">
        <v>1201</v>
      </c>
      <c r="I1180" s="2" t="s">
        <v>15</v>
      </c>
      <c r="J1180" s="2" t="s">
        <v>30</v>
      </c>
      <c r="K1180" s="2" t="s">
        <v>17</v>
      </c>
      <c r="L1180" s="7">
        <f>Table3[[#This Row],[Revenue]]-Table3[[#This Row],[Ad Spend]]</f>
        <v>-48.819999999999993</v>
      </c>
      <c r="M1180" s="11">
        <v>69.849999999999994</v>
      </c>
    </row>
    <row r="1181" spans="1:13" ht="15.75" customHeight="1" x14ac:dyDescent="0.3">
      <c r="A1181" s="4" t="s">
        <v>338</v>
      </c>
      <c r="B1181">
        <f t="shared" si="18"/>
        <v>4</v>
      </c>
      <c r="C1181" s="2" t="s">
        <v>19</v>
      </c>
      <c r="D1181" s="2" t="s">
        <v>1270</v>
      </c>
      <c r="E1181" s="7">
        <v>99.99</v>
      </c>
      <c r="F1181" s="2">
        <v>0</v>
      </c>
      <c r="G1181" s="7">
        <v>331.44</v>
      </c>
      <c r="H1181" s="2" t="s">
        <v>201</v>
      </c>
      <c r="I1181" s="2" t="s">
        <v>29</v>
      </c>
      <c r="J1181" s="2" t="s">
        <v>30</v>
      </c>
      <c r="K1181" s="2" t="s">
        <v>46</v>
      </c>
      <c r="L1181" s="7">
        <f>Table3[[#This Row],[Revenue]]-Table3[[#This Row],[Ad Spend]]</f>
        <v>231.45</v>
      </c>
      <c r="M1181" s="11">
        <v>115.17</v>
      </c>
    </row>
    <row r="1182" spans="1:13" ht="15.75" customHeight="1" x14ac:dyDescent="0.3">
      <c r="A1182" s="4" t="s">
        <v>269</v>
      </c>
      <c r="B1182">
        <f t="shared" si="18"/>
        <v>12</v>
      </c>
      <c r="C1182" s="2" t="s">
        <v>63</v>
      </c>
      <c r="D1182" s="2" t="s">
        <v>1231</v>
      </c>
      <c r="E1182" s="7">
        <v>64.38</v>
      </c>
      <c r="F1182" s="2">
        <v>7</v>
      </c>
      <c r="G1182" s="7">
        <v>285.70999999999998</v>
      </c>
      <c r="H1182" s="2" t="s">
        <v>96</v>
      </c>
      <c r="I1182" s="2" t="s">
        <v>15</v>
      </c>
      <c r="J1182" s="2" t="s">
        <v>36</v>
      </c>
      <c r="K1182" s="2" t="s">
        <v>17</v>
      </c>
      <c r="L1182" s="7">
        <f>Table3[[#This Row],[Revenue]]-Table3[[#This Row],[Ad Spend]]</f>
        <v>221.32999999999998</v>
      </c>
      <c r="M1182" s="11">
        <v>128.80000000000001</v>
      </c>
    </row>
    <row r="1183" spans="1:13" ht="15.75" customHeight="1" x14ac:dyDescent="0.3">
      <c r="A1183" s="4" t="s">
        <v>552</v>
      </c>
      <c r="B1183">
        <f t="shared" si="18"/>
        <v>11</v>
      </c>
      <c r="C1183" s="2" t="s">
        <v>63</v>
      </c>
      <c r="D1183" s="2" t="s">
        <v>331</v>
      </c>
      <c r="E1183" s="7">
        <v>58.3</v>
      </c>
      <c r="F1183" s="2">
        <v>6</v>
      </c>
      <c r="G1183" s="7">
        <v>65.260000000000005</v>
      </c>
      <c r="H1183" s="2" t="s">
        <v>24</v>
      </c>
      <c r="I1183" s="2" t="s">
        <v>15</v>
      </c>
      <c r="J1183" s="2" t="s">
        <v>36</v>
      </c>
      <c r="K1183" s="2" t="s">
        <v>17</v>
      </c>
      <c r="L1183" s="7">
        <f>Table3[[#This Row],[Revenue]]-Table3[[#This Row],[Ad Spend]]</f>
        <v>6.960000000000008</v>
      </c>
      <c r="M1183" s="11">
        <v>138.62</v>
      </c>
    </row>
    <row r="1184" spans="1:13" ht="15.75" customHeight="1" x14ac:dyDescent="0.3">
      <c r="A1184" s="4" t="s">
        <v>280</v>
      </c>
      <c r="B1184">
        <f t="shared" si="18"/>
        <v>2</v>
      </c>
      <c r="C1184" s="2" t="s">
        <v>19</v>
      </c>
      <c r="D1184" s="2" t="s">
        <v>1271</v>
      </c>
      <c r="E1184" s="7">
        <v>39.700000000000003</v>
      </c>
      <c r="F1184" s="2">
        <v>7</v>
      </c>
      <c r="G1184" s="7">
        <v>459</v>
      </c>
      <c r="H1184" s="2" t="s">
        <v>315</v>
      </c>
      <c r="I1184" s="2" t="s">
        <v>15</v>
      </c>
      <c r="J1184" s="2" t="s">
        <v>25</v>
      </c>
      <c r="K1184" s="2" t="s">
        <v>17</v>
      </c>
      <c r="L1184" s="7">
        <f>Table3[[#This Row],[Revenue]]-Table3[[#This Row],[Ad Spend]]</f>
        <v>419.3</v>
      </c>
      <c r="M1184" s="11">
        <v>107.15</v>
      </c>
    </row>
    <row r="1185" spans="1:13" ht="15.75" customHeight="1" x14ac:dyDescent="0.3">
      <c r="A1185" s="4" t="s">
        <v>322</v>
      </c>
      <c r="B1185">
        <f t="shared" si="18"/>
        <v>11</v>
      </c>
      <c r="C1185" s="2" t="s">
        <v>19</v>
      </c>
      <c r="D1185" s="2" t="s">
        <v>846</v>
      </c>
      <c r="E1185" s="7">
        <v>77.11</v>
      </c>
      <c r="F1185" s="2">
        <v>8</v>
      </c>
      <c r="G1185" s="7">
        <v>181.4</v>
      </c>
      <c r="H1185" s="2" t="s">
        <v>1272</v>
      </c>
      <c r="I1185" s="2" t="s">
        <v>29</v>
      </c>
      <c r="J1185" s="2" t="s">
        <v>16</v>
      </c>
      <c r="K1185" s="2" t="s">
        <v>17</v>
      </c>
      <c r="L1185" s="7">
        <f>Table3[[#This Row],[Revenue]]-Table3[[#This Row],[Ad Spend]]</f>
        <v>104.29</v>
      </c>
      <c r="M1185" s="11">
        <v>142.78</v>
      </c>
    </row>
    <row r="1186" spans="1:13" ht="15.75" customHeight="1" x14ac:dyDescent="0.3">
      <c r="A1186" s="4" t="s">
        <v>238</v>
      </c>
      <c r="B1186">
        <f t="shared" si="18"/>
        <v>3</v>
      </c>
      <c r="C1186" s="2" t="s">
        <v>19</v>
      </c>
      <c r="D1186" s="2" t="s">
        <v>339</v>
      </c>
      <c r="E1186" s="7">
        <v>133.32</v>
      </c>
      <c r="F1186" s="2">
        <v>0</v>
      </c>
      <c r="G1186" s="7">
        <v>315.97000000000003</v>
      </c>
      <c r="H1186" s="2" t="s">
        <v>138</v>
      </c>
      <c r="I1186" s="2" t="s">
        <v>29</v>
      </c>
      <c r="J1186" s="2" t="s">
        <v>36</v>
      </c>
      <c r="K1186" s="2" t="s">
        <v>46</v>
      </c>
      <c r="L1186" s="7">
        <f>Table3[[#This Row],[Revenue]]-Table3[[#This Row],[Ad Spend]]</f>
        <v>182.65000000000003</v>
      </c>
      <c r="M1186" s="11">
        <v>129.74</v>
      </c>
    </row>
    <row r="1187" spans="1:13" ht="15.75" customHeight="1" x14ac:dyDescent="0.3">
      <c r="A1187" s="4" t="s">
        <v>918</v>
      </c>
      <c r="B1187">
        <f t="shared" si="18"/>
        <v>2</v>
      </c>
      <c r="C1187" s="2" t="s">
        <v>63</v>
      </c>
      <c r="D1187" s="2" t="s">
        <v>1000</v>
      </c>
      <c r="E1187" s="7">
        <v>33.57</v>
      </c>
      <c r="F1187" s="2">
        <v>3</v>
      </c>
      <c r="G1187" s="7">
        <v>171.68</v>
      </c>
      <c r="H1187" s="2" t="s">
        <v>267</v>
      </c>
      <c r="I1187" s="2" t="s">
        <v>29</v>
      </c>
      <c r="J1187" s="2" t="s">
        <v>53</v>
      </c>
      <c r="K1187" s="2" t="s">
        <v>17</v>
      </c>
      <c r="L1187" s="7">
        <f>Table3[[#This Row],[Revenue]]-Table3[[#This Row],[Ad Spend]]</f>
        <v>138.11000000000001</v>
      </c>
      <c r="M1187" s="11">
        <v>125.42</v>
      </c>
    </row>
    <row r="1188" spans="1:13" ht="15.75" customHeight="1" x14ac:dyDescent="0.3">
      <c r="A1188" s="4" t="s">
        <v>110</v>
      </c>
      <c r="B1188">
        <f t="shared" si="18"/>
        <v>4</v>
      </c>
      <c r="C1188" s="2" t="s">
        <v>12</v>
      </c>
      <c r="D1188" s="2" t="s">
        <v>85</v>
      </c>
      <c r="E1188" s="7">
        <v>40.81</v>
      </c>
      <c r="F1188" s="2">
        <v>3</v>
      </c>
      <c r="G1188" s="7">
        <v>342.79</v>
      </c>
      <c r="H1188" s="2" t="s">
        <v>763</v>
      </c>
      <c r="I1188" s="2" t="s">
        <v>29</v>
      </c>
      <c r="J1188" s="2" t="s">
        <v>36</v>
      </c>
      <c r="K1188" s="2" t="s">
        <v>17</v>
      </c>
      <c r="L1188" s="7">
        <f>Table3[[#This Row],[Revenue]]-Table3[[#This Row],[Ad Spend]]</f>
        <v>301.98</v>
      </c>
      <c r="M1188" s="11">
        <v>151.01</v>
      </c>
    </row>
    <row r="1189" spans="1:13" ht="15.75" customHeight="1" x14ac:dyDescent="0.3">
      <c r="A1189" s="4" t="s">
        <v>312</v>
      </c>
      <c r="B1189">
        <f t="shared" si="18"/>
        <v>3</v>
      </c>
      <c r="C1189" s="2" t="s">
        <v>32</v>
      </c>
      <c r="D1189" s="2" t="s">
        <v>1273</v>
      </c>
      <c r="E1189" s="7">
        <v>140.84</v>
      </c>
      <c r="F1189" s="2">
        <v>6</v>
      </c>
      <c r="G1189" s="7">
        <v>388.67</v>
      </c>
      <c r="H1189" s="2" t="s">
        <v>1274</v>
      </c>
      <c r="I1189" s="2" t="s">
        <v>29</v>
      </c>
      <c r="J1189" s="2" t="s">
        <v>25</v>
      </c>
      <c r="K1189" s="2" t="s">
        <v>17</v>
      </c>
      <c r="L1189" s="7">
        <f>Table3[[#This Row],[Revenue]]-Table3[[#This Row],[Ad Spend]]</f>
        <v>247.83</v>
      </c>
      <c r="M1189" s="11">
        <v>95.49</v>
      </c>
    </row>
    <row r="1190" spans="1:13" ht="15.75" customHeight="1" x14ac:dyDescent="0.3">
      <c r="A1190" s="4" t="s">
        <v>312</v>
      </c>
      <c r="B1190">
        <f t="shared" si="18"/>
        <v>3</v>
      </c>
      <c r="C1190" s="2" t="s">
        <v>12</v>
      </c>
      <c r="D1190" s="2" t="s">
        <v>1275</v>
      </c>
      <c r="E1190" s="7">
        <v>146.24</v>
      </c>
      <c r="F1190" s="2">
        <v>6</v>
      </c>
      <c r="G1190" s="7">
        <v>338.61</v>
      </c>
      <c r="H1190" s="2" t="s">
        <v>1256</v>
      </c>
      <c r="I1190" s="2" t="s">
        <v>35</v>
      </c>
      <c r="J1190" s="2" t="s">
        <v>30</v>
      </c>
      <c r="K1190" s="2" t="s">
        <v>17</v>
      </c>
      <c r="L1190" s="7">
        <f>Table3[[#This Row],[Revenue]]-Table3[[#This Row],[Ad Spend]]</f>
        <v>192.37</v>
      </c>
      <c r="M1190" s="11">
        <v>104.37</v>
      </c>
    </row>
    <row r="1191" spans="1:13" ht="15.75" customHeight="1" x14ac:dyDescent="0.3">
      <c r="A1191" s="4" t="s">
        <v>216</v>
      </c>
      <c r="B1191">
        <f t="shared" si="18"/>
        <v>2</v>
      </c>
      <c r="C1191" s="2" t="s">
        <v>32</v>
      </c>
      <c r="D1191" s="2" t="s">
        <v>1030</v>
      </c>
      <c r="E1191" s="7">
        <v>31.8</v>
      </c>
      <c r="F1191" s="2">
        <v>10</v>
      </c>
      <c r="G1191" s="7">
        <v>363.25</v>
      </c>
      <c r="H1191" s="2" t="s">
        <v>1276</v>
      </c>
      <c r="I1191" s="2" t="s">
        <v>15</v>
      </c>
      <c r="J1191" s="2" t="s">
        <v>87</v>
      </c>
      <c r="K1191" s="2" t="s">
        <v>17</v>
      </c>
      <c r="L1191" s="7">
        <f>Table3[[#This Row],[Revenue]]-Table3[[#This Row],[Ad Spend]]</f>
        <v>331.45</v>
      </c>
      <c r="M1191" s="11">
        <v>168.45</v>
      </c>
    </row>
    <row r="1192" spans="1:13" ht="15.75" customHeight="1" x14ac:dyDescent="0.3">
      <c r="A1192" s="4" t="s">
        <v>136</v>
      </c>
      <c r="B1192">
        <f t="shared" si="18"/>
        <v>2</v>
      </c>
      <c r="C1192" s="2" t="s">
        <v>19</v>
      </c>
      <c r="D1192" s="2" t="s">
        <v>697</v>
      </c>
      <c r="E1192" s="7">
        <v>22.45</v>
      </c>
      <c r="F1192" s="2">
        <v>5</v>
      </c>
      <c r="G1192" s="7">
        <v>218.21</v>
      </c>
      <c r="H1192" s="2" t="s">
        <v>506</v>
      </c>
      <c r="I1192" s="2" t="s">
        <v>35</v>
      </c>
      <c r="J1192" s="2" t="s">
        <v>30</v>
      </c>
      <c r="K1192" s="2" t="s">
        <v>17</v>
      </c>
      <c r="L1192" s="7">
        <f>Table3[[#This Row],[Revenue]]-Table3[[#This Row],[Ad Spend]]</f>
        <v>195.76000000000002</v>
      </c>
      <c r="M1192" s="11">
        <v>159.66999999999999</v>
      </c>
    </row>
    <row r="1193" spans="1:13" ht="15.75" customHeight="1" x14ac:dyDescent="0.3">
      <c r="A1193" s="4" t="s">
        <v>11</v>
      </c>
      <c r="B1193">
        <f t="shared" si="18"/>
        <v>1</v>
      </c>
      <c r="C1193" s="2" t="s">
        <v>63</v>
      </c>
      <c r="D1193" s="2" t="s">
        <v>1277</v>
      </c>
      <c r="E1193" s="7">
        <v>21.82</v>
      </c>
      <c r="F1193" s="2">
        <v>6</v>
      </c>
      <c r="G1193" s="7">
        <v>334.28</v>
      </c>
      <c r="H1193" s="2" t="s">
        <v>374</v>
      </c>
      <c r="I1193" s="2" t="s">
        <v>15</v>
      </c>
      <c r="J1193" s="2" t="s">
        <v>25</v>
      </c>
      <c r="K1193" s="2" t="s">
        <v>17</v>
      </c>
      <c r="L1193" s="7">
        <f>Table3[[#This Row],[Revenue]]-Table3[[#This Row],[Ad Spend]]</f>
        <v>312.45999999999998</v>
      </c>
      <c r="M1193" s="11">
        <v>118.98</v>
      </c>
    </row>
    <row r="1194" spans="1:13" ht="15.75" customHeight="1" x14ac:dyDescent="0.3">
      <c r="A1194" s="4" t="s">
        <v>438</v>
      </c>
      <c r="B1194">
        <f t="shared" si="18"/>
        <v>4</v>
      </c>
      <c r="C1194" s="2" t="s">
        <v>63</v>
      </c>
      <c r="D1194" s="2" t="s">
        <v>460</v>
      </c>
      <c r="E1194" s="7">
        <v>69.569999999999993</v>
      </c>
      <c r="F1194" s="2">
        <v>10</v>
      </c>
      <c r="G1194" s="7">
        <v>474.78</v>
      </c>
      <c r="H1194" s="2" t="s">
        <v>1278</v>
      </c>
      <c r="I1194" s="2" t="s">
        <v>35</v>
      </c>
      <c r="J1194" s="2" t="s">
        <v>16</v>
      </c>
      <c r="K1194" s="2" t="s">
        <v>17</v>
      </c>
      <c r="L1194" s="7">
        <f>Table3[[#This Row],[Revenue]]-Table3[[#This Row],[Ad Spend]]</f>
        <v>405.21</v>
      </c>
      <c r="M1194" s="11">
        <v>192.91</v>
      </c>
    </row>
    <row r="1195" spans="1:13" ht="15.75" customHeight="1" x14ac:dyDescent="0.3">
      <c r="A1195" s="4" t="s">
        <v>683</v>
      </c>
      <c r="B1195">
        <f t="shared" si="18"/>
        <v>11</v>
      </c>
      <c r="C1195" s="2" t="s">
        <v>12</v>
      </c>
      <c r="D1195" s="2" t="s">
        <v>69</v>
      </c>
      <c r="E1195" s="7">
        <v>93.15</v>
      </c>
      <c r="F1195" s="2">
        <v>5</v>
      </c>
      <c r="G1195" s="7">
        <v>340.95</v>
      </c>
      <c r="H1195" s="2" t="s">
        <v>364</v>
      </c>
      <c r="I1195" s="2" t="s">
        <v>35</v>
      </c>
      <c r="J1195" s="2" t="s">
        <v>25</v>
      </c>
      <c r="K1195" s="2" t="s">
        <v>17</v>
      </c>
      <c r="L1195" s="7">
        <f>Table3[[#This Row],[Revenue]]-Table3[[#This Row],[Ad Spend]]</f>
        <v>247.79999999999998</v>
      </c>
      <c r="M1195" s="11">
        <v>127.37</v>
      </c>
    </row>
    <row r="1196" spans="1:13" ht="15.75" customHeight="1" x14ac:dyDescent="0.3">
      <c r="A1196" s="4" t="s">
        <v>277</v>
      </c>
      <c r="B1196">
        <f t="shared" si="18"/>
        <v>2</v>
      </c>
      <c r="C1196" s="2" t="s">
        <v>63</v>
      </c>
      <c r="D1196" s="2" t="s">
        <v>1279</v>
      </c>
      <c r="E1196" s="7">
        <v>69.989999999999995</v>
      </c>
      <c r="F1196" s="2">
        <v>6</v>
      </c>
      <c r="G1196" s="7">
        <v>261.79000000000002</v>
      </c>
      <c r="H1196" s="2" t="s">
        <v>267</v>
      </c>
      <c r="I1196" s="2" t="s">
        <v>15</v>
      </c>
      <c r="J1196" s="2" t="s">
        <v>25</v>
      </c>
      <c r="K1196" s="2" t="s">
        <v>17</v>
      </c>
      <c r="L1196" s="7">
        <f>Table3[[#This Row],[Revenue]]-Table3[[#This Row],[Ad Spend]]</f>
        <v>191.8</v>
      </c>
      <c r="M1196" s="11">
        <v>116.08</v>
      </c>
    </row>
    <row r="1197" spans="1:13" ht="15.75" customHeight="1" x14ac:dyDescent="0.3">
      <c r="A1197" s="4" t="s">
        <v>340</v>
      </c>
      <c r="B1197">
        <f t="shared" si="18"/>
        <v>11</v>
      </c>
      <c r="C1197" s="2" t="s">
        <v>12</v>
      </c>
      <c r="D1197" s="2" t="s">
        <v>513</v>
      </c>
      <c r="E1197" s="7">
        <v>16.600000000000001</v>
      </c>
      <c r="F1197" s="2">
        <v>7</v>
      </c>
      <c r="G1197" s="7">
        <v>222.42</v>
      </c>
      <c r="H1197" s="2" t="s">
        <v>52</v>
      </c>
      <c r="I1197" s="2" t="s">
        <v>35</v>
      </c>
      <c r="J1197" s="2" t="s">
        <v>87</v>
      </c>
      <c r="K1197" s="2" t="s">
        <v>17</v>
      </c>
      <c r="L1197" s="7">
        <f>Table3[[#This Row],[Revenue]]-Table3[[#This Row],[Ad Spend]]</f>
        <v>205.82</v>
      </c>
      <c r="M1197" s="11">
        <v>122.07</v>
      </c>
    </row>
    <row r="1198" spans="1:13" ht="15.75" customHeight="1" x14ac:dyDescent="0.3">
      <c r="A1198" s="4" t="s">
        <v>589</v>
      </c>
      <c r="B1198">
        <f t="shared" si="18"/>
        <v>12</v>
      </c>
      <c r="C1198" s="2" t="s">
        <v>32</v>
      </c>
      <c r="D1198" s="2" t="s">
        <v>1156</v>
      </c>
      <c r="E1198" s="7">
        <v>60.33</v>
      </c>
      <c r="F1198" s="2">
        <v>4</v>
      </c>
      <c r="G1198" s="7">
        <v>382.63</v>
      </c>
      <c r="H1198" s="2" t="s">
        <v>913</v>
      </c>
      <c r="I1198" s="2" t="s">
        <v>15</v>
      </c>
      <c r="J1198" s="2" t="s">
        <v>16</v>
      </c>
      <c r="K1198" s="2" t="s">
        <v>17</v>
      </c>
      <c r="L1198" s="7">
        <f>Table3[[#This Row],[Revenue]]-Table3[[#This Row],[Ad Spend]]</f>
        <v>322.3</v>
      </c>
      <c r="M1198" s="11">
        <v>124.36</v>
      </c>
    </row>
    <row r="1199" spans="1:13" ht="15.75" customHeight="1" x14ac:dyDescent="0.3">
      <c r="A1199" s="4" t="s">
        <v>120</v>
      </c>
      <c r="B1199">
        <f t="shared" si="18"/>
        <v>3</v>
      </c>
      <c r="C1199" s="2" t="s">
        <v>12</v>
      </c>
      <c r="D1199" s="2" t="s">
        <v>480</v>
      </c>
      <c r="E1199" s="7">
        <v>72.63</v>
      </c>
      <c r="F1199" s="2">
        <v>6</v>
      </c>
      <c r="G1199" s="7">
        <v>473.85</v>
      </c>
      <c r="H1199" s="2" t="s">
        <v>974</v>
      </c>
      <c r="I1199" s="2" t="s">
        <v>29</v>
      </c>
      <c r="J1199" s="2" t="s">
        <v>16</v>
      </c>
      <c r="K1199" s="2" t="s">
        <v>17</v>
      </c>
      <c r="L1199" s="7">
        <f>Table3[[#This Row],[Revenue]]-Table3[[#This Row],[Ad Spend]]</f>
        <v>401.22</v>
      </c>
      <c r="M1199" s="11">
        <v>148.83000000000001</v>
      </c>
    </row>
    <row r="1200" spans="1:13" ht="15.75" customHeight="1" x14ac:dyDescent="0.3">
      <c r="A1200" s="4" t="s">
        <v>673</v>
      </c>
      <c r="B1200">
        <f t="shared" si="18"/>
        <v>12</v>
      </c>
      <c r="C1200" s="2" t="s">
        <v>32</v>
      </c>
      <c r="D1200" s="2" t="s">
        <v>537</v>
      </c>
      <c r="E1200" s="7">
        <v>147.88</v>
      </c>
      <c r="F1200" s="2">
        <v>5</v>
      </c>
      <c r="G1200" s="7">
        <v>49.19</v>
      </c>
      <c r="H1200" s="2" t="s">
        <v>1178</v>
      </c>
      <c r="I1200" s="2" t="s">
        <v>35</v>
      </c>
      <c r="J1200" s="2" t="s">
        <v>53</v>
      </c>
      <c r="K1200" s="2" t="s">
        <v>17</v>
      </c>
      <c r="L1200" s="7">
        <f>Table3[[#This Row],[Revenue]]-Table3[[#This Row],[Ad Spend]]</f>
        <v>-98.69</v>
      </c>
      <c r="M1200" s="11">
        <v>88.6</v>
      </c>
    </row>
    <row r="1201" spans="1:13" ht="15.75" customHeight="1" x14ac:dyDescent="0.3">
      <c r="A1201" s="4" t="s">
        <v>252</v>
      </c>
      <c r="B1201">
        <f t="shared" si="18"/>
        <v>11</v>
      </c>
      <c r="C1201" s="2" t="s">
        <v>12</v>
      </c>
      <c r="D1201" s="2" t="s">
        <v>1069</v>
      </c>
      <c r="E1201" s="7">
        <v>119.15</v>
      </c>
      <c r="F1201" s="2">
        <v>3</v>
      </c>
      <c r="G1201" s="7">
        <v>60.63</v>
      </c>
      <c r="H1201" s="2" t="s">
        <v>1075</v>
      </c>
      <c r="I1201" s="2" t="s">
        <v>29</v>
      </c>
      <c r="J1201" s="2" t="s">
        <v>25</v>
      </c>
      <c r="K1201" s="2" t="s">
        <v>17</v>
      </c>
      <c r="L1201" s="7">
        <f>Table3[[#This Row],[Revenue]]-Table3[[#This Row],[Ad Spend]]</f>
        <v>-58.52</v>
      </c>
      <c r="M1201" s="11">
        <v>52.86</v>
      </c>
    </row>
    <row r="1202" spans="1:13" ht="15.75" customHeight="1" x14ac:dyDescent="0.3">
      <c r="A1202" s="4" t="s">
        <v>50</v>
      </c>
      <c r="B1202">
        <f t="shared" si="18"/>
        <v>12</v>
      </c>
      <c r="C1202" s="2" t="s">
        <v>63</v>
      </c>
      <c r="D1202" s="2" t="s">
        <v>521</v>
      </c>
      <c r="E1202" s="7">
        <v>24.1</v>
      </c>
      <c r="F1202" s="2">
        <v>6</v>
      </c>
      <c r="G1202" s="7">
        <v>163.72999999999999</v>
      </c>
      <c r="H1202" s="2" t="s">
        <v>570</v>
      </c>
      <c r="I1202" s="2" t="s">
        <v>35</v>
      </c>
      <c r="J1202" s="2" t="s">
        <v>25</v>
      </c>
      <c r="K1202" s="2" t="s">
        <v>17</v>
      </c>
      <c r="L1202" s="7">
        <f>Table3[[#This Row],[Revenue]]-Table3[[#This Row],[Ad Spend]]</f>
        <v>139.63</v>
      </c>
      <c r="M1202" s="11">
        <v>113.56</v>
      </c>
    </row>
    <row r="1203" spans="1:13" ht="15.75" customHeight="1" x14ac:dyDescent="0.3">
      <c r="A1203" s="4" t="s">
        <v>340</v>
      </c>
      <c r="B1203">
        <f t="shared" si="18"/>
        <v>11</v>
      </c>
      <c r="C1203" s="2" t="s">
        <v>63</v>
      </c>
      <c r="D1203" s="2" t="s">
        <v>1156</v>
      </c>
      <c r="E1203" s="7">
        <v>138.55000000000001</v>
      </c>
      <c r="F1203" s="2">
        <v>5</v>
      </c>
      <c r="G1203" s="7">
        <v>139.77000000000001</v>
      </c>
      <c r="H1203" s="2" t="s">
        <v>556</v>
      </c>
      <c r="I1203" s="2" t="s">
        <v>15</v>
      </c>
      <c r="J1203" s="2" t="s">
        <v>30</v>
      </c>
      <c r="K1203" s="2" t="s">
        <v>17</v>
      </c>
      <c r="L1203" s="7">
        <f>Table3[[#This Row],[Revenue]]-Table3[[#This Row],[Ad Spend]]</f>
        <v>1.2199999999999989</v>
      </c>
      <c r="M1203" s="11">
        <v>153.06</v>
      </c>
    </row>
    <row r="1204" spans="1:13" ht="15.75" customHeight="1" x14ac:dyDescent="0.3">
      <c r="A1204" s="4" t="s">
        <v>214</v>
      </c>
      <c r="B1204">
        <f t="shared" si="18"/>
        <v>3</v>
      </c>
      <c r="C1204" s="2" t="s">
        <v>19</v>
      </c>
      <c r="D1204" s="2" t="s">
        <v>212</v>
      </c>
      <c r="E1204" s="7">
        <v>84.69</v>
      </c>
      <c r="F1204" s="2">
        <v>6</v>
      </c>
      <c r="G1204" s="7">
        <v>401.27</v>
      </c>
      <c r="H1204" s="2" t="s">
        <v>96</v>
      </c>
      <c r="I1204" s="2" t="s">
        <v>29</v>
      </c>
      <c r="J1204" s="2" t="s">
        <v>53</v>
      </c>
      <c r="K1204" s="2" t="s">
        <v>17</v>
      </c>
      <c r="L1204" s="7">
        <f>Table3[[#This Row],[Revenue]]-Table3[[#This Row],[Ad Spend]]</f>
        <v>316.58</v>
      </c>
      <c r="M1204" s="11">
        <v>131.99</v>
      </c>
    </row>
    <row r="1205" spans="1:13" ht="15.75" customHeight="1" x14ac:dyDescent="0.3">
      <c r="A1205" s="4" t="s">
        <v>94</v>
      </c>
      <c r="B1205">
        <f t="shared" si="18"/>
        <v>1</v>
      </c>
      <c r="C1205" s="2" t="s">
        <v>63</v>
      </c>
      <c r="D1205" s="2" t="s">
        <v>648</v>
      </c>
      <c r="E1205" s="7">
        <v>100.81</v>
      </c>
      <c r="F1205" s="2">
        <v>6</v>
      </c>
      <c r="G1205" s="7">
        <v>98.08</v>
      </c>
      <c r="H1205" s="2" t="s">
        <v>1280</v>
      </c>
      <c r="I1205" s="2" t="s">
        <v>29</v>
      </c>
      <c r="J1205" s="2" t="s">
        <v>25</v>
      </c>
      <c r="K1205" s="2" t="s">
        <v>17</v>
      </c>
      <c r="L1205" s="7">
        <f>Table3[[#This Row],[Revenue]]-Table3[[#This Row],[Ad Spend]]</f>
        <v>-2.730000000000004</v>
      </c>
      <c r="M1205" s="11">
        <v>63.68</v>
      </c>
    </row>
    <row r="1206" spans="1:13" ht="15.75" customHeight="1" x14ac:dyDescent="0.3">
      <c r="A1206" s="4" t="s">
        <v>199</v>
      </c>
      <c r="B1206">
        <f t="shared" si="18"/>
        <v>4</v>
      </c>
      <c r="C1206" s="2" t="s">
        <v>63</v>
      </c>
      <c r="D1206" s="2" t="s">
        <v>248</v>
      </c>
      <c r="E1206" s="7">
        <v>97.18</v>
      </c>
      <c r="F1206" s="2">
        <v>3</v>
      </c>
      <c r="G1206" s="7">
        <v>183.15</v>
      </c>
      <c r="H1206" s="2" t="s">
        <v>52</v>
      </c>
      <c r="I1206" s="2" t="s">
        <v>35</v>
      </c>
      <c r="J1206" s="2" t="s">
        <v>25</v>
      </c>
      <c r="K1206" s="2" t="s">
        <v>17</v>
      </c>
      <c r="L1206" s="7">
        <f>Table3[[#This Row],[Revenue]]-Table3[[#This Row],[Ad Spend]]</f>
        <v>85.97</v>
      </c>
      <c r="M1206" s="11">
        <v>124.75</v>
      </c>
    </row>
    <row r="1207" spans="1:13" ht="15.75" customHeight="1" x14ac:dyDescent="0.3">
      <c r="A1207" s="4" t="s">
        <v>169</v>
      </c>
      <c r="B1207">
        <f t="shared" si="18"/>
        <v>2</v>
      </c>
      <c r="C1207" s="2" t="s">
        <v>19</v>
      </c>
      <c r="D1207" s="2" t="s">
        <v>33</v>
      </c>
      <c r="E1207" s="7">
        <v>56.21</v>
      </c>
      <c r="F1207" s="2">
        <v>10</v>
      </c>
      <c r="G1207" s="7">
        <v>181.13</v>
      </c>
      <c r="H1207" s="2" t="s">
        <v>374</v>
      </c>
      <c r="I1207" s="2" t="s">
        <v>29</v>
      </c>
      <c r="J1207" s="2" t="s">
        <v>30</v>
      </c>
      <c r="K1207" s="2" t="s">
        <v>17</v>
      </c>
      <c r="L1207" s="7">
        <f>Table3[[#This Row],[Revenue]]-Table3[[#This Row],[Ad Spend]]</f>
        <v>124.91999999999999</v>
      </c>
      <c r="M1207" s="11">
        <v>120.87</v>
      </c>
    </row>
    <row r="1208" spans="1:13" ht="15.75" customHeight="1" x14ac:dyDescent="0.3">
      <c r="A1208" s="4" t="s">
        <v>522</v>
      </c>
      <c r="B1208">
        <f t="shared" si="18"/>
        <v>1</v>
      </c>
      <c r="C1208" s="2" t="s">
        <v>12</v>
      </c>
      <c r="D1208" s="2" t="s">
        <v>940</v>
      </c>
      <c r="E1208" s="7">
        <v>90.07</v>
      </c>
      <c r="F1208" s="2">
        <v>0</v>
      </c>
      <c r="G1208" s="7">
        <v>136.49</v>
      </c>
      <c r="H1208" s="2" t="s">
        <v>198</v>
      </c>
      <c r="I1208" s="2" t="s">
        <v>15</v>
      </c>
      <c r="J1208" s="2" t="s">
        <v>87</v>
      </c>
      <c r="K1208" s="2" t="s">
        <v>46</v>
      </c>
      <c r="L1208" s="7">
        <f>Table3[[#This Row],[Revenue]]-Table3[[#This Row],[Ad Spend]]</f>
        <v>46.420000000000016</v>
      </c>
      <c r="M1208" s="11">
        <v>107.33</v>
      </c>
    </row>
    <row r="1209" spans="1:13" ht="15.75" customHeight="1" x14ac:dyDescent="0.3">
      <c r="A1209" s="4" t="s">
        <v>76</v>
      </c>
      <c r="B1209">
        <f t="shared" si="18"/>
        <v>1</v>
      </c>
      <c r="C1209" s="2" t="s">
        <v>63</v>
      </c>
      <c r="D1209" s="2" t="s">
        <v>1269</v>
      </c>
      <c r="E1209" s="7">
        <v>87.44</v>
      </c>
      <c r="F1209" s="2">
        <v>7</v>
      </c>
      <c r="G1209" s="7">
        <v>337.77</v>
      </c>
      <c r="H1209" s="2" t="s">
        <v>65</v>
      </c>
      <c r="I1209" s="2" t="s">
        <v>15</v>
      </c>
      <c r="J1209" s="2" t="s">
        <v>87</v>
      </c>
      <c r="K1209" s="2" t="s">
        <v>17</v>
      </c>
      <c r="L1209" s="7">
        <f>Table3[[#This Row],[Revenue]]-Table3[[#This Row],[Ad Spend]]</f>
        <v>250.32999999999998</v>
      </c>
      <c r="M1209" s="11">
        <v>119.86</v>
      </c>
    </row>
    <row r="1210" spans="1:13" ht="15.75" customHeight="1" x14ac:dyDescent="0.3">
      <c r="A1210" s="4" t="s">
        <v>475</v>
      </c>
      <c r="B1210">
        <f t="shared" si="18"/>
        <v>3</v>
      </c>
      <c r="C1210" s="2" t="s">
        <v>32</v>
      </c>
      <c r="D1210" s="2" t="s">
        <v>855</v>
      </c>
      <c r="E1210" s="7">
        <v>51.73</v>
      </c>
      <c r="F1210" s="2">
        <v>10</v>
      </c>
      <c r="G1210" s="7">
        <v>301.72000000000003</v>
      </c>
      <c r="H1210" s="2" t="s">
        <v>52</v>
      </c>
      <c r="I1210" s="2" t="s">
        <v>35</v>
      </c>
      <c r="J1210" s="2" t="s">
        <v>25</v>
      </c>
      <c r="K1210" s="2" t="s">
        <v>17</v>
      </c>
      <c r="L1210" s="7">
        <f>Table3[[#This Row],[Revenue]]-Table3[[#This Row],[Ad Spend]]</f>
        <v>249.99000000000004</v>
      </c>
      <c r="M1210" s="11">
        <v>123.18</v>
      </c>
    </row>
    <row r="1211" spans="1:13" ht="15.75" customHeight="1" x14ac:dyDescent="0.3">
      <c r="A1211" s="4" t="s">
        <v>656</v>
      </c>
      <c r="B1211">
        <f t="shared" si="18"/>
        <v>4</v>
      </c>
      <c r="C1211" s="2" t="s">
        <v>63</v>
      </c>
      <c r="D1211" s="2" t="s">
        <v>882</v>
      </c>
      <c r="E1211" s="7">
        <v>74.180000000000007</v>
      </c>
      <c r="F1211" s="2">
        <v>4</v>
      </c>
      <c r="G1211" s="7">
        <v>206.3</v>
      </c>
      <c r="H1211" s="2" t="s">
        <v>910</v>
      </c>
      <c r="I1211" s="2" t="s">
        <v>35</v>
      </c>
      <c r="J1211" s="2" t="s">
        <v>36</v>
      </c>
      <c r="K1211" s="2" t="s">
        <v>17</v>
      </c>
      <c r="L1211" s="7">
        <f>Table3[[#This Row],[Revenue]]-Table3[[#This Row],[Ad Spend]]</f>
        <v>132.12</v>
      </c>
      <c r="M1211" s="11">
        <v>117.62</v>
      </c>
    </row>
    <row r="1212" spans="1:13" ht="15.75" customHeight="1" x14ac:dyDescent="0.3">
      <c r="A1212" s="4" t="s">
        <v>522</v>
      </c>
      <c r="B1212">
        <f t="shared" si="18"/>
        <v>1</v>
      </c>
      <c r="C1212" s="2" t="s">
        <v>19</v>
      </c>
      <c r="D1212" s="2" t="s">
        <v>611</v>
      </c>
      <c r="E1212" s="7">
        <v>28.78</v>
      </c>
      <c r="F1212" s="2">
        <v>4</v>
      </c>
      <c r="G1212" s="7">
        <v>232.11</v>
      </c>
      <c r="H1212" s="2" t="s">
        <v>42</v>
      </c>
      <c r="I1212" s="2" t="s">
        <v>29</v>
      </c>
      <c r="J1212" s="2" t="s">
        <v>25</v>
      </c>
      <c r="K1212" s="2" t="s">
        <v>17</v>
      </c>
      <c r="L1212" s="7">
        <f>Table3[[#This Row],[Revenue]]-Table3[[#This Row],[Ad Spend]]</f>
        <v>203.33</v>
      </c>
      <c r="M1212" s="11">
        <v>114.89</v>
      </c>
    </row>
    <row r="1213" spans="1:13" ht="15.75" customHeight="1" x14ac:dyDescent="0.3">
      <c r="A1213" s="4" t="s">
        <v>643</v>
      </c>
      <c r="B1213">
        <f t="shared" si="18"/>
        <v>2</v>
      </c>
      <c r="C1213" s="2" t="s">
        <v>19</v>
      </c>
      <c r="D1213" s="2" t="s">
        <v>1266</v>
      </c>
      <c r="E1213" s="7">
        <v>7.83</v>
      </c>
      <c r="F1213" s="2">
        <v>2</v>
      </c>
      <c r="G1213" s="7">
        <v>376.88</v>
      </c>
      <c r="H1213" s="2" t="s">
        <v>1281</v>
      </c>
      <c r="I1213" s="2" t="s">
        <v>15</v>
      </c>
      <c r="J1213" s="2" t="s">
        <v>25</v>
      </c>
      <c r="K1213" s="2" t="s">
        <v>17</v>
      </c>
      <c r="L1213" s="7">
        <f>Table3[[#This Row],[Revenue]]-Table3[[#This Row],[Ad Spend]]</f>
        <v>369.05</v>
      </c>
      <c r="M1213" s="11">
        <v>150.54</v>
      </c>
    </row>
    <row r="1214" spans="1:13" ht="15.75" customHeight="1" x14ac:dyDescent="0.3">
      <c r="A1214" s="4" t="s">
        <v>271</v>
      </c>
      <c r="B1214">
        <f t="shared" si="18"/>
        <v>1</v>
      </c>
      <c r="C1214" s="2" t="s">
        <v>63</v>
      </c>
      <c r="D1214" s="2" t="s">
        <v>1282</v>
      </c>
      <c r="E1214" s="7">
        <v>63.67</v>
      </c>
      <c r="F1214" s="2">
        <v>9</v>
      </c>
      <c r="G1214" s="7">
        <v>320.25</v>
      </c>
      <c r="H1214" s="2" t="s">
        <v>207</v>
      </c>
      <c r="I1214" s="2" t="s">
        <v>35</v>
      </c>
      <c r="J1214" s="2" t="s">
        <v>16</v>
      </c>
      <c r="K1214" s="2" t="s">
        <v>17</v>
      </c>
      <c r="L1214" s="7">
        <f>Table3[[#This Row],[Revenue]]-Table3[[#This Row],[Ad Spend]]</f>
        <v>256.58</v>
      </c>
      <c r="M1214" s="11">
        <v>170.53</v>
      </c>
    </row>
    <row r="1215" spans="1:13" ht="15.75" customHeight="1" x14ac:dyDescent="0.3">
      <c r="A1215" s="4" t="s">
        <v>220</v>
      </c>
      <c r="B1215">
        <f t="shared" si="18"/>
        <v>12</v>
      </c>
      <c r="C1215" s="2" t="s">
        <v>63</v>
      </c>
      <c r="D1215" s="2" t="s">
        <v>344</v>
      </c>
      <c r="E1215" s="7">
        <v>65.45</v>
      </c>
      <c r="F1215" s="2">
        <v>0</v>
      </c>
      <c r="G1215" s="7">
        <v>419.42</v>
      </c>
      <c r="H1215" s="2" t="s">
        <v>664</v>
      </c>
      <c r="I1215" s="2" t="s">
        <v>15</v>
      </c>
      <c r="J1215" s="2" t="s">
        <v>25</v>
      </c>
      <c r="K1215" s="2" t="s">
        <v>46</v>
      </c>
      <c r="L1215" s="7">
        <f>Table3[[#This Row],[Revenue]]-Table3[[#This Row],[Ad Spend]]</f>
        <v>353.97</v>
      </c>
      <c r="M1215" s="11">
        <v>154.65</v>
      </c>
    </row>
    <row r="1216" spans="1:13" ht="15.75" customHeight="1" x14ac:dyDescent="0.3">
      <c r="A1216" s="4" t="s">
        <v>226</v>
      </c>
      <c r="B1216">
        <f t="shared" si="18"/>
        <v>2</v>
      </c>
      <c r="C1216" s="2" t="s">
        <v>63</v>
      </c>
      <c r="D1216" s="2" t="s">
        <v>1222</v>
      </c>
      <c r="E1216" s="7">
        <v>116.61</v>
      </c>
      <c r="F1216" s="2">
        <v>10</v>
      </c>
      <c r="G1216" s="7">
        <v>490.94</v>
      </c>
      <c r="H1216" s="2" t="s">
        <v>933</v>
      </c>
      <c r="I1216" s="2" t="s">
        <v>35</v>
      </c>
      <c r="J1216" s="2" t="s">
        <v>25</v>
      </c>
      <c r="K1216" s="2" t="s">
        <v>17</v>
      </c>
      <c r="L1216" s="7">
        <f>Table3[[#This Row],[Revenue]]-Table3[[#This Row],[Ad Spend]]</f>
        <v>374.33</v>
      </c>
      <c r="M1216" s="11">
        <v>114.39</v>
      </c>
    </row>
    <row r="1217" spans="1:13" ht="15.75" customHeight="1" x14ac:dyDescent="0.3">
      <c r="A1217" s="4" t="s">
        <v>376</v>
      </c>
      <c r="B1217">
        <f t="shared" si="18"/>
        <v>4</v>
      </c>
      <c r="C1217" s="2" t="s">
        <v>32</v>
      </c>
      <c r="D1217" s="2" t="s">
        <v>157</v>
      </c>
      <c r="E1217" s="7">
        <v>119.2</v>
      </c>
      <c r="F1217" s="2">
        <v>10</v>
      </c>
      <c r="G1217" s="7">
        <v>422.43</v>
      </c>
      <c r="H1217" s="2" t="s">
        <v>337</v>
      </c>
      <c r="I1217" s="2" t="s">
        <v>15</v>
      </c>
      <c r="J1217" s="2" t="s">
        <v>53</v>
      </c>
      <c r="K1217" s="2" t="s">
        <v>17</v>
      </c>
      <c r="L1217" s="7">
        <f>Table3[[#This Row],[Revenue]]-Table3[[#This Row],[Ad Spend]]</f>
        <v>303.23</v>
      </c>
      <c r="M1217" s="11">
        <v>153.36000000000001</v>
      </c>
    </row>
    <row r="1218" spans="1:13" ht="15.75" customHeight="1" x14ac:dyDescent="0.3">
      <c r="A1218" s="4" t="s">
        <v>723</v>
      </c>
      <c r="B1218">
        <f t="shared" si="18"/>
        <v>12</v>
      </c>
      <c r="C1218" s="2" t="s">
        <v>63</v>
      </c>
      <c r="D1218" s="2" t="s">
        <v>824</v>
      </c>
      <c r="E1218" s="7">
        <v>36.49</v>
      </c>
      <c r="F1218" s="2">
        <v>0</v>
      </c>
      <c r="G1218" s="7">
        <v>76.73</v>
      </c>
      <c r="H1218" s="2" t="s">
        <v>1283</v>
      </c>
      <c r="I1218" s="2" t="s">
        <v>15</v>
      </c>
      <c r="J1218" s="2" t="s">
        <v>30</v>
      </c>
      <c r="K1218" s="2" t="s">
        <v>46</v>
      </c>
      <c r="L1218" s="7">
        <f>Table3[[#This Row],[Revenue]]-Table3[[#This Row],[Ad Spend]]</f>
        <v>40.24</v>
      </c>
      <c r="M1218" s="11">
        <v>48.61</v>
      </c>
    </row>
    <row r="1219" spans="1:13" ht="15.75" customHeight="1" x14ac:dyDescent="0.3">
      <c r="A1219" s="4" t="s">
        <v>619</v>
      </c>
      <c r="B1219">
        <f t="shared" ref="B1219:B1282" si="19">MONTH(A1219)</f>
        <v>1</v>
      </c>
      <c r="C1219" s="2" t="s">
        <v>63</v>
      </c>
      <c r="D1219" s="2" t="s">
        <v>819</v>
      </c>
      <c r="E1219" s="7">
        <v>63.83</v>
      </c>
      <c r="F1219" s="2">
        <v>4</v>
      </c>
      <c r="G1219" s="7">
        <v>94.33</v>
      </c>
      <c r="H1219" s="2" t="s">
        <v>956</v>
      </c>
      <c r="I1219" s="2" t="s">
        <v>35</v>
      </c>
      <c r="J1219" s="2" t="s">
        <v>30</v>
      </c>
      <c r="K1219" s="2" t="s">
        <v>17</v>
      </c>
      <c r="L1219" s="7">
        <f>Table3[[#This Row],[Revenue]]-Table3[[#This Row],[Ad Spend]]</f>
        <v>30.5</v>
      </c>
      <c r="M1219" s="11">
        <v>103.08</v>
      </c>
    </row>
    <row r="1220" spans="1:13" ht="15.75" customHeight="1" x14ac:dyDescent="0.3">
      <c r="A1220" s="4" t="s">
        <v>792</v>
      </c>
      <c r="B1220">
        <f t="shared" si="19"/>
        <v>2</v>
      </c>
      <c r="C1220" s="2" t="s">
        <v>32</v>
      </c>
      <c r="D1220" s="2" t="s">
        <v>265</v>
      </c>
      <c r="E1220" s="7">
        <v>44.77</v>
      </c>
      <c r="F1220" s="2">
        <v>4</v>
      </c>
      <c r="G1220" s="7">
        <v>246.46</v>
      </c>
      <c r="H1220" s="2" t="s">
        <v>1284</v>
      </c>
      <c r="I1220" s="2" t="s">
        <v>35</v>
      </c>
      <c r="J1220" s="2" t="s">
        <v>25</v>
      </c>
      <c r="K1220" s="2" t="s">
        <v>17</v>
      </c>
      <c r="L1220" s="7">
        <f>Table3[[#This Row],[Revenue]]-Table3[[#This Row],[Ad Spend]]</f>
        <v>201.69</v>
      </c>
      <c r="M1220" s="11">
        <v>120.61</v>
      </c>
    </row>
    <row r="1221" spans="1:13" ht="15.75" customHeight="1" x14ac:dyDescent="0.3">
      <c r="A1221" s="4" t="s">
        <v>113</v>
      </c>
      <c r="B1221">
        <f t="shared" si="19"/>
        <v>3</v>
      </c>
      <c r="C1221" s="2" t="s">
        <v>32</v>
      </c>
      <c r="D1221" s="2" t="s">
        <v>281</v>
      </c>
      <c r="E1221" s="7">
        <v>37.25</v>
      </c>
      <c r="F1221" s="2">
        <v>3</v>
      </c>
      <c r="G1221" s="7">
        <v>462.3</v>
      </c>
      <c r="H1221" s="2" t="s">
        <v>749</v>
      </c>
      <c r="I1221" s="2" t="s">
        <v>35</v>
      </c>
      <c r="J1221" s="2" t="s">
        <v>87</v>
      </c>
      <c r="K1221" s="2" t="s">
        <v>17</v>
      </c>
      <c r="L1221" s="7">
        <f>Table3[[#This Row],[Revenue]]-Table3[[#This Row],[Ad Spend]]</f>
        <v>425.05</v>
      </c>
      <c r="M1221" s="11">
        <v>132.85</v>
      </c>
    </row>
    <row r="1222" spans="1:13" ht="15.75" customHeight="1" x14ac:dyDescent="0.3">
      <c r="A1222" s="4" t="s">
        <v>834</v>
      </c>
      <c r="B1222">
        <f t="shared" si="19"/>
        <v>11</v>
      </c>
      <c r="C1222" s="2" t="s">
        <v>63</v>
      </c>
      <c r="D1222" s="2" t="s">
        <v>1199</v>
      </c>
      <c r="E1222" s="7">
        <v>143.08000000000001</v>
      </c>
      <c r="F1222" s="2">
        <v>6</v>
      </c>
      <c r="G1222" s="7">
        <v>273.61</v>
      </c>
      <c r="H1222" s="2" t="s">
        <v>49</v>
      </c>
      <c r="I1222" s="2" t="s">
        <v>15</v>
      </c>
      <c r="J1222" s="2" t="s">
        <v>16</v>
      </c>
      <c r="K1222" s="2" t="s">
        <v>17</v>
      </c>
      <c r="L1222" s="7">
        <f>Table3[[#This Row],[Revenue]]-Table3[[#This Row],[Ad Spend]]</f>
        <v>130.53</v>
      </c>
      <c r="M1222" s="11">
        <v>128.94999999999999</v>
      </c>
    </row>
    <row r="1223" spans="1:13" ht="15.75" customHeight="1" x14ac:dyDescent="0.3">
      <c r="A1223" s="4" t="s">
        <v>84</v>
      </c>
      <c r="B1223">
        <f t="shared" si="19"/>
        <v>10</v>
      </c>
      <c r="C1223" s="2" t="s">
        <v>19</v>
      </c>
      <c r="D1223" s="2" t="s">
        <v>1285</v>
      </c>
      <c r="E1223" s="7">
        <v>45.33</v>
      </c>
      <c r="F1223" s="2">
        <v>5</v>
      </c>
      <c r="G1223" s="7">
        <v>385.48</v>
      </c>
      <c r="H1223" s="2" t="s">
        <v>1286</v>
      </c>
      <c r="I1223" s="2" t="s">
        <v>29</v>
      </c>
      <c r="J1223" s="2" t="s">
        <v>87</v>
      </c>
      <c r="K1223" s="2" t="s">
        <v>17</v>
      </c>
      <c r="L1223" s="7">
        <f>Table3[[#This Row],[Revenue]]-Table3[[#This Row],[Ad Spend]]</f>
        <v>340.15000000000003</v>
      </c>
      <c r="M1223" s="11">
        <v>195.01</v>
      </c>
    </row>
    <row r="1224" spans="1:13" ht="15.75" customHeight="1" x14ac:dyDescent="0.3">
      <c r="A1224" s="4" t="s">
        <v>342</v>
      </c>
      <c r="B1224">
        <f t="shared" si="19"/>
        <v>3</v>
      </c>
      <c r="C1224" s="2" t="s">
        <v>12</v>
      </c>
      <c r="D1224" s="2" t="s">
        <v>569</v>
      </c>
      <c r="E1224" s="7">
        <v>10.98</v>
      </c>
      <c r="F1224" s="2">
        <v>0</v>
      </c>
      <c r="G1224" s="7">
        <v>313.56</v>
      </c>
      <c r="H1224" s="2" t="s">
        <v>586</v>
      </c>
      <c r="I1224" s="2" t="s">
        <v>29</v>
      </c>
      <c r="J1224" s="2" t="s">
        <v>25</v>
      </c>
      <c r="K1224" s="2" t="s">
        <v>46</v>
      </c>
      <c r="L1224" s="7">
        <f>Table3[[#This Row],[Revenue]]-Table3[[#This Row],[Ad Spend]]</f>
        <v>302.58</v>
      </c>
      <c r="M1224" s="11">
        <v>110.02</v>
      </c>
    </row>
    <row r="1225" spans="1:13" ht="15.75" customHeight="1" x14ac:dyDescent="0.3">
      <c r="A1225" s="4" t="s">
        <v>252</v>
      </c>
      <c r="B1225">
        <f t="shared" si="19"/>
        <v>11</v>
      </c>
      <c r="C1225" s="2" t="s">
        <v>63</v>
      </c>
      <c r="D1225" s="2" t="s">
        <v>130</v>
      </c>
      <c r="E1225" s="7">
        <v>118.11</v>
      </c>
      <c r="F1225" s="2">
        <v>8</v>
      </c>
      <c r="G1225" s="7">
        <v>243.35</v>
      </c>
      <c r="H1225" s="2" t="s">
        <v>876</v>
      </c>
      <c r="I1225" s="2" t="s">
        <v>15</v>
      </c>
      <c r="J1225" s="2" t="s">
        <v>87</v>
      </c>
      <c r="K1225" s="2" t="s">
        <v>17</v>
      </c>
      <c r="L1225" s="7">
        <f>Table3[[#This Row],[Revenue]]-Table3[[#This Row],[Ad Spend]]</f>
        <v>125.24</v>
      </c>
      <c r="M1225" s="11">
        <v>121.25</v>
      </c>
    </row>
    <row r="1226" spans="1:13" ht="15.75" customHeight="1" x14ac:dyDescent="0.3">
      <c r="A1226" s="4" t="s">
        <v>126</v>
      </c>
      <c r="B1226">
        <f t="shared" si="19"/>
        <v>11</v>
      </c>
      <c r="C1226" s="2" t="s">
        <v>32</v>
      </c>
      <c r="D1226" s="2" t="s">
        <v>668</v>
      </c>
      <c r="E1226" s="7">
        <v>130.13</v>
      </c>
      <c r="F1226" s="2">
        <v>5</v>
      </c>
      <c r="G1226" s="7">
        <v>438.78</v>
      </c>
      <c r="H1226" s="2" t="s">
        <v>28</v>
      </c>
      <c r="I1226" s="2" t="s">
        <v>29</v>
      </c>
      <c r="J1226" s="2" t="s">
        <v>25</v>
      </c>
      <c r="K1226" s="2" t="s">
        <v>17</v>
      </c>
      <c r="L1226" s="7">
        <f>Table3[[#This Row],[Revenue]]-Table3[[#This Row],[Ad Spend]]</f>
        <v>308.64999999999998</v>
      </c>
      <c r="M1226" s="11">
        <v>139.08000000000001</v>
      </c>
    </row>
    <row r="1227" spans="1:13" ht="15.75" customHeight="1" x14ac:dyDescent="0.3">
      <c r="A1227" s="4" t="s">
        <v>129</v>
      </c>
      <c r="B1227">
        <f t="shared" si="19"/>
        <v>1</v>
      </c>
      <c r="C1227" s="2" t="s">
        <v>63</v>
      </c>
      <c r="D1227" s="2" t="s">
        <v>1203</v>
      </c>
      <c r="E1227" s="7">
        <v>138.47999999999999</v>
      </c>
      <c r="F1227" s="2">
        <v>6</v>
      </c>
      <c r="G1227" s="7">
        <v>169.39</v>
      </c>
      <c r="H1227" s="2" t="s">
        <v>1117</v>
      </c>
      <c r="I1227" s="2" t="s">
        <v>15</v>
      </c>
      <c r="J1227" s="2" t="s">
        <v>30</v>
      </c>
      <c r="K1227" s="2" t="s">
        <v>17</v>
      </c>
      <c r="L1227" s="7">
        <f>Table3[[#This Row],[Revenue]]-Table3[[#This Row],[Ad Spend]]</f>
        <v>30.909999999999997</v>
      </c>
      <c r="M1227" s="11">
        <v>118.07</v>
      </c>
    </row>
    <row r="1228" spans="1:13" ht="15.75" customHeight="1" x14ac:dyDescent="0.3">
      <c r="A1228" s="4" t="s">
        <v>592</v>
      </c>
      <c r="B1228">
        <f t="shared" si="19"/>
        <v>1</v>
      </c>
      <c r="C1228" s="2" t="s">
        <v>12</v>
      </c>
      <c r="D1228" s="2" t="s">
        <v>904</v>
      </c>
      <c r="E1228" s="7">
        <v>43.72</v>
      </c>
      <c r="F1228" s="2">
        <v>2</v>
      </c>
      <c r="G1228" s="7">
        <v>99.8</v>
      </c>
      <c r="H1228" s="2" t="s">
        <v>744</v>
      </c>
      <c r="I1228" s="2" t="s">
        <v>35</v>
      </c>
      <c r="J1228" s="2" t="s">
        <v>36</v>
      </c>
      <c r="K1228" s="2" t="s">
        <v>17</v>
      </c>
      <c r="L1228" s="7">
        <f>Table3[[#This Row],[Revenue]]-Table3[[#This Row],[Ad Spend]]</f>
        <v>56.08</v>
      </c>
      <c r="M1228" s="11">
        <v>125.71</v>
      </c>
    </row>
    <row r="1229" spans="1:13" ht="15.75" customHeight="1" x14ac:dyDescent="0.3">
      <c r="A1229" s="4" t="s">
        <v>415</v>
      </c>
      <c r="B1229">
        <f t="shared" si="19"/>
        <v>4</v>
      </c>
      <c r="C1229" s="2" t="s">
        <v>19</v>
      </c>
      <c r="D1229" s="2" t="s">
        <v>1287</v>
      </c>
      <c r="E1229" s="7">
        <v>91.22</v>
      </c>
      <c r="F1229" s="2">
        <v>1</v>
      </c>
      <c r="G1229" s="7">
        <v>320.77</v>
      </c>
      <c r="H1229" s="2" t="s">
        <v>180</v>
      </c>
      <c r="I1229" s="2" t="s">
        <v>29</v>
      </c>
      <c r="J1229" s="2" t="s">
        <v>87</v>
      </c>
      <c r="K1229" s="2" t="s">
        <v>17</v>
      </c>
      <c r="L1229" s="7">
        <f>Table3[[#This Row],[Revenue]]-Table3[[#This Row],[Ad Spend]]</f>
        <v>229.54999999999998</v>
      </c>
      <c r="M1229" s="11">
        <v>138.6</v>
      </c>
    </row>
    <row r="1230" spans="1:13" ht="15.75" customHeight="1" x14ac:dyDescent="0.3">
      <c r="A1230" s="4" t="s">
        <v>688</v>
      </c>
      <c r="B1230">
        <f t="shared" si="19"/>
        <v>3</v>
      </c>
      <c r="C1230" s="2" t="s">
        <v>12</v>
      </c>
      <c r="D1230" s="2" t="s">
        <v>361</v>
      </c>
      <c r="E1230" s="7">
        <v>74.739999999999995</v>
      </c>
      <c r="F1230" s="2">
        <v>7</v>
      </c>
      <c r="G1230" s="7">
        <v>419.85</v>
      </c>
      <c r="H1230" s="2" t="s">
        <v>367</v>
      </c>
      <c r="I1230" s="2" t="s">
        <v>15</v>
      </c>
      <c r="J1230" s="2" t="s">
        <v>16</v>
      </c>
      <c r="K1230" s="2" t="s">
        <v>17</v>
      </c>
      <c r="L1230" s="7">
        <f>Table3[[#This Row],[Revenue]]-Table3[[#This Row],[Ad Spend]]</f>
        <v>345.11</v>
      </c>
      <c r="M1230" s="11">
        <v>166.15</v>
      </c>
    </row>
    <row r="1231" spans="1:13" ht="15.75" customHeight="1" x14ac:dyDescent="0.3">
      <c r="A1231" s="4" t="s">
        <v>1194</v>
      </c>
      <c r="B1231">
        <f t="shared" si="19"/>
        <v>4</v>
      </c>
      <c r="C1231" s="2" t="s">
        <v>63</v>
      </c>
      <c r="D1231" s="2" t="s">
        <v>1277</v>
      </c>
      <c r="E1231" s="7">
        <v>65.489999999999995</v>
      </c>
      <c r="F1231" s="2">
        <v>10</v>
      </c>
      <c r="G1231" s="7">
        <v>341.49</v>
      </c>
      <c r="H1231" s="2" t="s">
        <v>1288</v>
      </c>
      <c r="I1231" s="2" t="s">
        <v>29</v>
      </c>
      <c r="J1231" s="2" t="s">
        <v>30</v>
      </c>
      <c r="K1231" s="2" t="s">
        <v>17</v>
      </c>
      <c r="L1231" s="7">
        <f>Table3[[#This Row],[Revenue]]-Table3[[#This Row],[Ad Spend]]</f>
        <v>276</v>
      </c>
      <c r="M1231" s="11">
        <v>164.69</v>
      </c>
    </row>
    <row r="1232" spans="1:13" ht="15.75" customHeight="1" x14ac:dyDescent="0.3">
      <c r="A1232" s="4" t="s">
        <v>22</v>
      </c>
      <c r="B1232">
        <f t="shared" si="19"/>
        <v>4</v>
      </c>
      <c r="C1232" s="2" t="s">
        <v>19</v>
      </c>
      <c r="D1232" s="2" t="s">
        <v>953</v>
      </c>
      <c r="E1232" s="7">
        <v>143.66999999999999</v>
      </c>
      <c r="F1232" s="2">
        <v>7</v>
      </c>
      <c r="G1232" s="7">
        <v>394.41</v>
      </c>
      <c r="H1232" s="2" t="s">
        <v>1289</v>
      </c>
      <c r="I1232" s="2" t="s">
        <v>29</v>
      </c>
      <c r="J1232" s="2" t="s">
        <v>30</v>
      </c>
      <c r="K1232" s="2" t="s">
        <v>17</v>
      </c>
      <c r="L1232" s="7">
        <f>Table3[[#This Row],[Revenue]]-Table3[[#This Row],[Ad Spend]]</f>
        <v>250.74000000000004</v>
      </c>
      <c r="M1232" s="11">
        <v>178.75</v>
      </c>
    </row>
    <row r="1233" spans="1:13" ht="15.75" customHeight="1" x14ac:dyDescent="0.3">
      <c r="A1233" s="4" t="s">
        <v>94</v>
      </c>
      <c r="B1233">
        <f t="shared" si="19"/>
        <v>1</v>
      </c>
      <c r="C1233" s="2" t="s">
        <v>63</v>
      </c>
      <c r="D1233" s="2" t="s">
        <v>1188</v>
      </c>
      <c r="E1233" s="7">
        <v>20.059999999999999</v>
      </c>
      <c r="F1233" s="2">
        <v>6</v>
      </c>
      <c r="G1233" s="7">
        <v>63.47</v>
      </c>
      <c r="H1233" s="2" t="s">
        <v>1290</v>
      </c>
      <c r="I1233" s="2" t="s">
        <v>29</v>
      </c>
      <c r="J1233" s="2" t="s">
        <v>16</v>
      </c>
      <c r="K1233" s="2" t="s">
        <v>17</v>
      </c>
      <c r="L1233" s="7">
        <f>Table3[[#This Row],[Revenue]]-Table3[[#This Row],[Ad Spend]]</f>
        <v>43.41</v>
      </c>
      <c r="M1233" s="11">
        <v>51.58</v>
      </c>
    </row>
    <row r="1234" spans="1:13" ht="15.75" customHeight="1" x14ac:dyDescent="0.3">
      <c r="A1234" s="4" t="s">
        <v>238</v>
      </c>
      <c r="B1234">
        <f t="shared" si="19"/>
        <v>3</v>
      </c>
      <c r="C1234" s="2" t="s">
        <v>32</v>
      </c>
      <c r="D1234" s="2" t="s">
        <v>689</v>
      </c>
      <c r="E1234" s="7">
        <v>73.209999999999994</v>
      </c>
      <c r="F1234" s="2">
        <v>9</v>
      </c>
      <c r="G1234" s="7">
        <v>96.12</v>
      </c>
      <c r="H1234" s="2" t="s">
        <v>229</v>
      </c>
      <c r="I1234" s="2" t="s">
        <v>15</v>
      </c>
      <c r="J1234" s="2" t="s">
        <v>25</v>
      </c>
      <c r="K1234" s="2" t="s">
        <v>17</v>
      </c>
      <c r="L1234" s="7">
        <f>Table3[[#This Row],[Revenue]]-Table3[[#This Row],[Ad Spend]]</f>
        <v>22.910000000000011</v>
      </c>
      <c r="M1234" s="11">
        <v>92.85</v>
      </c>
    </row>
    <row r="1235" spans="1:13" ht="15.75" customHeight="1" x14ac:dyDescent="0.3">
      <c r="A1235" s="4" t="s">
        <v>274</v>
      </c>
      <c r="B1235">
        <f t="shared" si="19"/>
        <v>12</v>
      </c>
      <c r="C1235" s="2" t="s">
        <v>12</v>
      </c>
      <c r="D1235" s="2" t="s">
        <v>632</v>
      </c>
      <c r="E1235" s="7">
        <v>22.66</v>
      </c>
      <c r="F1235" s="2">
        <v>9</v>
      </c>
      <c r="G1235" s="7">
        <v>220.19</v>
      </c>
      <c r="H1235" s="2" t="s">
        <v>364</v>
      </c>
      <c r="I1235" s="2" t="s">
        <v>29</v>
      </c>
      <c r="J1235" s="2" t="s">
        <v>87</v>
      </c>
      <c r="K1235" s="2" t="s">
        <v>17</v>
      </c>
      <c r="L1235" s="7">
        <f>Table3[[#This Row],[Revenue]]-Table3[[#This Row],[Ad Spend]]</f>
        <v>197.53</v>
      </c>
      <c r="M1235" s="11">
        <v>125.84</v>
      </c>
    </row>
    <row r="1236" spans="1:13" ht="15.75" customHeight="1" x14ac:dyDescent="0.3">
      <c r="A1236" s="4" t="s">
        <v>220</v>
      </c>
      <c r="B1236">
        <f t="shared" si="19"/>
        <v>12</v>
      </c>
      <c r="C1236" s="2" t="s">
        <v>63</v>
      </c>
      <c r="D1236" s="2" t="s">
        <v>85</v>
      </c>
      <c r="E1236" s="7">
        <v>115.84</v>
      </c>
      <c r="F1236" s="2">
        <v>4</v>
      </c>
      <c r="G1236" s="7">
        <v>466.71</v>
      </c>
      <c r="H1236" s="2" t="s">
        <v>1291</v>
      </c>
      <c r="I1236" s="2" t="s">
        <v>29</v>
      </c>
      <c r="J1236" s="2" t="s">
        <v>30</v>
      </c>
      <c r="K1236" s="2" t="s">
        <v>17</v>
      </c>
      <c r="L1236" s="7">
        <f>Table3[[#This Row],[Revenue]]-Table3[[#This Row],[Ad Spend]]</f>
        <v>350.87</v>
      </c>
      <c r="M1236" s="11">
        <v>215.19</v>
      </c>
    </row>
    <row r="1237" spans="1:13" ht="15.75" customHeight="1" x14ac:dyDescent="0.3">
      <c r="A1237" s="4" t="s">
        <v>84</v>
      </c>
      <c r="B1237">
        <f t="shared" si="19"/>
        <v>10</v>
      </c>
      <c r="C1237" s="2" t="s">
        <v>19</v>
      </c>
      <c r="D1237" s="2" t="s">
        <v>1124</v>
      </c>
      <c r="E1237" s="7">
        <v>99.07</v>
      </c>
      <c r="F1237" s="2">
        <v>6</v>
      </c>
      <c r="G1237" s="7">
        <v>292.62</v>
      </c>
      <c r="H1237" s="2" t="s">
        <v>213</v>
      </c>
      <c r="I1237" s="2" t="s">
        <v>15</v>
      </c>
      <c r="J1237" s="2" t="s">
        <v>87</v>
      </c>
      <c r="K1237" s="2" t="s">
        <v>17</v>
      </c>
      <c r="L1237" s="7">
        <f>Table3[[#This Row],[Revenue]]-Table3[[#This Row],[Ad Spend]]</f>
        <v>193.55</v>
      </c>
      <c r="M1237" s="11">
        <v>111.37</v>
      </c>
    </row>
    <row r="1238" spans="1:13" ht="15.75" customHeight="1" x14ac:dyDescent="0.3">
      <c r="A1238" s="4" t="s">
        <v>918</v>
      </c>
      <c r="B1238">
        <f t="shared" si="19"/>
        <v>2</v>
      </c>
      <c r="C1238" s="2" t="s">
        <v>19</v>
      </c>
      <c r="D1238" s="2" t="s">
        <v>611</v>
      </c>
      <c r="E1238" s="7">
        <v>100.96</v>
      </c>
      <c r="F1238" s="2">
        <v>7</v>
      </c>
      <c r="G1238" s="7">
        <v>90.71</v>
      </c>
      <c r="H1238" s="2" t="s">
        <v>198</v>
      </c>
      <c r="I1238" s="2" t="s">
        <v>35</v>
      </c>
      <c r="J1238" s="2" t="s">
        <v>87</v>
      </c>
      <c r="K1238" s="2" t="s">
        <v>17</v>
      </c>
      <c r="L1238" s="7">
        <f>Table3[[#This Row],[Revenue]]-Table3[[#This Row],[Ad Spend]]</f>
        <v>-10.25</v>
      </c>
      <c r="M1238" s="11">
        <v>108.09</v>
      </c>
    </row>
    <row r="1239" spans="1:13" ht="15.75" customHeight="1" x14ac:dyDescent="0.3">
      <c r="A1239" s="4" t="s">
        <v>728</v>
      </c>
      <c r="B1239">
        <f t="shared" si="19"/>
        <v>4</v>
      </c>
      <c r="C1239" s="2" t="s">
        <v>32</v>
      </c>
      <c r="D1239" s="2" t="s">
        <v>617</v>
      </c>
      <c r="E1239" s="7">
        <v>134.26</v>
      </c>
      <c r="F1239" s="2">
        <v>2</v>
      </c>
      <c r="G1239" s="7">
        <v>171.02</v>
      </c>
      <c r="H1239" s="2" t="s">
        <v>267</v>
      </c>
      <c r="I1239" s="2" t="s">
        <v>15</v>
      </c>
      <c r="J1239" s="2" t="s">
        <v>36</v>
      </c>
      <c r="K1239" s="2" t="s">
        <v>17</v>
      </c>
      <c r="L1239" s="7">
        <f>Table3[[#This Row],[Revenue]]-Table3[[#This Row],[Ad Spend]]</f>
        <v>36.760000000000019</v>
      </c>
      <c r="M1239" s="11">
        <v>117.37</v>
      </c>
    </row>
    <row r="1240" spans="1:13" ht="15.75" customHeight="1" x14ac:dyDescent="0.3">
      <c r="A1240" s="4" t="s">
        <v>277</v>
      </c>
      <c r="B1240">
        <f t="shared" si="19"/>
        <v>2</v>
      </c>
      <c r="C1240" s="2" t="s">
        <v>12</v>
      </c>
      <c r="D1240" s="2" t="s">
        <v>390</v>
      </c>
      <c r="E1240" s="7">
        <v>66.459999999999994</v>
      </c>
      <c r="F1240" s="2">
        <v>7</v>
      </c>
      <c r="G1240" s="7">
        <v>377.65</v>
      </c>
      <c r="H1240" s="2" t="s">
        <v>90</v>
      </c>
      <c r="I1240" s="2" t="s">
        <v>29</v>
      </c>
      <c r="J1240" s="2" t="s">
        <v>25</v>
      </c>
      <c r="K1240" s="2" t="s">
        <v>17</v>
      </c>
      <c r="L1240" s="7">
        <f>Table3[[#This Row],[Revenue]]-Table3[[#This Row],[Ad Spend]]</f>
        <v>311.19</v>
      </c>
      <c r="M1240" s="11">
        <v>150.77000000000001</v>
      </c>
    </row>
    <row r="1241" spans="1:13" ht="15.75" customHeight="1" x14ac:dyDescent="0.3">
      <c r="A1241" s="4" t="s">
        <v>406</v>
      </c>
      <c r="B1241">
        <f t="shared" si="19"/>
        <v>1</v>
      </c>
      <c r="C1241" s="2" t="s">
        <v>19</v>
      </c>
      <c r="D1241" s="2" t="s">
        <v>1219</v>
      </c>
      <c r="E1241" s="7">
        <v>127.84</v>
      </c>
      <c r="F1241" s="2">
        <v>1</v>
      </c>
      <c r="G1241" s="7">
        <v>361.82</v>
      </c>
      <c r="H1241" s="2" t="s">
        <v>887</v>
      </c>
      <c r="I1241" s="2" t="s">
        <v>29</v>
      </c>
      <c r="J1241" s="2" t="s">
        <v>36</v>
      </c>
      <c r="K1241" s="2" t="s">
        <v>17</v>
      </c>
      <c r="L1241" s="7">
        <f>Table3[[#This Row],[Revenue]]-Table3[[#This Row],[Ad Spend]]</f>
        <v>233.98</v>
      </c>
      <c r="M1241" s="11">
        <v>105.24</v>
      </c>
    </row>
    <row r="1242" spans="1:13" ht="15.75" customHeight="1" x14ac:dyDescent="0.3">
      <c r="A1242" s="4" t="s">
        <v>277</v>
      </c>
      <c r="B1242">
        <f t="shared" si="19"/>
        <v>2</v>
      </c>
      <c r="C1242" s="2" t="s">
        <v>19</v>
      </c>
      <c r="D1242" s="2" t="s">
        <v>1115</v>
      </c>
      <c r="E1242" s="7">
        <v>89.24</v>
      </c>
      <c r="F1242" s="2">
        <v>7</v>
      </c>
      <c r="G1242" s="7">
        <v>426.05</v>
      </c>
      <c r="H1242" s="2" t="s">
        <v>119</v>
      </c>
      <c r="I1242" s="2" t="s">
        <v>29</v>
      </c>
      <c r="J1242" s="2" t="s">
        <v>30</v>
      </c>
      <c r="K1242" s="2" t="s">
        <v>17</v>
      </c>
      <c r="L1242" s="7">
        <f>Table3[[#This Row],[Revenue]]-Table3[[#This Row],[Ad Spend]]</f>
        <v>336.81</v>
      </c>
      <c r="M1242" s="11">
        <v>103.74</v>
      </c>
    </row>
    <row r="1243" spans="1:13" ht="15.75" customHeight="1" x14ac:dyDescent="0.3">
      <c r="A1243" s="4" t="s">
        <v>340</v>
      </c>
      <c r="B1243">
        <f t="shared" si="19"/>
        <v>11</v>
      </c>
      <c r="C1243" s="2" t="s">
        <v>63</v>
      </c>
      <c r="D1243" s="2" t="s">
        <v>942</v>
      </c>
      <c r="E1243" s="7">
        <v>59.14</v>
      </c>
      <c r="F1243" s="2">
        <v>0</v>
      </c>
      <c r="G1243" s="7">
        <v>127.62</v>
      </c>
      <c r="H1243" s="2" t="s">
        <v>310</v>
      </c>
      <c r="I1243" s="2" t="s">
        <v>15</v>
      </c>
      <c r="J1243" s="2" t="s">
        <v>87</v>
      </c>
      <c r="K1243" s="2" t="s">
        <v>46</v>
      </c>
      <c r="L1243" s="7">
        <f>Table3[[#This Row],[Revenue]]-Table3[[#This Row],[Ad Spend]]</f>
        <v>68.48</v>
      </c>
      <c r="M1243" s="11">
        <v>100.09</v>
      </c>
    </row>
    <row r="1244" spans="1:13" ht="15.75" customHeight="1" x14ac:dyDescent="0.3">
      <c r="A1244" s="4" t="s">
        <v>290</v>
      </c>
      <c r="B1244">
        <f t="shared" si="19"/>
        <v>1</v>
      </c>
      <c r="C1244" s="2" t="s">
        <v>63</v>
      </c>
      <c r="D1244" s="2" t="s">
        <v>1292</v>
      </c>
      <c r="E1244" s="7">
        <v>143.69999999999999</v>
      </c>
      <c r="F1244" s="2">
        <v>2</v>
      </c>
      <c r="G1244" s="7">
        <v>360.07</v>
      </c>
      <c r="H1244" s="2" t="s">
        <v>1102</v>
      </c>
      <c r="I1244" s="2" t="s">
        <v>35</v>
      </c>
      <c r="J1244" s="2" t="s">
        <v>25</v>
      </c>
      <c r="K1244" s="2" t="s">
        <v>17</v>
      </c>
      <c r="L1244" s="7">
        <f>Table3[[#This Row],[Revenue]]-Table3[[#This Row],[Ad Spend]]</f>
        <v>216.37</v>
      </c>
      <c r="M1244" s="11">
        <v>101.07</v>
      </c>
    </row>
    <row r="1245" spans="1:13" ht="15.75" customHeight="1" x14ac:dyDescent="0.3">
      <c r="A1245" s="4" t="s">
        <v>156</v>
      </c>
      <c r="B1245">
        <f t="shared" si="19"/>
        <v>12</v>
      </c>
      <c r="C1245" s="2" t="s">
        <v>12</v>
      </c>
      <c r="D1245" s="2" t="s">
        <v>546</v>
      </c>
      <c r="E1245" s="7">
        <v>34.35</v>
      </c>
      <c r="F1245" s="2">
        <v>4</v>
      </c>
      <c r="G1245" s="7">
        <v>252.21</v>
      </c>
      <c r="H1245" s="2" t="s">
        <v>1014</v>
      </c>
      <c r="I1245" s="2" t="s">
        <v>35</v>
      </c>
      <c r="J1245" s="2" t="s">
        <v>25</v>
      </c>
      <c r="K1245" s="2" t="s">
        <v>17</v>
      </c>
      <c r="L1245" s="7">
        <f>Table3[[#This Row],[Revenue]]-Table3[[#This Row],[Ad Spend]]</f>
        <v>217.86</v>
      </c>
      <c r="M1245" s="11">
        <v>151.84</v>
      </c>
    </row>
    <row r="1246" spans="1:13" ht="15.75" customHeight="1" x14ac:dyDescent="0.3">
      <c r="A1246" s="4" t="s">
        <v>74</v>
      </c>
      <c r="B1246">
        <f t="shared" si="19"/>
        <v>11</v>
      </c>
      <c r="C1246" s="2" t="s">
        <v>12</v>
      </c>
      <c r="D1246" s="2" t="s">
        <v>741</v>
      </c>
      <c r="E1246" s="7">
        <v>66.400000000000006</v>
      </c>
      <c r="F1246" s="2">
        <v>2</v>
      </c>
      <c r="G1246" s="7">
        <v>125.56</v>
      </c>
      <c r="H1246" s="2" t="s">
        <v>1102</v>
      </c>
      <c r="I1246" s="2" t="s">
        <v>15</v>
      </c>
      <c r="J1246" s="2" t="s">
        <v>87</v>
      </c>
      <c r="K1246" s="2" t="s">
        <v>17</v>
      </c>
      <c r="L1246" s="7">
        <f>Table3[[#This Row],[Revenue]]-Table3[[#This Row],[Ad Spend]]</f>
        <v>59.16</v>
      </c>
      <c r="M1246" s="11">
        <v>108.85</v>
      </c>
    </row>
    <row r="1247" spans="1:13" ht="15.75" customHeight="1" x14ac:dyDescent="0.3">
      <c r="A1247" s="4" t="s">
        <v>688</v>
      </c>
      <c r="B1247">
        <f t="shared" si="19"/>
        <v>3</v>
      </c>
      <c r="C1247" s="2" t="s">
        <v>63</v>
      </c>
      <c r="D1247" s="2" t="s">
        <v>444</v>
      </c>
      <c r="E1247" s="7">
        <v>132.66999999999999</v>
      </c>
      <c r="F1247" s="2">
        <v>3</v>
      </c>
      <c r="G1247" s="7">
        <v>278.29000000000002</v>
      </c>
      <c r="H1247" s="2" t="s">
        <v>695</v>
      </c>
      <c r="I1247" s="2" t="s">
        <v>15</v>
      </c>
      <c r="J1247" s="2" t="s">
        <v>25</v>
      </c>
      <c r="K1247" s="2" t="s">
        <v>17</v>
      </c>
      <c r="L1247" s="7">
        <f>Table3[[#This Row],[Revenue]]-Table3[[#This Row],[Ad Spend]]</f>
        <v>145.62000000000003</v>
      </c>
      <c r="M1247" s="11">
        <v>120.72</v>
      </c>
    </row>
    <row r="1248" spans="1:13" ht="15.75" customHeight="1" x14ac:dyDescent="0.3">
      <c r="A1248" s="4" t="s">
        <v>131</v>
      </c>
      <c r="B1248">
        <f t="shared" si="19"/>
        <v>11</v>
      </c>
      <c r="C1248" s="2" t="s">
        <v>12</v>
      </c>
      <c r="D1248" s="2" t="s">
        <v>1064</v>
      </c>
      <c r="E1248" s="7">
        <v>134.62</v>
      </c>
      <c r="F1248" s="2">
        <v>0</v>
      </c>
      <c r="G1248" s="7">
        <v>273.42</v>
      </c>
      <c r="H1248" s="2" t="s">
        <v>829</v>
      </c>
      <c r="I1248" s="2" t="s">
        <v>29</v>
      </c>
      <c r="J1248" s="2" t="s">
        <v>25</v>
      </c>
      <c r="K1248" s="2" t="s">
        <v>46</v>
      </c>
      <c r="L1248" s="7">
        <f>Table3[[#This Row],[Revenue]]-Table3[[#This Row],[Ad Spend]]</f>
        <v>138.80000000000001</v>
      </c>
      <c r="M1248" s="11">
        <v>153.54</v>
      </c>
    </row>
    <row r="1249" spans="1:13" ht="15.75" customHeight="1" x14ac:dyDescent="0.3">
      <c r="A1249" s="4" t="s">
        <v>552</v>
      </c>
      <c r="B1249">
        <f t="shared" si="19"/>
        <v>11</v>
      </c>
      <c r="C1249" s="2" t="s">
        <v>12</v>
      </c>
      <c r="D1249" s="2" t="s">
        <v>242</v>
      </c>
      <c r="E1249" s="7">
        <v>57.57</v>
      </c>
      <c r="F1249" s="2">
        <v>6</v>
      </c>
      <c r="G1249" s="7">
        <v>232.05</v>
      </c>
      <c r="H1249" s="2" t="s">
        <v>243</v>
      </c>
      <c r="I1249" s="2" t="s">
        <v>35</v>
      </c>
      <c r="J1249" s="2" t="s">
        <v>36</v>
      </c>
      <c r="K1249" s="2" t="s">
        <v>17</v>
      </c>
      <c r="L1249" s="7">
        <f>Table3[[#This Row],[Revenue]]-Table3[[#This Row],[Ad Spend]]</f>
        <v>174.48000000000002</v>
      </c>
      <c r="M1249" s="11">
        <v>120.34</v>
      </c>
    </row>
    <row r="1250" spans="1:13" ht="15.75" customHeight="1" x14ac:dyDescent="0.3">
      <c r="A1250" s="4" t="s">
        <v>338</v>
      </c>
      <c r="B1250">
        <f t="shared" si="19"/>
        <v>4</v>
      </c>
      <c r="C1250" s="2" t="s">
        <v>19</v>
      </c>
      <c r="D1250" s="2" t="s">
        <v>560</v>
      </c>
      <c r="E1250" s="7">
        <v>51.94</v>
      </c>
      <c r="F1250" s="2">
        <v>7</v>
      </c>
      <c r="G1250" s="7">
        <v>320.27</v>
      </c>
      <c r="H1250" s="2" t="s">
        <v>794</v>
      </c>
      <c r="I1250" s="2" t="s">
        <v>29</v>
      </c>
      <c r="J1250" s="2" t="s">
        <v>25</v>
      </c>
      <c r="K1250" s="2" t="s">
        <v>17</v>
      </c>
      <c r="L1250" s="7">
        <f>Table3[[#This Row],[Revenue]]-Table3[[#This Row],[Ad Spend]]</f>
        <v>268.33</v>
      </c>
      <c r="M1250" s="11">
        <v>120.02</v>
      </c>
    </row>
    <row r="1251" spans="1:13" ht="15.75" customHeight="1" x14ac:dyDescent="0.3">
      <c r="A1251" s="4" t="s">
        <v>574</v>
      </c>
      <c r="B1251">
        <f t="shared" si="19"/>
        <v>1</v>
      </c>
      <c r="C1251" s="2" t="s">
        <v>63</v>
      </c>
      <c r="D1251" s="2" t="s">
        <v>896</v>
      </c>
      <c r="E1251" s="7">
        <v>106.42</v>
      </c>
      <c r="F1251" s="2">
        <v>10</v>
      </c>
      <c r="G1251" s="7">
        <v>424.64</v>
      </c>
      <c r="H1251" s="2" t="s">
        <v>401</v>
      </c>
      <c r="I1251" s="2" t="s">
        <v>15</v>
      </c>
      <c r="J1251" s="2" t="s">
        <v>30</v>
      </c>
      <c r="K1251" s="2" t="s">
        <v>17</v>
      </c>
      <c r="L1251" s="7">
        <f>Table3[[#This Row],[Revenue]]-Table3[[#This Row],[Ad Spend]]</f>
        <v>318.21999999999997</v>
      </c>
      <c r="M1251" s="11">
        <v>130.47</v>
      </c>
    </row>
    <row r="1252" spans="1:13" ht="15.75" customHeight="1" x14ac:dyDescent="0.3">
      <c r="A1252" s="4" t="s">
        <v>723</v>
      </c>
      <c r="B1252">
        <f t="shared" si="19"/>
        <v>12</v>
      </c>
      <c r="C1252" s="2" t="s">
        <v>19</v>
      </c>
      <c r="D1252" s="2" t="s">
        <v>800</v>
      </c>
      <c r="E1252" s="7">
        <v>124.45</v>
      </c>
      <c r="F1252" s="2">
        <v>2</v>
      </c>
      <c r="G1252" s="7">
        <v>135.01</v>
      </c>
      <c r="H1252" s="2" t="s">
        <v>956</v>
      </c>
      <c r="I1252" s="2" t="s">
        <v>35</v>
      </c>
      <c r="J1252" s="2" t="s">
        <v>16</v>
      </c>
      <c r="K1252" s="2" t="s">
        <v>17</v>
      </c>
      <c r="L1252" s="7">
        <f>Table3[[#This Row],[Revenue]]-Table3[[#This Row],[Ad Spend]]</f>
        <v>10.559999999999988</v>
      </c>
      <c r="M1252" s="11">
        <v>109.13</v>
      </c>
    </row>
    <row r="1253" spans="1:13" ht="15.75" customHeight="1" x14ac:dyDescent="0.3">
      <c r="A1253" s="4" t="s">
        <v>159</v>
      </c>
      <c r="B1253">
        <f t="shared" si="19"/>
        <v>2</v>
      </c>
      <c r="C1253" s="2" t="s">
        <v>19</v>
      </c>
      <c r="D1253" s="2" t="s">
        <v>1293</v>
      </c>
      <c r="E1253" s="7">
        <v>132.72999999999999</v>
      </c>
      <c r="F1253" s="2">
        <v>4</v>
      </c>
      <c r="G1253" s="7">
        <v>405.38</v>
      </c>
      <c r="H1253" s="2" t="s">
        <v>781</v>
      </c>
      <c r="I1253" s="2" t="s">
        <v>29</v>
      </c>
      <c r="J1253" s="2" t="s">
        <v>87</v>
      </c>
      <c r="K1253" s="2" t="s">
        <v>17</v>
      </c>
      <c r="L1253" s="7">
        <f>Table3[[#This Row],[Revenue]]-Table3[[#This Row],[Ad Spend]]</f>
        <v>272.64999999999998</v>
      </c>
      <c r="M1253" s="11">
        <v>109.41</v>
      </c>
    </row>
    <row r="1254" spans="1:13" ht="15.75" customHeight="1" x14ac:dyDescent="0.3">
      <c r="A1254" s="4" t="s">
        <v>676</v>
      </c>
      <c r="B1254">
        <f t="shared" si="19"/>
        <v>4</v>
      </c>
      <c r="C1254" s="2" t="s">
        <v>63</v>
      </c>
      <c r="D1254" s="2" t="s">
        <v>143</v>
      </c>
      <c r="E1254" s="7">
        <v>61.61</v>
      </c>
      <c r="F1254" s="2">
        <v>8</v>
      </c>
      <c r="G1254" s="7">
        <v>174.14</v>
      </c>
      <c r="H1254" s="2" t="s">
        <v>104</v>
      </c>
      <c r="I1254" s="2" t="s">
        <v>29</v>
      </c>
      <c r="J1254" s="2" t="s">
        <v>53</v>
      </c>
      <c r="K1254" s="2" t="s">
        <v>17</v>
      </c>
      <c r="L1254" s="7">
        <f>Table3[[#This Row],[Revenue]]-Table3[[#This Row],[Ad Spend]]</f>
        <v>112.52999999999999</v>
      </c>
      <c r="M1254" s="11">
        <v>117.72</v>
      </c>
    </row>
    <row r="1255" spans="1:13" ht="15.75" customHeight="1" x14ac:dyDescent="0.3">
      <c r="A1255" s="4" t="s">
        <v>475</v>
      </c>
      <c r="B1255">
        <f t="shared" si="19"/>
        <v>3</v>
      </c>
      <c r="C1255" s="2" t="s">
        <v>32</v>
      </c>
      <c r="D1255" s="2" t="s">
        <v>445</v>
      </c>
      <c r="E1255" s="7">
        <v>87.21</v>
      </c>
      <c r="F1255" s="2">
        <v>0</v>
      </c>
      <c r="G1255" s="7">
        <v>319.32</v>
      </c>
      <c r="H1255" s="2" t="s">
        <v>761</v>
      </c>
      <c r="I1255" s="2" t="s">
        <v>15</v>
      </c>
      <c r="J1255" s="2" t="s">
        <v>36</v>
      </c>
      <c r="K1255" s="2" t="s">
        <v>46</v>
      </c>
      <c r="L1255" s="7">
        <f>Table3[[#This Row],[Revenue]]-Table3[[#This Row],[Ad Spend]]</f>
        <v>232.11</v>
      </c>
      <c r="M1255" s="11">
        <v>116.47</v>
      </c>
    </row>
    <row r="1256" spans="1:13" ht="15.75" customHeight="1" x14ac:dyDescent="0.3">
      <c r="A1256" s="4" t="s">
        <v>244</v>
      </c>
      <c r="B1256">
        <f t="shared" si="19"/>
        <v>2</v>
      </c>
      <c r="C1256" s="2" t="s">
        <v>63</v>
      </c>
      <c r="D1256" s="2" t="s">
        <v>694</v>
      </c>
      <c r="E1256" s="7">
        <v>120.95</v>
      </c>
      <c r="F1256" s="2">
        <v>2</v>
      </c>
      <c r="G1256" s="7">
        <v>472.08</v>
      </c>
      <c r="H1256" s="2" t="s">
        <v>744</v>
      </c>
      <c r="I1256" s="2" t="s">
        <v>15</v>
      </c>
      <c r="J1256" s="2" t="s">
        <v>36</v>
      </c>
      <c r="K1256" s="2" t="s">
        <v>17</v>
      </c>
      <c r="L1256" s="7">
        <f>Table3[[#This Row],[Revenue]]-Table3[[#This Row],[Ad Spend]]</f>
        <v>351.13</v>
      </c>
      <c r="M1256" s="11">
        <v>128.47999999999999</v>
      </c>
    </row>
    <row r="1257" spans="1:13" ht="15.75" customHeight="1" x14ac:dyDescent="0.3">
      <c r="A1257" s="4" t="s">
        <v>97</v>
      </c>
      <c r="B1257">
        <f t="shared" si="19"/>
        <v>12</v>
      </c>
      <c r="C1257" s="2" t="s">
        <v>32</v>
      </c>
      <c r="D1257" s="2" t="s">
        <v>1047</v>
      </c>
      <c r="E1257" s="7">
        <v>6.52</v>
      </c>
      <c r="F1257" s="2">
        <v>1</v>
      </c>
      <c r="G1257" s="7">
        <v>386.42</v>
      </c>
      <c r="H1257" s="2" t="s">
        <v>1251</v>
      </c>
      <c r="I1257" s="2" t="s">
        <v>15</v>
      </c>
      <c r="J1257" s="2" t="s">
        <v>30</v>
      </c>
      <c r="K1257" s="2" t="s">
        <v>17</v>
      </c>
      <c r="L1257" s="7">
        <f>Table3[[#This Row],[Revenue]]-Table3[[#This Row],[Ad Spend]]</f>
        <v>379.90000000000003</v>
      </c>
      <c r="M1257" s="11">
        <v>150.13999999999999</v>
      </c>
    </row>
    <row r="1258" spans="1:13" ht="15.75" customHeight="1" x14ac:dyDescent="0.3">
      <c r="A1258" s="4" t="s">
        <v>766</v>
      </c>
      <c r="B1258">
        <f t="shared" si="19"/>
        <v>4</v>
      </c>
      <c r="C1258" s="2" t="s">
        <v>63</v>
      </c>
      <c r="D1258" s="2" t="s">
        <v>1294</v>
      </c>
      <c r="E1258" s="7">
        <v>84.91</v>
      </c>
      <c r="F1258" s="2">
        <v>2</v>
      </c>
      <c r="G1258" s="7">
        <v>423.38</v>
      </c>
      <c r="H1258" s="2" t="s">
        <v>374</v>
      </c>
      <c r="I1258" s="2" t="s">
        <v>35</v>
      </c>
      <c r="J1258" s="2" t="s">
        <v>25</v>
      </c>
      <c r="K1258" s="2" t="s">
        <v>17</v>
      </c>
      <c r="L1258" s="7">
        <f>Table3[[#This Row],[Revenue]]-Table3[[#This Row],[Ad Spend]]</f>
        <v>338.47</v>
      </c>
      <c r="M1258" s="11">
        <v>118.54</v>
      </c>
    </row>
    <row r="1259" spans="1:13" ht="15.75" customHeight="1" x14ac:dyDescent="0.3">
      <c r="A1259" s="4" t="s">
        <v>187</v>
      </c>
      <c r="B1259">
        <f t="shared" si="19"/>
        <v>1</v>
      </c>
      <c r="C1259" s="2" t="s">
        <v>19</v>
      </c>
      <c r="D1259" s="2" t="s">
        <v>1295</v>
      </c>
      <c r="E1259" s="7">
        <v>118.45</v>
      </c>
      <c r="F1259" s="2">
        <v>5</v>
      </c>
      <c r="G1259" s="7">
        <v>453.57</v>
      </c>
      <c r="H1259" s="2" t="s">
        <v>987</v>
      </c>
      <c r="I1259" s="2" t="s">
        <v>29</v>
      </c>
      <c r="J1259" s="2" t="s">
        <v>87</v>
      </c>
      <c r="K1259" s="2" t="s">
        <v>17</v>
      </c>
      <c r="L1259" s="7">
        <f>Table3[[#This Row],[Revenue]]-Table3[[#This Row],[Ad Spend]]</f>
        <v>335.12</v>
      </c>
      <c r="M1259" s="11">
        <v>171.5</v>
      </c>
    </row>
    <row r="1260" spans="1:13" ht="15.75" customHeight="1" x14ac:dyDescent="0.3">
      <c r="A1260" s="4" t="s">
        <v>766</v>
      </c>
      <c r="B1260">
        <f t="shared" si="19"/>
        <v>4</v>
      </c>
      <c r="C1260" s="2" t="s">
        <v>32</v>
      </c>
      <c r="D1260" s="2" t="s">
        <v>77</v>
      </c>
      <c r="E1260" s="7">
        <v>68.89</v>
      </c>
      <c r="F1260" s="2">
        <v>4</v>
      </c>
      <c r="G1260" s="7">
        <v>45.73</v>
      </c>
      <c r="H1260" s="2" t="s">
        <v>1098</v>
      </c>
      <c r="I1260" s="2" t="s">
        <v>29</v>
      </c>
      <c r="J1260" s="2" t="s">
        <v>25</v>
      </c>
      <c r="K1260" s="2" t="s">
        <v>17</v>
      </c>
      <c r="L1260" s="7">
        <f>Table3[[#This Row],[Revenue]]-Table3[[#This Row],[Ad Spend]]</f>
        <v>-23.160000000000004</v>
      </c>
      <c r="M1260" s="11">
        <v>66.099999999999994</v>
      </c>
    </row>
    <row r="1261" spans="1:13" ht="15.75" customHeight="1" x14ac:dyDescent="0.3">
      <c r="A1261" s="4" t="s">
        <v>131</v>
      </c>
      <c r="B1261">
        <f t="shared" si="19"/>
        <v>11</v>
      </c>
      <c r="C1261" s="2" t="s">
        <v>19</v>
      </c>
      <c r="D1261" s="2" t="s">
        <v>1296</v>
      </c>
      <c r="E1261" s="7">
        <v>43.15</v>
      </c>
      <c r="F1261" s="2">
        <v>6</v>
      </c>
      <c r="G1261" s="7">
        <v>469.86</v>
      </c>
      <c r="H1261" s="2" t="s">
        <v>1297</v>
      </c>
      <c r="I1261" s="2" t="s">
        <v>35</v>
      </c>
      <c r="J1261" s="2" t="s">
        <v>30</v>
      </c>
      <c r="K1261" s="2" t="s">
        <v>17</v>
      </c>
      <c r="L1261" s="7">
        <f>Table3[[#This Row],[Revenue]]-Table3[[#This Row],[Ad Spend]]</f>
        <v>426.71000000000004</v>
      </c>
      <c r="M1261" s="11">
        <v>126.59</v>
      </c>
    </row>
    <row r="1262" spans="1:13" ht="15.75" customHeight="1" x14ac:dyDescent="0.3">
      <c r="A1262" s="4" t="s">
        <v>843</v>
      </c>
      <c r="B1262">
        <f t="shared" si="19"/>
        <v>4</v>
      </c>
      <c r="C1262" s="2" t="s">
        <v>63</v>
      </c>
      <c r="D1262" s="2" t="s">
        <v>782</v>
      </c>
      <c r="E1262" s="7">
        <v>93.6</v>
      </c>
      <c r="F1262" s="2">
        <v>1</v>
      </c>
      <c r="G1262" s="7">
        <v>275.95999999999998</v>
      </c>
      <c r="H1262" s="2" t="s">
        <v>967</v>
      </c>
      <c r="I1262" s="2" t="s">
        <v>35</v>
      </c>
      <c r="J1262" s="2" t="s">
        <v>30</v>
      </c>
      <c r="K1262" s="2" t="s">
        <v>17</v>
      </c>
      <c r="L1262" s="7">
        <f>Table3[[#This Row],[Revenue]]-Table3[[#This Row],[Ad Spend]]</f>
        <v>182.35999999999999</v>
      </c>
      <c r="M1262" s="11">
        <v>105.34</v>
      </c>
    </row>
    <row r="1263" spans="1:13" ht="15.75" customHeight="1" x14ac:dyDescent="0.3">
      <c r="A1263" s="4" t="s">
        <v>129</v>
      </c>
      <c r="B1263">
        <f t="shared" si="19"/>
        <v>1</v>
      </c>
      <c r="C1263" s="2" t="s">
        <v>12</v>
      </c>
      <c r="D1263" s="2" t="s">
        <v>440</v>
      </c>
      <c r="E1263" s="7">
        <v>90.91</v>
      </c>
      <c r="F1263" s="2">
        <v>0</v>
      </c>
      <c r="G1263" s="7">
        <v>235.59</v>
      </c>
      <c r="H1263" s="2" t="s">
        <v>605</v>
      </c>
      <c r="I1263" s="2" t="s">
        <v>29</v>
      </c>
      <c r="J1263" s="2" t="s">
        <v>25</v>
      </c>
      <c r="K1263" s="2" t="s">
        <v>46</v>
      </c>
      <c r="L1263" s="7">
        <f>Table3[[#This Row],[Revenue]]-Table3[[#This Row],[Ad Spend]]</f>
        <v>144.68</v>
      </c>
      <c r="M1263" s="11">
        <v>128.44999999999999</v>
      </c>
    </row>
    <row r="1264" spans="1:13" ht="15.75" customHeight="1" x14ac:dyDescent="0.3">
      <c r="A1264" s="4" t="s">
        <v>532</v>
      </c>
      <c r="B1264">
        <f t="shared" si="19"/>
        <v>2</v>
      </c>
      <c r="C1264" s="2" t="s">
        <v>32</v>
      </c>
      <c r="D1264" s="2" t="s">
        <v>455</v>
      </c>
      <c r="E1264" s="7">
        <v>28.05</v>
      </c>
      <c r="F1264" s="2">
        <v>2</v>
      </c>
      <c r="G1264" s="7">
        <v>304.92</v>
      </c>
      <c r="H1264" s="2" t="s">
        <v>367</v>
      </c>
      <c r="I1264" s="2" t="s">
        <v>29</v>
      </c>
      <c r="J1264" s="2" t="s">
        <v>25</v>
      </c>
      <c r="K1264" s="2" t="s">
        <v>17</v>
      </c>
      <c r="L1264" s="7">
        <f>Table3[[#This Row],[Revenue]]-Table3[[#This Row],[Ad Spend]]</f>
        <v>276.87</v>
      </c>
      <c r="M1264" s="11">
        <v>169.82</v>
      </c>
    </row>
    <row r="1265" spans="1:13" ht="15.75" customHeight="1" x14ac:dyDescent="0.3">
      <c r="A1265" s="4" t="s">
        <v>184</v>
      </c>
      <c r="B1265">
        <f t="shared" si="19"/>
        <v>3</v>
      </c>
      <c r="C1265" s="2" t="s">
        <v>12</v>
      </c>
      <c r="D1265" s="2" t="s">
        <v>1298</v>
      </c>
      <c r="E1265" s="7">
        <v>145.91999999999999</v>
      </c>
      <c r="F1265" s="2">
        <v>9</v>
      </c>
      <c r="G1265" s="7">
        <v>41.78</v>
      </c>
      <c r="H1265" s="2" t="s">
        <v>422</v>
      </c>
      <c r="I1265" s="2" t="s">
        <v>35</v>
      </c>
      <c r="J1265" s="2" t="s">
        <v>30</v>
      </c>
      <c r="K1265" s="2" t="s">
        <v>17</v>
      </c>
      <c r="L1265" s="7">
        <f>Table3[[#This Row],[Revenue]]-Table3[[#This Row],[Ad Spend]]</f>
        <v>-104.13999999999999</v>
      </c>
      <c r="M1265" s="11">
        <v>131.91</v>
      </c>
    </row>
    <row r="1266" spans="1:13" ht="15.75" customHeight="1" x14ac:dyDescent="0.3">
      <c r="A1266" s="4" t="s">
        <v>293</v>
      </c>
      <c r="B1266">
        <f t="shared" si="19"/>
        <v>11</v>
      </c>
      <c r="C1266" s="2" t="s">
        <v>12</v>
      </c>
      <c r="D1266" s="2" t="s">
        <v>1295</v>
      </c>
      <c r="E1266" s="7">
        <v>143.15</v>
      </c>
      <c r="F1266" s="2">
        <v>0</v>
      </c>
      <c r="G1266" s="7">
        <v>56.24</v>
      </c>
      <c r="H1266" s="2" t="s">
        <v>1255</v>
      </c>
      <c r="I1266" s="2" t="s">
        <v>35</v>
      </c>
      <c r="J1266" s="2" t="s">
        <v>30</v>
      </c>
      <c r="K1266" s="2" t="s">
        <v>46</v>
      </c>
      <c r="L1266" s="7">
        <f>Table3[[#This Row],[Revenue]]-Table3[[#This Row],[Ad Spend]]</f>
        <v>-86.91</v>
      </c>
      <c r="M1266" s="11">
        <v>43.87</v>
      </c>
    </row>
    <row r="1267" spans="1:13" ht="15.75" customHeight="1" x14ac:dyDescent="0.3">
      <c r="A1267" s="4" t="s">
        <v>914</v>
      </c>
      <c r="B1267">
        <f t="shared" si="19"/>
        <v>11</v>
      </c>
      <c r="C1267" s="2" t="s">
        <v>12</v>
      </c>
      <c r="D1267" s="2" t="s">
        <v>952</v>
      </c>
      <c r="E1267" s="7">
        <v>98.55</v>
      </c>
      <c r="F1267" s="2">
        <v>4</v>
      </c>
      <c r="G1267" s="7">
        <v>208.32</v>
      </c>
      <c r="H1267" s="2" t="s">
        <v>749</v>
      </c>
      <c r="I1267" s="2" t="s">
        <v>15</v>
      </c>
      <c r="J1267" s="2" t="s">
        <v>87</v>
      </c>
      <c r="K1267" s="2" t="s">
        <v>17</v>
      </c>
      <c r="L1267" s="7">
        <f>Table3[[#This Row],[Revenue]]-Table3[[#This Row],[Ad Spend]]</f>
        <v>109.77</v>
      </c>
      <c r="M1267" s="11">
        <v>130.32</v>
      </c>
    </row>
    <row r="1268" spans="1:13" ht="15.75" customHeight="1" x14ac:dyDescent="0.3">
      <c r="A1268" s="4" t="s">
        <v>753</v>
      </c>
      <c r="B1268">
        <f t="shared" si="19"/>
        <v>11</v>
      </c>
      <c r="C1268" s="2" t="s">
        <v>63</v>
      </c>
      <c r="D1268" s="2" t="s">
        <v>1299</v>
      </c>
      <c r="E1268" s="7">
        <v>104.94</v>
      </c>
      <c r="F1268" s="2">
        <v>5</v>
      </c>
      <c r="G1268" s="7">
        <v>432.34</v>
      </c>
      <c r="H1268" s="2" t="s">
        <v>698</v>
      </c>
      <c r="I1268" s="2" t="s">
        <v>15</v>
      </c>
      <c r="J1268" s="2" t="s">
        <v>25</v>
      </c>
      <c r="K1268" s="2" t="s">
        <v>17</v>
      </c>
      <c r="L1268" s="7">
        <f>Table3[[#This Row],[Revenue]]-Table3[[#This Row],[Ad Spend]]</f>
        <v>327.39999999999998</v>
      </c>
      <c r="M1268" s="11">
        <v>188.53</v>
      </c>
    </row>
    <row r="1269" spans="1:13" ht="15.75" customHeight="1" x14ac:dyDescent="0.3">
      <c r="A1269" s="4" t="s">
        <v>250</v>
      </c>
      <c r="B1269">
        <f t="shared" si="19"/>
        <v>12</v>
      </c>
      <c r="C1269" s="2" t="s">
        <v>12</v>
      </c>
      <c r="D1269" s="2" t="s">
        <v>895</v>
      </c>
      <c r="E1269" s="7">
        <v>125.46</v>
      </c>
      <c r="F1269" s="2">
        <v>6</v>
      </c>
      <c r="G1269" s="7">
        <v>404.75</v>
      </c>
      <c r="H1269" s="2" t="s">
        <v>973</v>
      </c>
      <c r="I1269" s="2" t="s">
        <v>35</v>
      </c>
      <c r="J1269" s="2" t="s">
        <v>30</v>
      </c>
      <c r="K1269" s="2" t="s">
        <v>17</v>
      </c>
      <c r="L1269" s="7">
        <f>Table3[[#This Row],[Revenue]]-Table3[[#This Row],[Ad Spend]]</f>
        <v>279.29000000000002</v>
      </c>
      <c r="M1269" s="11">
        <v>157.44999999999999</v>
      </c>
    </row>
    <row r="1270" spans="1:13" ht="15.75" customHeight="1" x14ac:dyDescent="0.3">
      <c r="A1270" s="4" t="s">
        <v>117</v>
      </c>
      <c r="B1270">
        <f t="shared" si="19"/>
        <v>3</v>
      </c>
      <c r="C1270" s="2" t="s">
        <v>19</v>
      </c>
      <c r="D1270" s="2" t="s">
        <v>1300</v>
      </c>
      <c r="E1270" s="7">
        <v>142.26</v>
      </c>
      <c r="F1270" s="2">
        <v>8</v>
      </c>
      <c r="G1270" s="7">
        <v>226.03</v>
      </c>
      <c r="H1270" s="2" t="s">
        <v>279</v>
      </c>
      <c r="I1270" s="2" t="s">
        <v>29</v>
      </c>
      <c r="J1270" s="2" t="s">
        <v>53</v>
      </c>
      <c r="K1270" s="2" t="s">
        <v>17</v>
      </c>
      <c r="L1270" s="7">
        <f>Table3[[#This Row],[Revenue]]-Table3[[#This Row],[Ad Spend]]</f>
        <v>83.77000000000001</v>
      </c>
      <c r="M1270" s="11">
        <v>134.12</v>
      </c>
    </row>
    <row r="1271" spans="1:13" ht="15.75" customHeight="1" x14ac:dyDescent="0.3">
      <c r="A1271" s="4" t="s">
        <v>226</v>
      </c>
      <c r="B1271">
        <f t="shared" si="19"/>
        <v>2</v>
      </c>
      <c r="C1271" s="2" t="s">
        <v>12</v>
      </c>
      <c r="D1271" s="2" t="s">
        <v>1301</v>
      </c>
      <c r="E1271" s="7">
        <v>63.13</v>
      </c>
      <c r="F1271" s="2">
        <v>7</v>
      </c>
      <c r="G1271" s="7">
        <v>54.46</v>
      </c>
      <c r="H1271" s="2" t="s">
        <v>391</v>
      </c>
      <c r="I1271" s="2" t="s">
        <v>15</v>
      </c>
      <c r="J1271" s="2" t="s">
        <v>53</v>
      </c>
      <c r="K1271" s="2" t="s">
        <v>17</v>
      </c>
      <c r="L1271" s="7">
        <f>Table3[[#This Row],[Revenue]]-Table3[[#This Row],[Ad Spend]]</f>
        <v>-8.6700000000000017</v>
      </c>
      <c r="M1271" s="11">
        <v>90.13</v>
      </c>
    </row>
    <row r="1272" spans="1:13" ht="15.75" customHeight="1" x14ac:dyDescent="0.3">
      <c r="A1272" s="4" t="s">
        <v>79</v>
      </c>
      <c r="B1272">
        <f t="shared" si="19"/>
        <v>11</v>
      </c>
      <c r="C1272" s="2" t="s">
        <v>12</v>
      </c>
      <c r="D1272" s="2" t="s">
        <v>1140</v>
      </c>
      <c r="E1272" s="7">
        <v>142.83000000000001</v>
      </c>
      <c r="F1272" s="2">
        <v>3</v>
      </c>
      <c r="G1272" s="7">
        <v>40.520000000000003</v>
      </c>
      <c r="H1272" s="2" t="s">
        <v>664</v>
      </c>
      <c r="I1272" s="2" t="s">
        <v>35</v>
      </c>
      <c r="J1272" s="2" t="s">
        <v>36</v>
      </c>
      <c r="K1272" s="2" t="s">
        <v>17</v>
      </c>
      <c r="L1272" s="7">
        <f>Table3[[#This Row],[Revenue]]-Table3[[#This Row],[Ad Spend]]</f>
        <v>-102.31</v>
      </c>
      <c r="M1272" s="11">
        <v>163.63999999999999</v>
      </c>
    </row>
    <row r="1273" spans="1:13" ht="15.75" customHeight="1" x14ac:dyDescent="0.3">
      <c r="A1273" s="4" t="s">
        <v>31</v>
      </c>
      <c r="B1273">
        <f t="shared" si="19"/>
        <v>1</v>
      </c>
      <c r="C1273" s="2" t="s">
        <v>12</v>
      </c>
      <c r="D1273" s="2" t="s">
        <v>442</v>
      </c>
      <c r="E1273" s="7">
        <v>80.319999999999993</v>
      </c>
      <c r="F1273" s="2">
        <v>4</v>
      </c>
      <c r="G1273" s="7">
        <v>412.43</v>
      </c>
      <c r="H1273" s="2" t="s">
        <v>286</v>
      </c>
      <c r="I1273" s="2" t="s">
        <v>15</v>
      </c>
      <c r="J1273" s="2" t="s">
        <v>30</v>
      </c>
      <c r="K1273" s="2" t="s">
        <v>17</v>
      </c>
      <c r="L1273" s="7">
        <f>Table3[[#This Row],[Revenue]]-Table3[[#This Row],[Ad Spend]]</f>
        <v>332.11</v>
      </c>
      <c r="M1273" s="11">
        <v>119.03</v>
      </c>
    </row>
    <row r="1274" spans="1:13" ht="15.75" customHeight="1" x14ac:dyDescent="0.3">
      <c r="A1274" s="4" t="s">
        <v>283</v>
      </c>
      <c r="B1274">
        <f t="shared" si="19"/>
        <v>11</v>
      </c>
      <c r="C1274" s="2" t="s">
        <v>63</v>
      </c>
      <c r="D1274" s="2" t="s">
        <v>1195</v>
      </c>
      <c r="E1274" s="7">
        <v>62.1</v>
      </c>
      <c r="F1274" s="2">
        <v>9</v>
      </c>
      <c r="G1274" s="7">
        <v>198.32</v>
      </c>
      <c r="H1274" s="2" t="s">
        <v>1028</v>
      </c>
      <c r="I1274" s="2" t="s">
        <v>15</v>
      </c>
      <c r="J1274" s="2" t="s">
        <v>36</v>
      </c>
      <c r="K1274" s="2" t="s">
        <v>17</v>
      </c>
      <c r="L1274" s="7">
        <f>Table3[[#This Row],[Revenue]]-Table3[[#This Row],[Ad Spend]]</f>
        <v>136.22</v>
      </c>
      <c r="M1274" s="11">
        <v>155.77000000000001</v>
      </c>
    </row>
    <row r="1275" spans="1:13" ht="15.75" customHeight="1" x14ac:dyDescent="0.3">
      <c r="A1275" s="4" t="s">
        <v>504</v>
      </c>
      <c r="B1275">
        <f t="shared" si="19"/>
        <v>12</v>
      </c>
      <c r="C1275" s="2" t="s">
        <v>63</v>
      </c>
      <c r="D1275" s="2" t="s">
        <v>915</v>
      </c>
      <c r="E1275" s="7">
        <v>139.21</v>
      </c>
      <c r="F1275" s="2">
        <v>7</v>
      </c>
      <c r="G1275" s="7">
        <v>56.08</v>
      </c>
      <c r="H1275" s="2" t="s">
        <v>161</v>
      </c>
      <c r="I1275" s="2" t="s">
        <v>35</v>
      </c>
      <c r="J1275" s="2" t="s">
        <v>30</v>
      </c>
      <c r="K1275" s="2" t="s">
        <v>17</v>
      </c>
      <c r="L1275" s="7">
        <f>Table3[[#This Row],[Revenue]]-Table3[[#This Row],[Ad Spend]]</f>
        <v>-83.13000000000001</v>
      </c>
      <c r="M1275" s="11">
        <v>122.16</v>
      </c>
    </row>
    <row r="1276" spans="1:13" ht="15.75" customHeight="1" x14ac:dyDescent="0.3">
      <c r="A1276" s="4" t="s">
        <v>415</v>
      </c>
      <c r="B1276">
        <f t="shared" si="19"/>
        <v>4</v>
      </c>
      <c r="C1276" s="2" t="s">
        <v>32</v>
      </c>
      <c r="D1276" s="2" t="s">
        <v>1138</v>
      </c>
      <c r="E1276" s="7">
        <v>96.6</v>
      </c>
      <c r="F1276" s="2">
        <v>1</v>
      </c>
      <c r="G1276" s="7">
        <v>167.32</v>
      </c>
      <c r="H1276" s="2" t="s">
        <v>847</v>
      </c>
      <c r="I1276" s="2" t="s">
        <v>29</v>
      </c>
      <c r="J1276" s="2" t="s">
        <v>36</v>
      </c>
      <c r="K1276" s="2" t="s">
        <v>17</v>
      </c>
      <c r="L1276" s="7">
        <f>Table3[[#This Row],[Revenue]]-Table3[[#This Row],[Ad Spend]]</f>
        <v>70.72</v>
      </c>
      <c r="M1276" s="11">
        <v>155.02000000000001</v>
      </c>
    </row>
    <row r="1277" spans="1:13" ht="15.75" customHeight="1" x14ac:dyDescent="0.3">
      <c r="A1277" s="4" t="s">
        <v>216</v>
      </c>
      <c r="B1277">
        <f t="shared" si="19"/>
        <v>2</v>
      </c>
      <c r="C1277" s="2" t="s">
        <v>12</v>
      </c>
      <c r="D1277" s="2" t="s">
        <v>674</v>
      </c>
      <c r="E1277" s="7">
        <v>119.1</v>
      </c>
      <c r="F1277" s="2">
        <v>5</v>
      </c>
      <c r="G1277" s="7">
        <v>440.13</v>
      </c>
      <c r="H1277" s="2" t="s">
        <v>93</v>
      </c>
      <c r="I1277" s="2" t="s">
        <v>35</v>
      </c>
      <c r="J1277" s="2" t="s">
        <v>30</v>
      </c>
      <c r="K1277" s="2" t="s">
        <v>17</v>
      </c>
      <c r="L1277" s="7">
        <f>Table3[[#This Row],[Revenue]]-Table3[[#This Row],[Ad Spend]]</f>
        <v>321.02999999999997</v>
      </c>
      <c r="M1277" s="11">
        <v>172.6</v>
      </c>
    </row>
    <row r="1278" spans="1:13" ht="15.75" customHeight="1" x14ac:dyDescent="0.3">
      <c r="A1278" s="4" t="s">
        <v>110</v>
      </c>
      <c r="B1278">
        <f t="shared" si="19"/>
        <v>4</v>
      </c>
      <c r="C1278" s="2" t="s">
        <v>32</v>
      </c>
      <c r="D1278" s="2" t="s">
        <v>929</v>
      </c>
      <c r="E1278" s="7">
        <v>16.91</v>
      </c>
      <c r="F1278" s="2">
        <v>1</v>
      </c>
      <c r="G1278" s="7">
        <v>371.71</v>
      </c>
      <c r="H1278" s="2" t="s">
        <v>498</v>
      </c>
      <c r="I1278" s="2" t="s">
        <v>29</v>
      </c>
      <c r="J1278" s="2" t="s">
        <v>16</v>
      </c>
      <c r="K1278" s="2" t="s">
        <v>17</v>
      </c>
      <c r="L1278" s="7">
        <f>Table3[[#This Row],[Revenue]]-Table3[[#This Row],[Ad Spend]]</f>
        <v>354.79999999999995</v>
      </c>
      <c r="M1278" s="11">
        <v>98.91</v>
      </c>
    </row>
    <row r="1279" spans="1:13" ht="15.75" customHeight="1" x14ac:dyDescent="0.3">
      <c r="A1279" s="4" t="s">
        <v>131</v>
      </c>
      <c r="B1279">
        <f t="shared" si="19"/>
        <v>11</v>
      </c>
      <c r="C1279" s="2" t="s">
        <v>12</v>
      </c>
      <c r="D1279" s="2" t="s">
        <v>868</v>
      </c>
      <c r="E1279" s="7">
        <v>40.479999999999997</v>
      </c>
      <c r="F1279" s="2">
        <v>9</v>
      </c>
      <c r="G1279" s="7">
        <v>99.97</v>
      </c>
      <c r="H1279" s="2" t="s">
        <v>284</v>
      </c>
      <c r="I1279" s="2" t="s">
        <v>29</v>
      </c>
      <c r="J1279" s="2" t="s">
        <v>30</v>
      </c>
      <c r="K1279" s="2" t="s">
        <v>17</v>
      </c>
      <c r="L1279" s="7">
        <f>Table3[[#This Row],[Revenue]]-Table3[[#This Row],[Ad Spend]]</f>
        <v>59.49</v>
      </c>
      <c r="M1279" s="11">
        <v>134.57</v>
      </c>
    </row>
    <row r="1280" spans="1:13" ht="15.75" customHeight="1" x14ac:dyDescent="0.3">
      <c r="A1280" s="4" t="s">
        <v>688</v>
      </c>
      <c r="B1280">
        <f t="shared" si="19"/>
        <v>3</v>
      </c>
      <c r="C1280" s="2" t="s">
        <v>32</v>
      </c>
      <c r="D1280" s="2" t="s">
        <v>170</v>
      </c>
      <c r="E1280" s="7">
        <v>39.25</v>
      </c>
      <c r="F1280" s="2">
        <v>1</v>
      </c>
      <c r="G1280" s="7">
        <v>37.78</v>
      </c>
      <c r="H1280" s="2" t="s">
        <v>781</v>
      </c>
      <c r="I1280" s="2" t="s">
        <v>29</v>
      </c>
      <c r="J1280" s="2" t="s">
        <v>16</v>
      </c>
      <c r="K1280" s="2" t="s">
        <v>17</v>
      </c>
      <c r="L1280" s="7">
        <f>Table3[[#This Row],[Revenue]]-Table3[[#This Row],[Ad Spend]]</f>
        <v>-1.4699999999999989</v>
      </c>
      <c r="M1280" s="11">
        <v>114.56</v>
      </c>
    </row>
    <row r="1281" spans="1:13" ht="15.75" customHeight="1" x14ac:dyDescent="0.3">
      <c r="A1281" s="4" t="s">
        <v>129</v>
      </c>
      <c r="B1281">
        <f t="shared" si="19"/>
        <v>1</v>
      </c>
      <c r="C1281" s="2" t="s">
        <v>63</v>
      </c>
      <c r="D1281" s="2" t="s">
        <v>1302</v>
      </c>
      <c r="E1281" s="7">
        <v>43.42</v>
      </c>
      <c r="F1281" s="2">
        <v>1</v>
      </c>
      <c r="G1281" s="7">
        <v>69.180000000000007</v>
      </c>
      <c r="H1281" s="2" t="s">
        <v>437</v>
      </c>
      <c r="I1281" s="2" t="s">
        <v>29</v>
      </c>
      <c r="J1281" s="2" t="s">
        <v>30</v>
      </c>
      <c r="K1281" s="2" t="s">
        <v>17</v>
      </c>
      <c r="L1281" s="7">
        <f>Table3[[#This Row],[Revenue]]-Table3[[#This Row],[Ad Spend]]</f>
        <v>25.760000000000005</v>
      </c>
      <c r="M1281" s="11">
        <v>115.62</v>
      </c>
    </row>
    <row r="1282" spans="1:13" ht="15.75" customHeight="1" x14ac:dyDescent="0.3">
      <c r="A1282" s="4" t="s">
        <v>79</v>
      </c>
      <c r="B1282">
        <f t="shared" si="19"/>
        <v>11</v>
      </c>
      <c r="C1282" s="2" t="s">
        <v>63</v>
      </c>
      <c r="D1282" s="2" t="s">
        <v>823</v>
      </c>
      <c r="E1282" s="7">
        <v>103.11</v>
      </c>
      <c r="F1282" s="2">
        <v>2</v>
      </c>
      <c r="G1282" s="7">
        <v>172.16</v>
      </c>
      <c r="H1282" s="2" t="s">
        <v>279</v>
      </c>
      <c r="I1282" s="2" t="s">
        <v>29</v>
      </c>
      <c r="J1282" s="2" t="s">
        <v>87</v>
      </c>
      <c r="K1282" s="2" t="s">
        <v>17</v>
      </c>
      <c r="L1282" s="7">
        <f>Table3[[#This Row],[Revenue]]-Table3[[#This Row],[Ad Spend]]</f>
        <v>69.05</v>
      </c>
      <c r="M1282" s="11">
        <v>130.68</v>
      </c>
    </row>
    <row r="1283" spans="1:13" ht="15.75" customHeight="1" x14ac:dyDescent="0.3">
      <c r="A1283" s="4" t="s">
        <v>43</v>
      </c>
      <c r="B1283">
        <f t="shared" ref="B1283:B1346" si="20">MONTH(A1283)</f>
        <v>11</v>
      </c>
      <c r="C1283" s="2" t="s">
        <v>32</v>
      </c>
      <c r="D1283" s="2" t="s">
        <v>1303</v>
      </c>
      <c r="E1283" s="7">
        <v>66.27</v>
      </c>
      <c r="F1283" s="2">
        <v>6</v>
      </c>
      <c r="G1283" s="7">
        <v>349.66</v>
      </c>
      <c r="H1283" s="2" t="s">
        <v>28</v>
      </c>
      <c r="I1283" s="2" t="s">
        <v>29</v>
      </c>
      <c r="J1283" s="2" t="s">
        <v>25</v>
      </c>
      <c r="K1283" s="2" t="s">
        <v>17</v>
      </c>
      <c r="L1283" s="7">
        <f>Table3[[#This Row],[Revenue]]-Table3[[#This Row],[Ad Spend]]</f>
        <v>283.39000000000004</v>
      </c>
      <c r="M1283" s="11">
        <v>135.18</v>
      </c>
    </row>
    <row r="1284" spans="1:13" ht="15.75" customHeight="1" x14ac:dyDescent="0.3">
      <c r="A1284" s="4" t="s">
        <v>755</v>
      </c>
      <c r="B1284">
        <f t="shared" si="20"/>
        <v>2</v>
      </c>
      <c r="C1284" s="2" t="s">
        <v>12</v>
      </c>
      <c r="D1284" s="2" t="s">
        <v>1053</v>
      </c>
      <c r="E1284" s="7">
        <v>95.79</v>
      </c>
      <c r="F1284" s="2">
        <v>1</v>
      </c>
      <c r="G1284" s="7">
        <v>375.57</v>
      </c>
      <c r="H1284" s="2" t="s">
        <v>467</v>
      </c>
      <c r="I1284" s="2" t="s">
        <v>35</v>
      </c>
      <c r="J1284" s="2" t="s">
        <v>16</v>
      </c>
      <c r="K1284" s="2" t="s">
        <v>17</v>
      </c>
      <c r="L1284" s="7">
        <f>Table3[[#This Row],[Revenue]]-Table3[[#This Row],[Ad Spend]]</f>
        <v>279.77999999999997</v>
      </c>
      <c r="M1284" s="11">
        <v>143.74</v>
      </c>
    </row>
    <row r="1285" spans="1:13" ht="15.75" customHeight="1" x14ac:dyDescent="0.3">
      <c r="A1285" s="4" t="s">
        <v>47</v>
      </c>
      <c r="B1285">
        <f t="shared" si="20"/>
        <v>12</v>
      </c>
      <c r="C1285" s="2" t="s">
        <v>32</v>
      </c>
      <c r="D1285" s="2" t="s">
        <v>476</v>
      </c>
      <c r="E1285" s="7">
        <v>92.66</v>
      </c>
      <c r="F1285" s="2">
        <v>3</v>
      </c>
      <c r="G1285" s="7">
        <v>279.12</v>
      </c>
      <c r="H1285" s="2" t="s">
        <v>640</v>
      </c>
      <c r="I1285" s="2" t="s">
        <v>15</v>
      </c>
      <c r="J1285" s="2" t="s">
        <v>16</v>
      </c>
      <c r="K1285" s="2" t="s">
        <v>17</v>
      </c>
      <c r="L1285" s="7">
        <f>Table3[[#This Row],[Revenue]]-Table3[[#This Row],[Ad Spend]]</f>
        <v>186.46</v>
      </c>
      <c r="M1285" s="11">
        <v>94.79</v>
      </c>
    </row>
    <row r="1286" spans="1:13" ht="15.75" customHeight="1" x14ac:dyDescent="0.3">
      <c r="A1286" s="4" t="s">
        <v>428</v>
      </c>
      <c r="B1286">
        <f t="shared" si="20"/>
        <v>3</v>
      </c>
      <c r="C1286" s="2" t="s">
        <v>12</v>
      </c>
      <c r="D1286" s="2" t="s">
        <v>1156</v>
      </c>
      <c r="E1286" s="7">
        <v>96.14</v>
      </c>
      <c r="F1286" s="2">
        <v>8</v>
      </c>
      <c r="G1286" s="7">
        <v>248.21</v>
      </c>
      <c r="H1286" s="2" t="s">
        <v>1304</v>
      </c>
      <c r="I1286" s="2" t="s">
        <v>35</v>
      </c>
      <c r="J1286" s="2" t="s">
        <v>25</v>
      </c>
      <c r="K1286" s="2" t="s">
        <v>17</v>
      </c>
      <c r="L1286" s="7">
        <f>Table3[[#This Row],[Revenue]]-Table3[[#This Row],[Ad Spend]]</f>
        <v>152.07</v>
      </c>
      <c r="M1286" s="11">
        <v>143.53</v>
      </c>
    </row>
    <row r="1287" spans="1:13" ht="15.75" customHeight="1" x14ac:dyDescent="0.3">
      <c r="A1287" s="4" t="s">
        <v>574</v>
      </c>
      <c r="B1287">
        <f t="shared" si="20"/>
        <v>1</v>
      </c>
      <c r="C1287" s="2" t="s">
        <v>32</v>
      </c>
      <c r="D1287" s="2" t="s">
        <v>1305</v>
      </c>
      <c r="E1287" s="7">
        <v>77.02</v>
      </c>
      <c r="F1287" s="2">
        <v>1</v>
      </c>
      <c r="G1287" s="7">
        <v>175.44</v>
      </c>
      <c r="H1287" s="2" t="s">
        <v>301</v>
      </c>
      <c r="I1287" s="2" t="s">
        <v>35</v>
      </c>
      <c r="J1287" s="2" t="s">
        <v>53</v>
      </c>
      <c r="K1287" s="2" t="s">
        <v>17</v>
      </c>
      <c r="L1287" s="7">
        <f>Table3[[#This Row],[Revenue]]-Table3[[#This Row],[Ad Spend]]</f>
        <v>98.42</v>
      </c>
      <c r="M1287" s="11">
        <v>142.46</v>
      </c>
    </row>
    <row r="1288" spans="1:13" ht="15.75" customHeight="1" x14ac:dyDescent="0.3">
      <c r="A1288" s="4" t="s">
        <v>338</v>
      </c>
      <c r="B1288">
        <f t="shared" si="20"/>
        <v>4</v>
      </c>
      <c r="C1288" s="2" t="s">
        <v>12</v>
      </c>
      <c r="D1288" s="2" t="s">
        <v>1306</v>
      </c>
      <c r="E1288" s="7">
        <v>30.04</v>
      </c>
      <c r="F1288" s="2">
        <v>6</v>
      </c>
      <c r="G1288" s="7">
        <v>373.05</v>
      </c>
      <c r="H1288" s="2" t="s">
        <v>161</v>
      </c>
      <c r="I1288" s="2" t="s">
        <v>29</v>
      </c>
      <c r="J1288" s="2" t="s">
        <v>25</v>
      </c>
      <c r="K1288" s="2" t="s">
        <v>17</v>
      </c>
      <c r="L1288" s="7">
        <f>Table3[[#This Row],[Revenue]]-Table3[[#This Row],[Ad Spend]]</f>
        <v>343.01</v>
      </c>
      <c r="M1288" s="11">
        <v>116.28</v>
      </c>
    </row>
    <row r="1289" spans="1:13" ht="15.75" customHeight="1" x14ac:dyDescent="0.3">
      <c r="A1289" s="4" t="s">
        <v>247</v>
      </c>
      <c r="B1289">
        <f t="shared" si="20"/>
        <v>3</v>
      </c>
      <c r="C1289" s="2" t="s">
        <v>63</v>
      </c>
      <c r="D1289" s="2" t="s">
        <v>1120</v>
      </c>
      <c r="E1289" s="7">
        <v>42.59</v>
      </c>
      <c r="F1289" s="2">
        <v>3</v>
      </c>
      <c r="G1289" s="7">
        <v>417.62</v>
      </c>
      <c r="H1289" s="2" t="s">
        <v>186</v>
      </c>
      <c r="I1289" s="2" t="s">
        <v>29</v>
      </c>
      <c r="J1289" s="2" t="s">
        <v>16</v>
      </c>
      <c r="K1289" s="2" t="s">
        <v>17</v>
      </c>
      <c r="L1289" s="7">
        <f>Table3[[#This Row],[Revenue]]-Table3[[#This Row],[Ad Spend]]</f>
        <v>375.03</v>
      </c>
      <c r="M1289" s="11">
        <v>120.75</v>
      </c>
    </row>
    <row r="1290" spans="1:13" ht="15.75" customHeight="1" x14ac:dyDescent="0.3">
      <c r="A1290" s="4" t="s">
        <v>226</v>
      </c>
      <c r="B1290">
        <f t="shared" si="20"/>
        <v>2</v>
      </c>
      <c r="C1290" s="2" t="s">
        <v>12</v>
      </c>
      <c r="D1290" s="2" t="s">
        <v>314</v>
      </c>
      <c r="E1290" s="7">
        <v>133.9</v>
      </c>
      <c r="F1290" s="2">
        <v>2</v>
      </c>
      <c r="G1290" s="7">
        <v>426.85</v>
      </c>
      <c r="H1290" s="2" t="s">
        <v>225</v>
      </c>
      <c r="I1290" s="2" t="s">
        <v>29</v>
      </c>
      <c r="J1290" s="2" t="s">
        <v>30</v>
      </c>
      <c r="K1290" s="2" t="s">
        <v>17</v>
      </c>
      <c r="L1290" s="7">
        <f>Table3[[#This Row],[Revenue]]-Table3[[#This Row],[Ad Spend]]</f>
        <v>292.95000000000005</v>
      </c>
      <c r="M1290" s="11">
        <v>125.47</v>
      </c>
    </row>
    <row r="1291" spans="1:13" ht="15.75" customHeight="1" x14ac:dyDescent="0.3">
      <c r="A1291" s="4" t="s">
        <v>691</v>
      </c>
      <c r="B1291">
        <f t="shared" si="20"/>
        <v>2</v>
      </c>
      <c r="C1291" s="2" t="s">
        <v>19</v>
      </c>
      <c r="D1291" s="2" t="s">
        <v>190</v>
      </c>
      <c r="E1291" s="7">
        <v>133.56</v>
      </c>
      <c r="F1291" s="2">
        <v>9</v>
      </c>
      <c r="G1291" s="7">
        <v>487.89</v>
      </c>
      <c r="H1291" s="2" t="s">
        <v>78</v>
      </c>
      <c r="I1291" s="2" t="s">
        <v>15</v>
      </c>
      <c r="J1291" s="2" t="s">
        <v>25</v>
      </c>
      <c r="K1291" s="2" t="s">
        <v>17</v>
      </c>
      <c r="L1291" s="7">
        <f>Table3[[#This Row],[Revenue]]-Table3[[#This Row],[Ad Spend]]</f>
        <v>354.33</v>
      </c>
      <c r="M1291" s="11">
        <v>153.11000000000001</v>
      </c>
    </row>
    <row r="1292" spans="1:13" ht="15.75" customHeight="1" x14ac:dyDescent="0.3">
      <c r="A1292" s="4" t="s">
        <v>50</v>
      </c>
      <c r="B1292">
        <f t="shared" si="20"/>
        <v>12</v>
      </c>
      <c r="C1292" s="2" t="s">
        <v>32</v>
      </c>
      <c r="D1292" s="2" t="s">
        <v>305</v>
      </c>
      <c r="E1292" s="7">
        <v>93.56</v>
      </c>
      <c r="F1292" s="2">
        <v>4</v>
      </c>
      <c r="G1292" s="7">
        <v>250.96</v>
      </c>
      <c r="H1292" s="2" t="s">
        <v>58</v>
      </c>
      <c r="I1292" s="2" t="s">
        <v>15</v>
      </c>
      <c r="J1292" s="2" t="s">
        <v>87</v>
      </c>
      <c r="K1292" s="2" t="s">
        <v>17</v>
      </c>
      <c r="L1292" s="7">
        <f>Table3[[#This Row],[Revenue]]-Table3[[#This Row],[Ad Spend]]</f>
        <v>157.4</v>
      </c>
      <c r="M1292" s="11">
        <v>137.97999999999999</v>
      </c>
    </row>
    <row r="1293" spans="1:13" ht="15.75" customHeight="1" x14ac:dyDescent="0.3">
      <c r="A1293" s="4" t="s">
        <v>238</v>
      </c>
      <c r="B1293">
        <f t="shared" si="20"/>
        <v>3</v>
      </c>
      <c r="C1293" s="2" t="s">
        <v>19</v>
      </c>
      <c r="D1293" s="2" t="s">
        <v>943</v>
      </c>
      <c r="E1293" s="7">
        <v>41.02</v>
      </c>
      <c r="F1293" s="2">
        <v>10</v>
      </c>
      <c r="G1293" s="7">
        <v>105.96</v>
      </c>
      <c r="H1293" s="2" t="s">
        <v>147</v>
      </c>
      <c r="I1293" s="2" t="s">
        <v>35</v>
      </c>
      <c r="J1293" s="2" t="s">
        <v>25</v>
      </c>
      <c r="K1293" s="2" t="s">
        <v>17</v>
      </c>
      <c r="L1293" s="7">
        <f>Table3[[#This Row],[Revenue]]-Table3[[#This Row],[Ad Spend]]</f>
        <v>64.94</v>
      </c>
      <c r="M1293" s="11">
        <v>141.43</v>
      </c>
    </row>
    <row r="1294" spans="1:13" ht="15.75" customHeight="1" x14ac:dyDescent="0.3">
      <c r="A1294" s="4" t="s">
        <v>175</v>
      </c>
      <c r="B1294">
        <f t="shared" si="20"/>
        <v>3</v>
      </c>
      <c r="C1294" s="2" t="s">
        <v>12</v>
      </c>
      <c r="D1294" s="2" t="s">
        <v>305</v>
      </c>
      <c r="E1294" s="7">
        <v>93.91</v>
      </c>
      <c r="F1294" s="2">
        <v>1</v>
      </c>
      <c r="G1294" s="7">
        <v>90.74</v>
      </c>
      <c r="H1294" s="2" t="s">
        <v>161</v>
      </c>
      <c r="I1294" s="2" t="s">
        <v>29</v>
      </c>
      <c r="J1294" s="2" t="s">
        <v>87</v>
      </c>
      <c r="K1294" s="2" t="s">
        <v>17</v>
      </c>
      <c r="L1294" s="7">
        <f>Table3[[#This Row],[Revenue]]-Table3[[#This Row],[Ad Spend]]</f>
        <v>-3.1700000000000017</v>
      </c>
      <c r="M1294" s="11">
        <v>124.33</v>
      </c>
    </row>
    <row r="1295" spans="1:13" ht="15.75" customHeight="1" x14ac:dyDescent="0.3">
      <c r="A1295" s="4" t="s">
        <v>169</v>
      </c>
      <c r="B1295">
        <f t="shared" si="20"/>
        <v>2</v>
      </c>
      <c r="C1295" s="2" t="s">
        <v>19</v>
      </c>
      <c r="D1295" s="2" t="s">
        <v>1307</v>
      </c>
      <c r="E1295" s="7">
        <v>127.84</v>
      </c>
      <c r="F1295" s="2">
        <v>10</v>
      </c>
      <c r="G1295" s="7">
        <v>150.84</v>
      </c>
      <c r="H1295" s="2" t="s">
        <v>933</v>
      </c>
      <c r="I1295" s="2" t="s">
        <v>35</v>
      </c>
      <c r="J1295" s="2" t="s">
        <v>87</v>
      </c>
      <c r="K1295" s="2" t="s">
        <v>17</v>
      </c>
      <c r="L1295" s="7">
        <f>Table3[[#This Row],[Revenue]]-Table3[[#This Row],[Ad Spend]]</f>
        <v>23</v>
      </c>
      <c r="M1295" s="11">
        <v>108.51</v>
      </c>
    </row>
    <row r="1296" spans="1:13" ht="15.75" customHeight="1" x14ac:dyDescent="0.3">
      <c r="A1296" s="4" t="s">
        <v>142</v>
      </c>
      <c r="B1296">
        <f t="shared" si="20"/>
        <v>12</v>
      </c>
      <c r="C1296" s="2" t="s">
        <v>12</v>
      </c>
      <c r="D1296" s="2" t="s">
        <v>106</v>
      </c>
      <c r="E1296" s="7">
        <v>64.959999999999994</v>
      </c>
      <c r="F1296" s="2">
        <v>0</v>
      </c>
      <c r="G1296" s="7">
        <v>46.44</v>
      </c>
      <c r="H1296" s="2" t="s">
        <v>599</v>
      </c>
      <c r="I1296" s="2" t="s">
        <v>35</v>
      </c>
      <c r="J1296" s="2" t="s">
        <v>87</v>
      </c>
      <c r="K1296" s="2" t="s">
        <v>46</v>
      </c>
      <c r="L1296" s="7">
        <f>Table3[[#This Row],[Revenue]]-Table3[[#This Row],[Ad Spend]]</f>
        <v>-18.519999999999996</v>
      </c>
      <c r="M1296" s="11">
        <v>124.69</v>
      </c>
    </row>
    <row r="1297" spans="1:13" ht="15.75" customHeight="1" x14ac:dyDescent="0.3">
      <c r="A1297" s="4" t="s">
        <v>181</v>
      </c>
      <c r="B1297">
        <f t="shared" si="20"/>
        <v>11</v>
      </c>
      <c r="C1297" s="2" t="s">
        <v>19</v>
      </c>
      <c r="D1297" s="2" t="s">
        <v>1308</v>
      </c>
      <c r="E1297" s="7">
        <v>117.01</v>
      </c>
      <c r="F1297" s="2">
        <v>8</v>
      </c>
      <c r="G1297" s="7">
        <v>267.08999999999997</v>
      </c>
      <c r="H1297" s="2" t="s">
        <v>1247</v>
      </c>
      <c r="I1297" s="2" t="s">
        <v>35</v>
      </c>
      <c r="J1297" s="2" t="s">
        <v>53</v>
      </c>
      <c r="K1297" s="2" t="s">
        <v>17</v>
      </c>
      <c r="L1297" s="7">
        <f>Table3[[#This Row],[Revenue]]-Table3[[#This Row],[Ad Spend]]</f>
        <v>150.07999999999998</v>
      </c>
      <c r="M1297" s="11">
        <v>148.47999999999999</v>
      </c>
    </row>
    <row r="1298" spans="1:13" ht="15.75" customHeight="1" x14ac:dyDescent="0.3">
      <c r="A1298" s="4" t="s">
        <v>37</v>
      </c>
      <c r="B1298">
        <f t="shared" si="20"/>
        <v>12</v>
      </c>
      <c r="C1298" s="2" t="s">
        <v>12</v>
      </c>
      <c r="D1298" s="2" t="s">
        <v>1270</v>
      </c>
      <c r="E1298" s="7">
        <v>48.54</v>
      </c>
      <c r="F1298" s="2">
        <v>8</v>
      </c>
      <c r="G1298" s="7">
        <v>268.19</v>
      </c>
      <c r="H1298" s="2" t="s">
        <v>861</v>
      </c>
      <c r="I1298" s="2" t="s">
        <v>15</v>
      </c>
      <c r="J1298" s="2" t="s">
        <v>30</v>
      </c>
      <c r="K1298" s="2" t="s">
        <v>17</v>
      </c>
      <c r="L1298" s="7">
        <f>Table3[[#This Row],[Revenue]]-Table3[[#This Row],[Ad Spend]]</f>
        <v>219.65</v>
      </c>
      <c r="M1298" s="11">
        <v>115.15</v>
      </c>
    </row>
    <row r="1299" spans="1:13" ht="15.75" customHeight="1" x14ac:dyDescent="0.3">
      <c r="A1299" s="4" t="s">
        <v>230</v>
      </c>
      <c r="B1299">
        <f t="shared" si="20"/>
        <v>1</v>
      </c>
      <c r="C1299" s="2" t="s">
        <v>12</v>
      </c>
      <c r="D1299" s="2" t="s">
        <v>215</v>
      </c>
      <c r="E1299" s="7">
        <v>14.77</v>
      </c>
      <c r="F1299" s="2">
        <v>6</v>
      </c>
      <c r="G1299" s="7">
        <v>364.81</v>
      </c>
      <c r="H1299" s="2" t="s">
        <v>1169</v>
      </c>
      <c r="I1299" s="2" t="s">
        <v>29</v>
      </c>
      <c r="J1299" s="2" t="s">
        <v>25</v>
      </c>
      <c r="K1299" s="2" t="s">
        <v>17</v>
      </c>
      <c r="L1299" s="7">
        <f>Table3[[#This Row],[Revenue]]-Table3[[#This Row],[Ad Spend]]</f>
        <v>350.04</v>
      </c>
      <c r="M1299" s="11">
        <v>137.84</v>
      </c>
    </row>
    <row r="1300" spans="1:13" ht="15.75" customHeight="1" x14ac:dyDescent="0.3">
      <c r="A1300" s="4" t="s">
        <v>522</v>
      </c>
      <c r="B1300">
        <f t="shared" si="20"/>
        <v>1</v>
      </c>
      <c r="C1300" s="2" t="s">
        <v>32</v>
      </c>
      <c r="D1300" s="2" t="s">
        <v>1079</v>
      </c>
      <c r="E1300" s="7">
        <v>80.989999999999995</v>
      </c>
      <c r="F1300" s="2">
        <v>2</v>
      </c>
      <c r="G1300" s="7">
        <v>410.86</v>
      </c>
      <c r="H1300" s="2" t="s">
        <v>956</v>
      </c>
      <c r="I1300" s="2" t="s">
        <v>35</v>
      </c>
      <c r="J1300" s="2" t="s">
        <v>87</v>
      </c>
      <c r="K1300" s="2" t="s">
        <v>17</v>
      </c>
      <c r="L1300" s="7">
        <f>Table3[[#This Row],[Revenue]]-Table3[[#This Row],[Ad Spend]]</f>
        <v>329.87</v>
      </c>
      <c r="M1300" s="11">
        <v>99.84</v>
      </c>
    </row>
    <row r="1301" spans="1:13" ht="15.75" customHeight="1" x14ac:dyDescent="0.3">
      <c r="A1301" s="4" t="s">
        <v>353</v>
      </c>
      <c r="B1301">
        <f t="shared" si="20"/>
        <v>1</v>
      </c>
      <c r="C1301" s="2" t="s">
        <v>12</v>
      </c>
      <c r="D1301" s="2" t="s">
        <v>590</v>
      </c>
      <c r="E1301" s="7">
        <v>95.95</v>
      </c>
      <c r="F1301" s="2">
        <v>7</v>
      </c>
      <c r="G1301" s="7">
        <v>178.41</v>
      </c>
      <c r="H1301" s="2" t="s">
        <v>141</v>
      </c>
      <c r="I1301" s="2" t="s">
        <v>15</v>
      </c>
      <c r="J1301" s="2" t="s">
        <v>53</v>
      </c>
      <c r="K1301" s="2" t="s">
        <v>17</v>
      </c>
      <c r="L1301" s="7">
        <f>Table3[[#This Row],[Revenue]]-Table3[[#This Row],[Ad Spend]]</f>
        <v>82.46</v>
      </c>
      <c r="M1301" s="11">
        <v>145.87</v>
      </c>
    </row>
    <row r="1302" spans="1:13" ht="15.75" customHeight="1" x14ac:dyDescent="0.3">
      <c r="A1302" s="4" t="s">
        <v>1061</v>
      </c>
      <c r="B1302">
        <f t="shared" si="20"/>
        <v>4</v>
      </c>
      <c r="C1302" s="2" t="s">
        <v>32</v>
      </c>
      <c r="D1302" s="2" t="s">
        <v>1203</v>
      </c>
      <c r="E1302" s="7">
        <v>29.27</v>
      </c>
      <c r="F1302" s="2">
        <v>10</v>
      </c>
      <c r="G1302" s="7">
        <v>339.28</v>
      </c>
      <c r="H1302" s="2" t="s">
        <v>104</v>
      </c>
      <c r="I1302" s="2" t="s">
        <v>15</v>
      </c>
      <c r="J1302" s="2" t="s">
        <v>36</v>
      </c>
      <c r="K1302" s="2" t="s">
        <v>17</v>
      </c>
      <c r="L1302" s="7">
        <f>Table3[[#This Row],[Revenue]]-Table3[[#This Row],[Ad Spend]]</f>
        <v>310.01</v>
      </c>
      <c r="M1302" s="11">
        <v>117.72</v>
      </c>
    </row>
    <row r="1303" spans="1:13" ht="15.75" customHeight="1" x14ac:dyDescent="0.3">
      <c r="A1303" s="4" t="s">
        <v>117</v>
      </c>
      <c r="B1303">
        <f t="shared" si="20"/>
        <v>3</v>
      </c>
      <c r="C1303" s="2" t="s">
        <v>32</v>
      </c>
      <c r="D1303" s="2" t="s">
        <v>443</v>
      </c>
      <c r="E1303" s="7">
        <v>39.76</v>
      </c>
      <c r="F1303" s="2">
        <v>7</v>
      </c>
      <c r="G1303" s="7">
        <v>404.35</v>
      </c>
      <c r="H1303" s="2" t="s">
        <v>235</v>
      </c>
      <c r="I1303" s="2" t="s">
        <v>35</v>
      </c>
      <c r="J1303" s="2" t="s">
        <v>25</v>
      </c>
      <c r="K1303" s="2" t="s">
        <v>17</v>
      </c>
      <c r="L1303" s="7">
        <f>Table3[[#This Row],[Revenue]]-Table3[[#This Row],[Ad Spend]]</f>
        <v>364.59000000000003</v>
      </c>
      <c r="M1303" s="11">
        <v>128.13999999999999</v>
      </c>
    </row>
    <row r="1304" spans="1:13" ht="15.75" customHeight="1" x14ac:dyDescent="0.3">
      <c r="A1304" s="4" t="s">
        <v>638</v>
      </c>
      <c r="B1304">
        <f t="shared" si="20"/>
        <v>1</v>
      </c>
      <c r="C1304" s="2" t="s">
        <v>12</v>
      </c>
      <c r="D1304" s="2" t="s">
        <v>668</v>
      </c>
      <c r="E1304" s="7">
        <v>136.24</v>
      </c>
      <c r="F1304" s="2">
        <v>1</v>
      </c>
      <c r="G1304" s="7">
        <v>159.1</v>
      </c>
      <c r="H1304" s="2" t="s">
        <v>1309</v>
      </c>
      <c r="I1304" s="2" t="s">
        <v>35</v>
      </c>
      <c r="J1304" s="2" t="s">
        <v>87</v>
      </c>
      <c r="K1304" s="2" t="s">
        <v>17</v>
      </c>
      <c r="L1304" s="7">
        <f>Table3[[#This Row],[Revenue]]-Table3[[#This Row],[Ad Spend]]</f>
        <v>22.859999999999985</v>
      </c>
      <c r="M1304" s="11">
        <v>98.81</v>
      </c>
    </row>
    <row r="1305" spans="1:13" ht="15.75" customHeight="1" x14ac:dyDescent="0.3">
      <c r="A1305" s="4" t="s">
        <v>834</v>
      </c>
      <c r="B1305">
        <f t="shared" si="20"/>
        <v>11</v>
      </c>
      <c r="C1305" s="2" t="s">
        <v>32</v>
      </c>
      <c r="D1305" s="2" t="s">
        <v>1310</v>
      </c>
      <c r="E1305" s="7">
        <v>18.489999999999998</v>
      </c>
      <c r="F1305" s="2">
        <v>2</v>
      </c>
      <c r="G1305" s="7">
        <v>225.46</v>
      </c>
      <c r="H1305" s="2" t="s">
        <v>174</v>
      </c>
      <c r="I1305" s="2" t="s">
        <v>35</v>
      </c>
      <c r="J1305" s="2" t="s">
        <v>53</v>
      </c>
      <c r="K1305" s="2" t="s">
        <v>17</v>
      </c>
      <c r="L1305" s="7">
        <f>Table3[[#This Row],[Revenue]]-Table3[[#This Row],[Ad Spend]]</f>
        <v>206.97</v>
      </c>
      <c r="M1305" s="11">
        <v>103.98</v>
      </c>
    </row>
    <row r="1306" spans="1:13" ht="15.75" customHeight="1" x14ac:dyDescent="0.3">
      <c r="A1306" s="4" t="s">
        <v>753</v>
      </c>
      <c r="B1306">
        <f t="shared" si="20"/>
        <v>11</v>
      </c>
      <c r="C1306" s="2" t="s">
        <v>63</v>
      </c>
      <c r="D1306" s="2" t="s">
        <v>1311</v>
      </c>
      <c r="E1306" s="7">
        <v>34.67</v>
      </c>
      <c r="F1306" s="2">
        <v>8</v>
      </c>
      <c r="G1306" s="7">
        <v>84.63</v>
      </c>
      <c r="H1306" s="2" t="s">
        <v>99</v>
      </c>
      <c r="I1306" s="2" t="s">
        <v>15</v>
      </c>
      <c r="J1306" s="2" t="s">
        <v>30</v>
      </c>
      <c r="K1306" s="2" t="s">
        <v>17</v>
      </c>
      <c r="L1306" s="7">
        <f>Table3[[#This Row],[Revenue]]-Table3[[#This Row],[Ad Spend]]</f>
        <v>49.959999999999994</v>
      </c>
      <c r="M1306" s="11">
        <v>92.91</v>
      </c>
    </row>
    <row r="1307" spans="1:13" ht="15.75" customHeight="1" x14ac:dyDescent="0.3">
      <c r="A1307" s="4" t="s">
        <v>783</v>
      </c>
      <c r="B1307">
        <f t="shared" si="20"/>
        <v>1</v>
      </c>
      <c r="C1307" s="2" t="s">
        <v>19</v>
      </c>
      <c r="D1307" s="2" t="s">
        <v>476</v>
      </c>
      <c r="E1307" s="7">
        <v>93.85</v>
      </c>
      <c r="F1307" s="2">
        <v>3</v>
      </c>
      <c r="G1307" s="7">
        <v>403.78</v>
      </c>
      <c r="H1307" s="2" t="s">
        <v>313</v>
      </c>
      <c r="I1307" s="2" t="s">
        <v>35</v>
      </c>
      <c r="J1307" s="2" t="s">
        <v>53</v>
      </c>
      <c r="K1307" s="2" t="s">
        <v>17</v>
      </c>
      <c r="L1307" s="7">
        <f>Table3[[#This Row],[Revenue]]-Table3[[#This Row],[Ad Spend]]</f>
        <v>309.92999999999995</v>
      </c>
      <c r="M1307" s="11">
        <v>121.31</v>
      </c>
    </row>
    <row r="1308" spans="1:13" ht="15.75" customHeight="1" x14ac:dyDescent="0.3">
      <c r="A1308" s="4" t="s">
        <v>383</v>
      </c>
      <c r="B1308">
        <f t="shared" si="20"/>
        <v>12</v>
      </c>
      <c r="C1308" s="2" t="s">
        <v>63</v>
      </c>
      <c r="D1308" s="2" t="s">
        <v>538</v>
      </c>
      <c r="E1308" s="7">
        <v>133.78</v>
      </c>
      <c r="F1308" s="2">
        <v>3</v>
      </c>
      <c r="G1308" s="7">
        <v>209.13</v>
      </c>
      <c r="H1308" s="2" t="s">
        <v>422</v>
      </c>
      <c r="I1308" s="2" t="s">
        <v>29</v>
      </c>
      <c r="J1308" s="2" t="s">
        <v>30</v>
      </c>
      <c r="K1308" s="2" t="s">
        <v>17</v>
      </c>
      <c r="L1308" s="7">
        <f>Table3[[#This Row],[Revenue]]-Table3[[#This Row],[Ad Spend]]</f>
        <v>75.349999999999994</v>
      </c>
      <c r="M1308" s="11">
        <v>134.75</v>
      </c>
    </row>
    <row r="1309" spans="1:13" ht="15.75" customHeight="1" x14ac:dyDescent="0.3">
      <c r="A1309" s="4" t="s">
        <v>199</v>
      </c>
      <c r="B1309">
        <f t="shared" si="20"/>
        <v>4</v>
      </c>
      <c r="C1309" s="2" t="s">
        <v>32</v>
      </c>
      <c r="D1309" s="2" t="s">
        <v>1070</v>
      </c>
      <c r="E1309" s="7">
        <v>46.53</v>
      </c>
      <c r="F1309" s="2">
        <v>7</v>
      </c>
      <c r="G1309" s="7">
        <v>166.85</v>
      </c>
      <c r="H1309" s="2" t="s">
        <v>967</v>
      </c>
      <c r="I1309" s="2" t="s">
        <v>29</v>
      </c>
      <c r="J1309" s="2" t="s">
        <v>30</v>
      </c>
      <c r="K1309" s="2" t="s">
        <v>17</v>
      </c>
      <c r="L1309" s="7">
        <f>Table3[[#This Row],[Revenue]]-Table3[[#This Row],[Ad Spend]]</f>
        <v>120.32</v>
      </c>
      <c r="M1309" s="11">
        <v>104.59</v>
      </c>
    </row>
    <row r="1310" spans="1:13" ht="15.75" customHeight="1" x14ac:dyDescent="0.3">
      <c r="A1310" s="4" t="s">
        <v>131</v>
      </c>
      <c r="B1310">
        <f t="shared" si="20"/>
        <v>11</v>
      </c>
      <c r="C1310" s="2" t="s">
        <v>32</v>
      </c>
      <c r="D1310" s="2" t="s">
        <v>262</v>
      </c>
      <c r="E1310" s="7">
        <v>140.56</v>
      </c>
      <c r="F1310" s="2">
        <v>3</v>
      </c>
      <c r="G1310" s="7">
        <v>198.22</v>
      </c>
      <c r="H1310" s="2" t="s">
        <v>489</v>
      </c>
      <c r="I1310" s="2" t="s">
        <v>29</v>
      </c>
      <c r="J1310" s="2" t="s">
        <v>25</v>
      </c>
      <c r="K1310" s="2" t="s">
        <v>17</v>
      </c>
      <c r="L1310" s="7">
        <f>Table3[[#This Row],[Revenue]]-Table3[[#This Row],[Ad Spend]]</f>
        <v>57.66</v>
      </c>
      <c r="M1310" s="11">
        <v>148.1</v>
      </c>
    </row>
    <row r="1311" spans="1:13" ht="15.75" customHeight="1" x14ac:dyDescent="0.3">
      <c r="A1311" s="4" t="s">
        <v>287</v>
      </c>
      <c r="B1311">
        <f t="shared" si="20"/>
        <v>2</v>
      </c>
      <c r="C1311" s="2" t="s">
        <v>19</v>
      </c>
      <c r="D1311" s="2" t="s">
        <v>1000</v>
      </c>
      <c r="E1311" s="7">
        <v>51.98</v>
      </c>
      <c r="F1311" s="2">
        <v>4</v>
      </c>
      <c r="G1311" s="7">
        <v>419.05</v>
      </c>
      <c r="H1311" s="2" t="s">
        <v>1312</v>
      </c>
      <c r="I1311" s="2" t="s">
        <v>35</v>
      </c>
      <c r="J1311" s="2" t="s">
        <v>36</v>
      </c>
      <c r="K1311" s="2" t="s">
        <v>17</v>
      </c>
      <c r="L1311" s="7">
        <f>Table3[[#This Row],[Revenue]]-Table3[[#This Row],[Ad Spend]]</f>
        <v>367.07</v>
      </c>
      <c r="M1311" s="11">
        <v>172.06</v>
      </c>
    </row>
    <row r="1312" spans="1:13" ht="15.75" customHeight="1" x14ac:dyDescent="0.3">
      <c r="A1312" s="4" t="s">
        <v>595</v>
      </c>
      <c r="B1312">
        <f t="shared" si="20"/>
        <v>3</v>
      </c>
      <c r="C1312" s="2" t="s">
        <v>32</v>
      </c>
      <c r="D1312" s="2" t="s">
        <v>837</v>
      </c>
      <c r="E1312" s="7">
        <v>123.27</v>
      </c>
      <c r="F1312" s="2">
        <v>4</v>
      </c>
      <c r="G1312" s="7">
        <v>223.29</v>
      </c>
      <c r="H1312" s="2" t="s">
        <v>395</v>
      </c>
      <c r="I1312" s="2" t="s">
        <v>29</v>
      </c>
      <c r="J1312" s="2" t="s">
        <v>16</v>
      </c>
      <c r="K1312" s="2" t="s">
        <v>17</v>
      </c>
      <c r="L1312" s="7">
        <f>Table3[[#This Row],[Revenue]]-Table3[[#This Row],[Ad Spend]]</f>
        <v>100.02</v>
      </c>
      <c r="M1312" s="11">
        <v>149.05000000000001</v>
      </c>
    </row>
    <row r="1313" spans="1:13" ht="15.75" customHeight="1" x14ac:dyDescent="0.3">
      <c r="A1313" s="4" t="s">
        <v>483</v>
      </c>
      <c r="B1313">
        <f t="shared" si="20"/>
        <v>4</v>
      </c>
      <c r="C1313" s="2" t="s">
        <v>32</v>
      </c>
      <c r="D1313" s="2" t="s">
        <v>419</v>
      </c>
      <c r="E1313" s="7">
        <v>91.86</v>
      </c>
      <c r="F1313" s="2">
        <v>5</v>
      </c>
      <c r="G1313" s="7">
        <v>356.01</v>
      </c>
      <c r="H1313" s="2" t="s">
        <v>1304</v>
      </c>
      <c r="I1313" s="2" t="s">
        <v>29</v>
      </c>
      <c r="J1313" s="2" t="s">
        <v>16</v>
      </c>
      <c r="K1313" s="2" t="s">
        <v>17</v>
      </c>
      <c r="L1313" s="7">
        <f>Table3[[#This Row],[Revenue]]-Table3[[#This Row],[Ad Spend]]</f>
        <v>264.14999999999998</v>
      </c>
      <c r="M1313" s="11">
        <v>153.13</v>
      </c>
    </row>
    <row r="1314" spans="1:13" ht="15.75" customHeight="1" x14ac:dyDescent="0.3">
      <c r="A1314" s="4" t="s">
        <v>97</v>
      </c>
      <c r="B1314">
        <f t="shared" si="20"/>
        <v>12</v>
      </c>
      <c r="C1314" s="2" t="s">
        <v>19</v>
      </c>
      <c r="D1314" s="2" t="s">
        <v>1313</v>
      </c>
      <c r="E1314" s="7">
        <v>145.44999999999999</v>
      </c>
      <c r="F1314" s="2">
        <v>10</v>
      </c>
      <c r="G1314" s="7">
        <v>170.29</v>
      </c>
      <c r="H1314" s="2" t="s">
        <v>42</v>
      </c>
      <c r="I1314" s="2" t="s">
        <v>35</v>
      </c>
      <c r="J1314" s="2" t="s">
        <v>30</v>
      </c>
      <c r="K1314" s="2" t="s">
        <v>17</v>
      </c>
      <c r="L1314" s="7">
        <f>Table3[[#This Row],[Revenue]]-Table3[[#This Row],[Ad Spend]]</f>
        <v>24.840000000000003</v>
      </c>
      <c r="M1314" s="11">
        <v>115.16</v>
      </c>
    </row>
    <row r="1315" spans="1:13" ht="15.75" customHeight="1" x14ac:dyDescent="0.3">
      <c r="A1315" s="4" t="s">
        <v>120</v>
      </c>
      <c r="B1315">
        <f t="shared" si="20"/>
        <v>3</v>
      </c>
      <c r="C1315" s="2" t="s">
        <v>12</v>
      </c>
      <c r="D1315" s="2" t="s">
        <v>1275</v>
      </c>
      <c r="E1315" s="7">
        <v>44.49</v>
      </c>
      <c r="F1315" s="2">
        <v>4</v>
      </c>
      <c r="G1315" s="7">
        <v>169.48</v>
      </c>
      <c r="H1315" s="2" t="s">
        <v>28</v>
      </c>
      <c r="I1315" s="2" t="s">
        <v>29</v>
      </c>
      <c r="J1315" s="2" t="s">
        <v>25</v>
      </c>
      <c r="K1315" s="2" t="s">
        <v>17</v>
      </c>
      <c r="L1315" s="7">
        <f>Table3[[#This Row],[Revenue]]-Table3[[#This Row],[Ad Spend]]</f>
        <v>124.98999999999998</v>
      </c>
      <c r="M1315" s="11">
        <v>141.58000000000001</v>
      </c>
    </row>
    <row r="1316" spans="1:13" ht="15.75" customHeight="1" x14ac:dyDescent="0.3">
      <c r="A1316" s="4" t="s">
        <v>400</v>
      </c>
      <c r="B1316">
        <f t="shared" si="20"/>
        <v>2</v>
      </c>
      <c r="C1316" s="2" t="s">
        <v>12</v>
      </c>
      <c r="D1316" s="2" t="s">
        <v>410</v>
      </c>
      <c r="E1316" s="7">
        <v>26.11</v>
      </c>
      <c r="F1316" s="2">
        <v>6</v>
      </c>
      <c r="G1316" s="7">
        <v>172.68</v>
      </c>
      <c r="H1316" s="2" t="s">
        <v>1125</v>
      </c>
      <c r="I1316" s="2" t="s">
        <v>15</v>
      </c>
      <c r="J1316" s="2" t="s">
        <v>25</v>
      </c>
      <c r="K1316" s="2" t="s">
        <v>17</v>
      </c>
      <c r="L1316" s="7">
        <f>Table3[[#This Row],[Revenue]]-Table3[[#This Row],[Ad Spend]]</f>
        <v>146.57</v>
      </c>
      <c r="M1316" s="11">
        <v>74.78</v>
      </c>
    </row>
    <row r="1317" spans="1:13" ht="15.75" customHeight="1" x14ac:dyDescent="0.3">
      <c r="A1317" s="4" t="s">
        <v>120</v>
      </c>
      <c r="B1317">
        <f t="shared" si="20"/>
        <v>3</v>
      </c>
      <c r="C1317" s="2" t="s">
        <v>63</v>
      </c>
      <c r="D1317" s="2" t="s">
        <v>988</v>
      </c>
      <c r="E1317" s="7">
        <v>47.54</v>
      </c>
      <c r="F1317" s="2">
        <v>9</v>
      </c>
      <c r="G1317" s="7">
        <v>130.19999999999999</v>
      </c>
      <c r="H1317" s="2" t="s">
        <v>1314</v>
      </c>
      <c r="I1317" s="2" t="s">
        <v>15</v>
      </c>
      <c r="J1317" s="2" t="s">
        <v>30</v>
      </c>
      <c r="K1317" s="2" t="s">
        <v>17</v>
      </c>
      <c r="L1317" s="7">
        <f>Table3[[#This Row],[Revenue]]-Table3[[#This Row],[Ad Spend]]</f>
        <v>82.66</v>
      </c>
      <c r="M1317" s="11">
        <v>70.180000000000007</v>
      </c>
    </row>
    <row r="1318" spans="1:13" ht="15.75" customHeight="1" x14ac:dyDescent="0.3">
      <c r="A1318" s="4" t="s">
        <v>659</v>
      </c>
      <c r="B1318">
        <f t="shared" si="20"/>
        <v>4</v>
      </c>
      <c r="C1318" s="2" t="s">
        <v>63</v>
      </c>
      <c r="D1318" s="2" t="s">
        <v>1315</v>
      </c>
      <c r="E1318" s="7">
        <v>120.95</v>
      </c>
      <c r="F1318" s="2">
        <v>3</v>
      </c>
      <c r="G1318" s="7">
        <v>41.78</v>
      </c>
      <c r="H1318" s="2" t="s">
        <v>471</v>
      </c>
      <c r="I1318" s="2" t="s">
        <v>29</v>
      </c>
      <c r="J1318" s="2" t="s">
        <v>16</v>
      </c>
      <c r="K1318" s="2" t="s">
        <v>17</v>
      </c>
      <c r="L1318" s="7">
        <f>Table3[[#This Row],[Revenue]]-Table3[[#This Row],[Ad Spend]]</f>
        <v>-79.17</v>
      </c>
      <c r="M1318" s="11">
        <v>119.01</v>
      </c>
    </row>
    <row r="1319" spans="1:13" ht="15.75" customHeight="1" x14ac:dyDescent="0.3">
      <c r="A1319" s="4" t="s">
        <v>728</v>
      </c>
      <c r="B1319">
        <f t="shared" si="20"/>
        <v>4</v>
      </c>
      <c r="C1319" s="2" t="s">
        <v>32</v>
      </c>
      <c r="D1319" s="2" t="s">
        <v>1300</v>
      </c>
      <c r="E1319" s="7">
        <v>119.99</v>
      </c>
      <c r="F1319" s="2">
        <v>4</v>
      </c>
      <c r="G1319" s="7">
        <v>153.72</v>
      </c>
      <c r="H1319" s="2" t="s">
        <v>364</v>
      </c>
      <c r="I1319" s="2" t="s">
        <v>29</v>
      </c>
      <c r="J1319" s="2" t="s">
        <v>25</v>
      </c>
      <c r="K1319" s="2" t="s">
        <v>17</v>
      </c>
      <c r="L1319" s="7">
        <f>Table3[[#This Row],[Revenue]]-Table3[[#This Row],[Ad Spend]]</f>
        <v>33.730000000000004</v>
      </c>
      <c r="M1319" s="11">
        <v>134.84</v>
      </c>
    </row>
    <row r="1320" spans="1:13" ht="15.75" customHeight="1" x14ac:dyDescent="0.3">
      <c r="A1320" s="4" t="s">
        <v>293</v>
      </c>
      <c r="B1320">
        <f t="shared" si="20"/>
        <v>11</v>
      </c>
      <c r="C1320" s="2" t="s">
        <v>63</v>
      </c>
      <c r="D1320" s="2" t="s">
        <v>1088</v>
      </c>
      <c r="E1320" s="7">
        <v>31.46</v>
      </c>
      <c r="F1320" s="2">
        <v>0</v>
      </c>
      <c r="G1320" s="7">
        <v>202.36</v>
      </c>
      <c r="H1320" s="2" t="s">
        <v>1316</v>
      </c>
      <c r="I1320" s="2" t="s">
        <v>29</v>
      </c>
      <c r="J1320" s="2" t="s">
        <v>16</v>
      </c>
      <c r="K1320" s="2" t="s">
        <v>46</v>
      </c>
      <c r="L1320" s="7">
        <f>Table3[[#This Row],[Revenue]]-Table3[[#This Row],[Ad Spend]]</f>
        <v>170.9</v>
      </c>
      <c r="M1320" s="11">
        <v>106.12</v>
      </c>
    </row>
    <row r="1321" spans="1:13" ht="15.75" customHeight="1" x14ac:dyDescent="0.3">
      <c r="A1321" s="4" t="s">
        <v>421</v>
      </c>
      <c r="B1321">
        <f t="shared" si="20"/>
        <v>11</v>
      </c>
      <c r="C1321" s="2" t="s">
        <v>32</v>
      </c>
      <c r="D1321" s="2" t="s">
        <v>1317</v>
      </c>
      <c r="E1321" s="7">
        <v>143.74</v>
      </c>
      <c r="F1321" s="2">
        <v>7</v>
      </c>
      <c r="G1321" s="7">
        <v>183.8</v>
      </c>
      <c r="H1321" s="2" t="s">
        <v>570</v>
      </c>
      <c r="I1321" s="2" t="s">
        <v>35</v>
      </c>
      <c r="J1321" s="2" t="s">
        <v>25</v>
      </c>
      <c r="K1321" s="2" t="s">
        <v>17</v>
      </c>
      <c r="L1321" s="7">
        <f>Table3[[#This Row],[Revenue]]-Table3[[#This Row],[Ad Spend]]</f>
        <v>40.06</v>
      </c>
      <c r="M1321" s="11">
        <v>119.51</v>
      </c>
    </row>
    <row r="1322" spans="1:13" ht="15.75" customHeight="1" x14ac:dyDescent="0.3">
      <c r="A1322" s="4" t="s">
        <v>380</v>
      </c>
      <c r="B1322">
        <f t="shared" si="20"/>
        <v>2</v>
      </c>
      <c r="C1322" s="2" t="s">
        <v>32</v>
      </c>
      <c r="D1322" s="2" t="s">
        <v>1318</v>
      </c>
      <c r="E1322" s="7">
        <v>143.46</v>
      </c>
      <c r="F1322" s="2">
        <v>0</v>
      </c>
      <c r="G1322" s="7">
        <v>164.9</v>
      </c>
      <c r="H1322" s="2" t="s">
        <v>1319</v>
      </c>
      <c r="I1322" s="2" t="s">
        <v>15</v>
      </c>
      <c r="J1322" s="2" t="s">
        <v>16</v>
      </c>
      <c r="K1322" s="2" t="s">
        <v>46</v>
      </c>
      <c r="L1322" s="7">
        <f>Table3[[#This Row],[Revenue]]-Table3[[#This Row],[Ad Spend]]</f>
        <v>21.439999999999998</v>
      </c>
      <c r="M1322" s="11">
        <v>90.16</v>
      </c>
    </row>
    <row r="1323" spans="1:13" ht="15.75" customHeight="1" x14ac:dyDescent="0.3">
      <c r="A1323" s="4" t="s">
        <v>351</v>
      </c>
      <c r="B1323">
        <f t="shared" si="20"/>
        <v>4</v>
      </c>
      <c r="C1323" s="2" t="s">
        <v>63</v>
      </c>
      <c r="D1323" s="2" t="s">
        <v>1167</v>
      </c>
      <c r="E1323" s="7">
        <v>119.06</v>
      </c>
      <c r="F1323" s="2">
        <v>8</v>
      </c>
      <c r="G1323" s="7">
        <v>80.89</v>
      </c>
      <c r="H1323" s="2" t="s">
        <v>839</v>
      </c>
      <c r="I1323" s="2" t="s">
        <v>15</v>
      </c>
      <c r="J1323" s="2" t="s">
        <v>30</v>
      </c>
      <c r="K1323" s="2" t="s">
        <v>17</v>
      </c>
      <c r="L1323" s="7">
        <f>Table3[[#This Row],[Revenue]]-Table3[[#This Row],[Ad Spend]]</f>
        <v>-38.17</v>
      </c>
      <c r="M1323" s="11">
        <v>99.12</v>
      </c>
    </row>
    <row r="1324" spans="1:13" ht="15.75" customHeight="1" x14ac:dyDescent="0.3">
      <c r="A1324" s="4" t="s">
        <v>766</v>
      </c>
      <c r="B1324">
        <f t="shared" si="20"/>
        <v>4</v>
      </c>
      <c r="C1324" s="2" t="s">
        <v>63</v>
      </c>
      <c r="D1324" s="2" t="s">
        <v>206</v>
      </c>
      <c r="E1324" s="7">
        <v>103.59</v>
      </c>
      <c r="F1324" s="2">
        <v>6</v>
      </c>
      <c r="G1324" s="7">
        <v>86.45</v>
      </c>
      <c r="H1324" s="2" t="s">
        <v>161</v>
      </c>
      <c r="I1324" s="2" t="s">
        <v>15</v>
      </c>
      <c r="J1324" s="2" t="s">
        <v>36</v>
      </c>
      <c r="K1324" s="2" t="s">
        <v>17</v>
      </c>
      <c r="L1324" s="7">
        <f>Table3[[#This Row],[Revenue]]-Table3[[#This Row],[Ad Spend]]</f>
        <v>-17.14</v>
      </c>
      <c r="M1324" s="11">
        <v>115.42</v>
      </c>
    </row>
    <row r="1325" spans="1:13" ht="15.75" customHeight="1" x14ac:dyDescent="0.3">
      <c r="A1325" s="4" t="s">
        <v>50</v>
      </c>
      <c r="B1325">
        <f t="shared" si="20"/>
        <v>12</v>
      </c>
      <c r="C1325" s="2" t="s">
        <v>19</v>
      </c>
      <c r="D1325" s="2" t="s">
        <v>528</v>
      </c>
      <c r="E1325" s="7">
        <v>56.49</v>
      </c>
      <c r="F1325" s="2">
        <v>0</v>
      </c>
      <c r="G1325" s="7">
        <v>46</v>
      </c>
      <c r="H1325" s="2" t="s">
        <v>1178</v>
      </c>
      <c r="I1325" s="2" t="s">
        <v>29</v>
      </c>
      <c r="J1325" s="2" t="s">
        <v>87</v>
      </c>
      <c r="K1325" s="2" t="s">
        <v>46</v>
      </c>
      <c r="L1325" s="7">
        <f>Table3[[#This Row],[Revenue]]-Table3[[#This Row],[Ad Spend]]</f>
        <v>-10.490000000000002</v>
      </c>
      <c r="M1325" s="11">
        <v>95.58</v>
      </c>
    </row>
    <row r="1326" spans="1:13" ht="15.75" customHeight="1" x14ac:dyDescent="0.3">
      <c r="A1326" s="4" t="s">
        <v>356</v>
      </c>
      <c r="B1326">
        <f t="shared" si="20"/>
        <v>3</v>
      </c>
      <c r="C1326" s="2" t="s">
        <v>32</v>
      </c>
      <c r="D1326" s="2" t="s">
        <v>674</v>
      </c>
      <c r="E1326" s="7">
        <v>38.86</v>
      </c>
      <c r="F1326" s="2">
        <v>2</v>
      </c>
      <c r="G1326" s="7">
        <v>312.88</v>
      </c>
      <c r="H1326" s="2" t="s">
        <v>1004</v>
      </c>
      <c r="I1326" s="2" t="s">
        <v>35</v>
      </c>
      <c r="J1326" s="2" t="s">
        <v>30</v>
      </c>
      <c r="K1326" s="2" t="s">
        <v>17</v>
      </c>
      <c r="L1326" s="7">
        <f>Table3[[#This Row],[Revenue]]-Table3[[#This Row],[Ad Spend]]</f>
        <v>274.02</v>
      </c>
      <c r="M1326" s="11">
        <v>72.5</v>
      </c>
    </row>
    <row r="1327" spans="1:13" ht="15.75" customHeight="1" x14ac:dyDescent="0.3">
      <c r="A1327" s="4" t="s">
        <v>187</v>
      </c>
      <c r="B1327">
        <f t="shared" si="20"/>
        <v>1</v>
      </c>
      <c r="C1327" s="2" t="s">
        <v>19</v>
      </c>
      <c r="D1327" s="2" t="s">
        <v>381</v>
      </c>
      <c r="E1327" s="7">
        <v>58.66</v>
      </c>
      <c r="F1327" s="2">
        <v>7</v>
      </c>
      <c r="G1327" s="7">
        <v>464.11</v>
      </c>
      <c r="H1327" s="2" t="s">
        <v>529</v>
      </c>
      <c r="I1327" s="2" t="s">
        <v>35</v>
      </c>
      <c r="J1327" s="2" t="s">
        <v>30</v>
      </c>
      <c r="K1327" s="2" t="s">
        <v>17</v>
      </c>
      <c r="L1327" s="7">
        <f>Table3[[#This Row],[Revenue]]-Table3[[#This Row],[Ad Spend]]</f>
        <v>405.45000000000005</v>
      </c>
      <c r="M1327" s="11">
        <v>140.34</v>
      </c>
    </row>
    <row r="1328" spans="1:13" ht="15.75" customHeight="1" x14ac:dyDescent="0.3">
      <c r="A1328" s="4" t="s">
        <v>211</v>
      </c>
      <c r="B1328">
        <f t="shared" si="20"/>
        <v>2</v>
      </c>
      <c r="C1328" s="2" t="s">
        <v>19</v>
      </c>
      <c r="D1328" s="2" t="s">
        <v>327</v>
      </c>
      <c r="E1328" s="7">
        <v>34.950000000000003</v>
      </c>
      <c r="F1328" s="2">
        <v>10</v>
      </c>
      <c r="G1328" s="7">
        <v>119.26</v>
      </c>
      <c r="H1328" s="2" t="s">
        <v>498</v>
      </c>
      <c r="I1328" s="2" t="s">
        <v>15</v>
      </c>
      <c r="J1328" s="2" t="s">
        <v>25</v>
      </c>
      <c r="K1328" s="2" t="s">
        <v>17</v>
      </c>
      <c r="L1328" s="7">
        <f>Table3[[#This Row],[Revenue]]-Table3[[#This Row],[Ad Spend]]</f>
        <v>84.31</v>
      </c>
      <c r="M1328" s="11">
        <v>100.88</v>
      </c>
    </row>
    <row r="1329" spans="1:13" ht="15.75" customHeight="1" x14ac:dyDescent="0.3">
      <c r="A1329" s="4" t="s">
        <v>254</v>
      </c>
      <c r="B1329">
        <f t="shared" si="20"/>
        <v>11</v>
      </c>
      <c r="C1329" s="2" t="s">
        <v>63</v>
      </c>
      <c r="D1329" s="2" t="s">
        <v>127</v>
      </c>
      <c r="E1329" s="7">
        <v>10.17</v>
      </c>
      <c r="F1329" s="2">
        <v>10</v>
      </c>
      <c r="G1329" s="7">
        <v>152.41</v>
      </c>
      <c r="H1329" s="2" t="s">
        <v>78</v>
      </c>
      <c r="I1329" s="2" t="s">
        <v>15</v>
      </c>
      <c r="J1329" s="2" t="s">
        <v>53</v>
      </c>
      <c r="K1329" s="2" t="s">
        <v>17</v>
      </c>
      <c r="L1329" s="7">
        <f>Table3[[#This Row],[Revenue]]-Table3[[#This Row],[Ad Spend]]</f>
        <v>142.24</v>
      </c>
      <c r="M1329" s="11">
        <v>149.87</v>
      </c>
    </row>
    <row r="1330" spans="1:13" ht="15.75" customHeight="1" x14ac:dyDescent="0.3">
      <c r="A1330" s="4" t="s">
        <v>148</v>
      </c>
      <c r="B1330">
        <f t="shared" si="20"/>
        <v>4</v>
      </c>
      <c r="C1330" s="2" t="s">
        <v>63</v>
      </c>
      <c r="D1330" s="2" t="s">
        <v>789</v>
      </c>
      <c r="E1330" s="7">
        <v>48.13</v>
      </c>
      <c r="F1330" s="2">
        <v>6</v>
      </c>
      <c r="G1330" s="7">
        <v>153.69</v>
      </c>
      <c r="H1330" s="2" t="s">
        <v>1320</v>
      </c>
      <c r="I1330" s="2" t="s">
        <v>35</v>
      </c>
      <c r="J1330" s="2" t="s">
        <v>30</v>
      </c>
      <c r="K1330" s="2" t="s">
        <v>17</v>
      </c>
      <c r="L1330" s="7">
        <f>Table3[[#This Row],[Revenue]]-Table3[[#This Row],[Ad Spend]]</f>
        <v>105.56</v>
      </c>
      <c r="M1330" s="11">
        <v>84.31</v>
      </c>
    </row>
    <row r="1331" spans="1:13" ht="15.75" customHeight="1" x14ac:dyDescent="0.3">
      <c r="A1331" s="4" t="s">
        <v>189</v>
      </c>
      <c r="B1331">
        <f t="shared" si="20"/>
        <v>2</v>
      </c>
      <c r="C1331" s="2" t="s">
        <v>19</v>
      </c>
      <c r="D1331" s="2" t="s">
        <v>163</v>
      </c>
      <c r="E1331" s="7">
        <v>32.01</v>
      </c>
      <c r="F1331" s="2">
        <v>5</v>
      </c>
      <c r="G1331" s="7">
        <v>292.5</v>
      </c>
      <c r="H1331" s="2" t="s">
        <v>818</v>
      </c>
      <c r="I1331" s="2" t="s">
        <v>35</v>
      </c>
      <c r="J1331" s="2" t="s">
        <v>25</v>
      </c>
      <c r="K1331" s="2" t="s">
        <v>17</v>
      </c>
      <c r="L1331" s="7">
        <f>Table3[[#This Row],[Revenue]]-Table3[[#This Row],[Ad Spend]]</f>
        <v>260.49</v>
      </c>
      <c r="M1331" s="11">
        <v>140.43</v>
      </c>
    </row>
    <row r="1332" spans="1:13" ht="15.75" customHeight="1" x14ac:dyDescent="0.3">
      <c r="A1332" s="4" t="s">
        <v>74</v>
      </c>
      <c r="B1332">
        <f t="shared" si="20"/>
        <v>11</v>
      </c>
      <c r="C1332" s="2" t="s">
        <v>63</v>
      </c>
      <c r="D1332" s="2" t="s">
        <v>1205</v>
      </c>
      <c r="E1332" s="7">
        <v>32.22</v>
      </c>
      <c r="F1332" s="2">
        <v>1</v>
      </c>
      <c r="G1332" s="7">
        <v>308.17</v>
      </c>
      <c r="H1332" s="2" t="s">
        <v>198</v>
      </c>
      <c r="I1332" s="2" t="s">
        <v>35</v>
      </c>
      <c r="J1332" s="2" t="s">
        <v>53</v>
      </c>
      <c r="K1332" s="2" t="s">
        <v>17</v>
      </c>
      <c r="L1332" s="7">
        <f>Table3[[#This Row],[Revenue]]-Table3[[#This Row],[Ad Spend]]</f>
        <v>275.95000000000005</v>
      </c>
      <c r="M1332" s="11">
        <v>114.1</v>
      </c>
    </row>
    <row r="1333" spans="1:13" ht="15.75" customHeight="1" x14ac:dyDescent="0.3">
      <c r="A1333" s="4" t="s">
        <v>472</v>
      </c>
      <c r="B1333">
        <f t="shared" si="20"/>
        <v>4</v>
      </c>
      <c r="C1333" s="2" t="s">
        <v>19</v>
      </c>
      <c r="D1333" s="2" t="s">
        <v>371</v>
      </c>
      <c r="E1333" s="7">
        <v>147.63999999999999</v>
      </c>
      <c r="F1333" s="2">
        <v>4</v>
      </c>
      <c r="G1333" s="7">
        <v>71.06</v>
      </c>
      <c r="H1333" s="2" t="s">
        <v>568</v>
      </c>
      <c r="I1333" s="2" t="s">
        <v>29</v>
      </c>
      <c r="J1333" s="2" t="s">
        <v>87</v>
      </c>
      <c r="K1333" s="2" t="s">
        <v>17</v>
      </c>
      <c r="L1333" s="7">
        <f>Table3[[#This Row],[Revenue]]-Table3[[#This Row],[Ad Spend]]</f>
        <v>-76.579999999999984</v>
      </c>
      <c r="M1333" s="11">
        <v>118.21</v>
      </c>
    </row>
    <row r="1334" spans="1:13" ht="15.75" customHeight="1" x14ac:dyDescent="0.3">
      <c r="A1334" s="4" t="s">
        <v>723</v>
      </c>
      <c r="B1334">
        <f t="shared" si="20"/>
        <v>12</v>
      </c>
      <c r="C1334" s="2" t="s">
        <v>19</v>
      </c>
      <c r="D1334" s="2" t="s">
        <v>665</v>
      </c>
      <c r="E1334" s="7">
        <v>81.48</v>
      </c>
      <c r="F1334" s="2">
        <v>1</v>
      </c>
      <c r="G1334" s="7">
        <v>136.75</v>
      </c>
      <c r="H1334" s="2" t="s">
        <v>364</v>
      </c>
      <c r="I1334" s="2" t="s">
        <v>29</v>
      </c>
      <c r="J1334" s="2" t="s">
        <v>30</v>
      </c>
      <c r="K1334" s="2" t="s">
        <v>17</v>
      </c>
      <c r="L1334" s="7">
        <f>Table3[[#This Row],[Revenue]]-Table3[[#This Row],[Ad Spend]]</f>
        <v>55.269999999999996</v>
      </c>
      <c r="M1334" s="11">
        <v>127.41</v>
      </c>
    </row>
    <row r="1335" spans="1:13" ht="15.75" customHeight="1" x14ac:dyDescent="0.3">
      <c r="A1335" s="4" t="s">
        <v>56</v>
      </c>
      <c r="B1335">
        <f t="shared" si="20"/>
        <v>12</v>
      </c>
      <c r="C1335" s="2" t="s">
        <v>63</v>
      </c>
      <c r="D1335" s="2" t="s">
        <v>215</v>
      </c>
      <c r="E1335" s="7">
        <v>108.99</v>
      </c>
      <c r="F1335" s="2">
        <v>9</v>
      </c>
      <c r="G1335" s="7">
        <v>265.05</v>
      </c>
      <c r="H1335" s="2" t="s">
        <v>900</v>
      </c>
      <c r="I1335" s="2" t="s">
        <v>15</v>
      </c>
      <c r="J1335" s="2" t="s">
        <v>36</v>
      </c>
      <c r="K1335" s="2" t="s">
        <v>17</v>
      </c>
      <c r="L1335" s="7">
        <f>Table3[[#This Row],[Revenue]]-Table3[[#This Row],[Ad Spend]]</f>
        <v>156.06</v>
      </c>
      <c r="M1335" s="11">
        <v>86.8</v>
      </c>
    </row>
    <row r="1336" spans="1:13" ht="15.75" customHeight="1" x14ac:dyDescent="0.3">
      <c r="A1336" s="4" t="s">
        <v>202</v>
      </c>
      <c r="B1336">
        <f t="shared" si="20"/>
        <v>3</v>
      </c>
      <c r="C1336" s="2" t="s">
        <v>32</v>
      </c>
      <c r="D1336" s="2" t="s">
        <v>998</v>
      </c>
      <c r="E1336" s="7">
        <v>74.03</v>
      </c>
      <c r="F1336" s="2">
        <v>8</v>
      </c>
      <c r="G1336" s="7">
        <v>166.83</v>
      </c>
      <c r="H1336" s="2" t="s">
        <v>225</v>
      </c>
      <c r="I1336" s="2" t="s">
        <v>29</v>
      </c>
      <c r="J1336" s="2" t="s">
        <v>53</v>
      </c>
      <c r="K1336" s="2" t="s">
        <v>17</v>
      </c>
      <c r="L1336" s="7">
        <f>Table3[[#This Row],[Revenue]]-Table3[[#This Row],[Ad Spend]]</f>
        <v>92.800000000000011</v>
      </c>
      <c r="M1336" s="11">
        <v>120.24</v>
      </c>
    </row>
    <row r="1337" spans="1:13" ht="15.75" customHeight="1" x14ac:dyDescent="0.3">
      <c r="A1337" s="4" t="s">
        <v>728</v>
      </c>
      <c r="B1337">
        <f t="shared" si="20"/>
        <v>4</v>
      </c>
      <c r="C1337" s="2" t="s">
        <v>32</v>
      </c>
      <c r="D1337" s="2" t="s">
        <v>1133</v>
      </c>
      <c r="E1337" s="7">
        <v>33.11</v>
      </c>
      <c r="F1337" s="2">
        <v>0</v>
      </c>
      <c r="G1337" s="7">
        <v>429.15</v>
      </c>
      <c r="H1337" s="2" t="s">
        <v>1321</v>
      </c>
      <c r="I1337" s="2" t="s">
        <v>15</v>
      </c>
      <c r="J1337" s="2" t="s">
        <v>87</v>
      </c>
      <c r="K1337" s="2" t="s">
        <v>46</v>
      </c>
      <c r="L1337" s="7">
        <f>Table3[[#This Row],[Revenue]]-Table3[[#This Row],[Ad Spend]]</f>
        <v>396.03999999999996</v>
      </c>
      <c r="M1337" s="11">
        <v>197.3</v>
      </c>
    </row>
    <row r="1338" spans="1:13" ht="15.75" customHeight="1" x14ac:dyDescent="0.3">
      <c r="A1338" s="4" t="s">
        <v>233</v>
      </c>
      <c r="B1338">
        <f t="shared" si="20"/>
        <v>3</v>
      </c>
      <c r="C1338" s="2" t="s">
        <v>19</v>
      </c>
      <c r="D1338" s="2" t="s">
        <v>1110</v>
      </c>
      <c r="E1338" s="7">
        <v>140.4</v>
      </c>
      <c r="F1338" s="2">
        <v>9</v>
      </c>
      <c r="G1338" s="7">
        <v>69.86</v>
      </c>
      <c r="H1338" s="2" t="s">
        <v>1160</v>
      </c>
      <c r="I1338" s="2" t="s">
        <v>35</v>
      </c>
      <c r="J1338" s="2" t="s">
        <v>36</v>
      </c>
      <c r="K1338" s="2" t="s">
        <v>17</v>
      </c>
      <c r="L1338" s="7">
        <f>Table3[[#This Row],[Revenue]]-Table3[[#This Row],[Ad Spend]]</f>
        <v>-70.540000000000006</v>
      </c>
      <c r="M1338" s="11">
        <v>124.95</v>
      </c>
    </row>
    <row r="1339" spans="1:13" ht="15.75" customHeight="1" x14ac:dyDescent="0.3">
      <c r="A1339" s="4" t="s">
        <v>400</v>
      </c>
      <c r="B1339">
        <f t="shared" si="20"/>
        <v>2</v>
      </c>
      <c r="C1339" s="2" t="s">
        <v>63</v>
      </c>
      <c r="D1339" s="2" t="s">
        <v>1303</v>
      </c>
      <c r="E1339" s="7">
        <v>31.57</v>
      </c>
      <c r="F1339" s="2">
        <v>4</v>
      </c>
      <c r="G1339" s="7">
        <v>191.03</v>
      </c>
      <c r="H1339" s="2" t="s">
        <v>78</v>
      </c>
      <c r="I1339" s="2" t="s">
        <v>15</v>
      </c>
      <c r="J1339" s="2" t="s">
        <v>87</v>
      </c>
      <c r="K1339" s="2" t="s">
        <v>17</v>
      </c>
      <c r="L1339" s="7">
        <f>Table3[[#This Row],[Revenue]]-Table3[[#This Row],[Ad Spend]]</f>
        <v>159.46</v>
      </c>
      <c r="M1339" s="11">
        <v>149.57</v>
      </c>
    </row>
    <row r="1340" spans="1:13" ht="15.75" customHeight="1" x14ac:dyDescent="0.3">
      <c r="A1340" s="4" t="s">
        <v>254</v>
      </c>
      <c r="B1340">
        <f t="shared" si="20"/>
        <v>11</v>
      </c>
      <c r="C1340" s="2" t="s">
        <v>32</v>
      </c>
      <c r="D1340" s="2" t="s">
        <v>1148</v>
      </c>
      <c r="E1340" s="7">
        <v>112.96</v>
      </c>
      <c r="F1340" s="2">
        <v>8</v>
      </c>
      <c r="G1340" s="7">
        <v>428.45</v>
      </c>
      <c r="H1340" s="2" t="s">
        <v>489</v>
      </c>
      <c r="I1340" s="2" t="s">
        <v>35</v>
      </c>
      <c r="J1340" s="2" t="s">
        <v>30</v>
      </c>
      <c r="K1340" s="2" t="s">
        <v>17</v>
      </c>
      <c r="L1340" s="7">
        <f>Table3[[#This Row],[Revenue]]-Table3[[#This Row],[Ad Spend]]</f>
        <v>315.49</v>
      </c>
      <c r="M1340" s="11">
        <v>139.44</v>
      </c>
    </row>
    <row r="1341" spans="1:13" ht="15.75" customHeight="1" x14ac:dyDescent="0.3">
      <c r="A1341" s="4" t="s">
        <v>696</v>
      </c>
      <c r="B1341">
        <f t="shared" si="20"/>
        <v>1</v>
      </c>
      <c r="C1341" s="2" t="s">
        <v>63</v>
      </c>
      <c r="D1341" s="2" t="s">
        <v>964</v>
      </c>
      <c r="E1341" s="7">
        <v>8.77</v>
      </c>
      <c r="F1341" s="2">
        <v>7</v>
      </c>
      <c r="G1341" s="7">
        <v>290.2</v>
      </c>
      <c r="H1341" s="2" t="s">
        <v>78</v>
      </c>
      <c r="I1341" s="2" t="s">
        <v>15</v>
      </c>
      <c r="J1341" s="2" t="s">
        <v>30</v>
      </c>
      <c r="K1341" s="2" t="s">
        <v>17</v>
      </c>
      <c r="L1341" s="7">
        <f>Table3[[#This Row],[Revenue]]-Table3[[#This Row],[Ad Spend]]</f>
        <v>281.43</v>
      </c>
      <c r="M1341" s="11">
        <v>150.57</v>
      </c>
    </row>
    <row r="1342" spans="1:13" ht="15.75" customHeight="1" x14ac:dyDescent="0.3">
      <c r="A1342" s="4" t="s">
        <v>18</v>
      </c>
      <c r="B1342">
        <f t="shared" si="20"/>
        <v>3</v>
      </c>
      <c r="C1342" s="2" t="s">
        <v>12</v>
      </c>
      <c r="D1342" s="2" t="s">
        <v>617</v>
      </c>
      <c r="E1342" s="7">
        <v>137.59</v>
      </c>
      <c r="F1342" s="2">
        <v>5</v>
      </c>
      <c r="G1342" s="7">
        <v>26.61</v>
      </c>
      <c r="H1342" s="2" t="s">
        <v>1262</v>
      </c>
      <c r="I1342" s="2" t="s">
        <v>29</v>
      </c>
      <c r="J1342" s="2" t="s">
        <v>53</v>
      </c>
      <c r="K1342" s="2" t="s">
        <v>17</v>
      </c>
      <c r="L1342" s="7">
        <f>Table3[[#This Row],[Revenue]]-Table3[[#This Row],[Ad Spend]]</f>
        <v>-110.98</v>
      </c>
      <c r="M1342" s="11">
        <v>84.46</v>
      </c>
    </row>
    <row r="1343" spans="1:13" ht="15.75" customHeight="1" x14ac:dyDescent="0.3">
      <c r="A1343" s="4" t="s">
        <v>850</v>
      </c>
      <c r="B1343">
        <f t="shared" si="20"/>
        <v>11</v>
      </c>
      <c r="C1343" s="2" t="s">
        <v>32</v>
      </c>
      <c r="D1343" s="2" t="s">
        <v>782</v>
      </c>
      <c r="E1343" s="7">
        <v>43.22</v>
      </c>
      <c r="F1343" s="2">
        <v>8</v>
      </c>
      <c r="G1343" s="7">
        <v>472.22</v>
      </c>
      <c r="H1343" s="2" t="s">
        <v>1322</v>
      </c>
      <c r="I1343" s="2" t="s">
        <v>29</v>
      </c>
      <c r="J1343" s="2" t="s">
        <v>30</v>
      </c>
      <c r="K1343" s="2" t="s">
        <v>17</v>
      </c>
      <c r="L1343" s="7">
        <f>Table3[[#This Row],[Revenue]]-Table3[[#This Row],[Ad Spend]]</f>
        <v>429</v>
      </c>
      <c r="M1343" s="11">
        <v>154.9</v>
      </c>
    </row>
    <row r="1344" spans="1:13" ht="15.75" customHeight="1" x14ac:dyDescent="0.3">
      <c r="A1344" s="4" t="s">
        <v>226</v>
      </c>
      <c r="B1344">
        <f t="shared" si="20"/>
        <v>2</v>
      </c>
      <c r="C1344" s="2" t="s">
        <v>32</v>
      </c>
      <c r="D1344" s="2" t="s">
        <v>746</v>
      </c>
      <c r="E1344" s="7">
        <v>50.4</v>
      </c>
      <c r="F1344" s="2">
        <v>0</v>
      </c>
      <c r="G1344" s="7">
        <v>389.56</v>
      </c>
      <c r="H1344" s="2" t="s">
        <v>389</v>
      </c>
      <c r="I1344" s="2" t="s">
        <v>35</v>
      </c>
      <c r="J1344" s="2" t="s">
        <v>16</v>
      </c>
      <c r="K1344" s="2" t="s">
        <v>46</v>
      </c>
      <c r="L1344" s="7">
        <f>Table3[[#This Row],[Revenue]]-Table3[[#This Row],[Ad Spend]]</f>
        <v>339.16</v>
      </c>
      <c r="M1344" s="11">
        <v>105.33</v>
      </c>
    </row>
    <row r="1345" spans="1:13" ht="15.75" customHeight="1" x14ac:dyDescent="0.3">
      <c r="A1345" s="4" t="s">
        <v>105</v>
      </c>
      <c r="B1345">
        <f t="shared" si="20"/>
        <v>1</v>
      </c>
      <c r="C1345" s="2" t="s">
        <v>63</v>
      </c>
      <c r="D1345" s="2" t="s">
        <v>714</v>
      </c>
      <c r="E1345" s="7">
        <v>6.72</v>
      </c>
      <c r="F1345" s="2">
        <v>1</v>
      </c>
      <c r="G1345" s="7">
        <v>334.78</v>
      </c>
      <c r="H1345" s="2" t="s">
        <v>510</v>
      </c>
      <c r="I1345" s="2" t="s">
        <v>15</v>
      </c>
      <c r="J1345" s="2" t="s">
        <v>87</v>
      </c>
      <c r="K1345" s="2" t="s">
        <v>17</v>
      </c>
      <c r="L1345" s="7">
        <f>Table3[[#This Row],[Revenue]]-Table3[[#This Row],[Ad Spend]]</f>
        <v>328.05999999999995</v>
      </c>
      <c r="M1345" s="11">
        <v>150.22999999999999</v>
      </c>
    </row>
    <row r="1346" spans="1:13" ht="15.75" customHeight="1" x14ac:dyDescent="0.3">
      <c r="A1346" s="4" t="s">
        <v>31</v>
      </c>
      <c r="B1346">
        <f t="shared" si="20"/>
        <v>1</v>
      </c>
      <c r="C1346" s="2" t="s">
        <v>63</v>
      </c>
      <c r="D1346" s="2" t="s">
        <v>1323</v>
      </c>
      <c r="E1346" s="7">
        <v>5.69</v>
      </c>
      <c r="F1346" s="2">
        <v>6</v>
      </c>
      <c r="G1346" s="7">
        <v>143</v>
      </c>
      <c r="H1346" s="2" t="s">
        <v>1324</v>
      </c>
      <c r="I1346" s="2" t="s">
        <v>29</v>
      </c>
      <c r="J1346" s="2" t="s">
        <v>30</v>
      </c>
      <c r="K1346" s="2" t="s">
        <v>17</v>
      </c>
      <c r="L1346" s="7">
        <f>Table3[[#This Row],[Revenue]]-Table3[[#This Row],[Ad Spend]]</f>
        <v>137.31</v>
      </c>
      <c r="M1346" s="11">
        <v>83.98</v>
      </c>
    </row>
    <row r="1347" spans="1:13" ht="15.75" customHeight="1" x14ac:dyDescent="0.3">
      <c r="A1347" s="4" t="s">
        <v>110</v>
      </c>
      <c r="B1347">
        <f t="shared" ref="B1347:B1410" si="21">MONTH(A1347)</f>
        <v>4</v>
      </c>
      <c r="C1347" s="2" t="s">
        <v>63</v>
      </c>
      <c r="D1347" s="2" t="s">
        <v>1180</v>
      </c>
      <c r="E1347" s="7">
        <v>43.15</v>
      </c>
      <c r="F1347" s="2">
        <v>5</v>
      </c>
      <c r="G1347" s="7">
        <v>96.08</v>
      </c>
      <c r="H1347" s="2" t="s">
        <v>820</v>
      </c>
      <c r="I1347" s="2" t="s">
        <v>35</v>
      </c>
      <c r="J1347" s="2" t="s">
        <v>53</v>
      </c>
      <c r="K1347" s="2" t="s">
        <v>17</v>
      </c>
      <c r="L1347" s="7">
        <f>Table3[[#This Row],[Revenue]]-Table3[[#This Row],[Ad Spend]]</f>
        <v>52.93</v>
      </c>
      <c r="M1347" s="11">
        <v>126.96</v>
      </c>
    </row>
    <row r="1348" spans="1:13" ht="15.75" customHeight="1" x14ac:dyDescent="0.3">
      <c r="A1348" s="4" t="s">
        <v>40</v>
      </c>
      <c r="B1348">
        <f t="shared" si="21"/>
        <v>3</v>
      </c>
      <c r="C1348" s="2" t="s">
        <v>32</v>
      </c>
      <c r="D1348" s="2" t="s">
        <v>1318</v>
      </c>
      <c r="E1348" s="7">
        <v>6.33</v>
      </c>
      <c r="F1348" s="2">
        <v>8</v>
      </c>
      <c r="G1348" s="7">
        <v>440.54</v>
      </c>
      <c r="H1348" s="2" t="s">
        <v>987</v>
      </c>
      <c r="I1348" s="2" t="s">
        <v>29</v>
      </c>
      <c r="J1348" s="2" t="s">
        <v>53</v>
      </c>
      <c r="K1348" s="2" t="s">
        <v>17</v>
      </c>
      <c r="L1348" s="7">
        <f>Table3[[#This Row],[Revenue]]-Table3[[#This Row],[Ad Spend]]</f>
        <v>434.21000000000004</v>
      </c>
      <c r="M1348" s="11">
        <v>165.86</v>
      </c>
    </row>
    <row r="1349" spans="1:13" ht="15.75" customHeight="1" x14ac:dyDescent="0.3">
      <c r="A1349" s="4" t="s">
        <v>472</v>
      </c>
      <c r="B1349">
        <f t="shared" si="21"/>
        <v>4</v>
      </c>
      <c r="C1349" s="2" t="s">
        <v>63</v>
      </c>
      <c r="D1349" s="2" t="s">
        <v>1325</v>
      </c>
      <c r="E1349" s="7">
        <v>52.53</v>
      </c>
      <c r="F1349" s="2">
        <v>1</v>
      </c>
      <c r="G1349" s="7">
        <v>479.88</v>
      </c>
      <c r="H1349" s="2" t="s">
        <v>279</v>
      </c>
      <c r="I1349" s="2" t="s">
        <v>29</v>
      </c>
      <c r="J1349" s="2" t="s">
        <v>53</v>
      </c>
      <c r="K1349" s="2" t="s">
        <v>17</v>
      </c>
      <c r="L1349" s="7">
        <f>Table3[[#This Row],[Revenue]]-Table3[[#This Row],[Ad Spend]]</f>
        <v>427.35</v>
      </c>
      <c r="M1349" s="11">
        <v>137.02000000000001</v>
      </c>
    </row>
    <row r="1350" spans="1:13" ht="15.75" customHeight="1" x14ac:dyDescent="0.3">
      <c r="A1350" s="4" t="s">
        <v>271</v>
      </c>
      <c r="B1350">
        <f t="shared" si="21"/>
        <v>1</v>
      </c>
      <c r="C1350" s="2" t="s">
        <v>32</v>
      </c>
      <c r="D1350" s="2" t="s">
        <v>1230</v>
      </c>
      <c r="E1350" s="7">
        <v>147.53</v>
      </c>
      <c r="F1350" s="2">
        <v>2</v>
      </c>
      <c r="G1350" s="7">
        <v>270.68</v>
      </c>
      <c r="H1350" s="2" t="s">
        <v>806</v>
      </c>
      <c r="I1350" s="2" t="s">
        <v>29</v>
      </c>
      <c r="J1350" s="2" t="s">
        <v>87</v>
      </c>
      <c r="K1350" s="2" t="s">
        <v>17</v>
      </c>
      <c r="L1350" s="7">
        <f>Table3[[#This Row],[Revenue]]-Table3[[#This Row],[Ad Spend]]</f>
        <v>123.15</v>
      </c>
      <c r="M1350" s="11">
        <v>111.98</v>
      </c>
    </row>
    <row r="1351" spans="1:13" ht="15.75" customHeight="1" x14ac:dyDescent="0.3">
      <c r="A1351" s="4" t="s">
        <v>59</v>
      </c>
      <c r="B1351">
        <f t="shared" si="21"/>
        <v>3</v>
      </c>
      <c r="C1351" s="2" t="s">
        <v>19</v>
      </c>
      <c r="D1351" s="2" t="s">
        <v>1326</v>
      </c>
      <c r="E1351" s="7">
        <v>48.44</v>
      </c>
      <c r="F1351" s="2">
        <v>5</v>
      </c>
      <c r="G1351" s="7">
        <v>464.71</v>
      </c>
      <c r="H1351" s="2" t="s">
        <v>24</v>
      </c>
      <c r="I1351" s="2" t="s">
        <v>29</v>
      </c>
      <c r="J1351" s="2" t="s">
        <v>30</v>
      </c>
      <c r="K1351" s="2" t="s">
        <v>17</v>
      </c>
      <c r="L1351" s="7">
        <f>Table3[[#This Row],[Revenue]]-Table3[[#This Row],[Ad Spend]]</f>
        <v>416.27</v>
      </c>
      <c r="M1351" s="11">
        <v>145.84</v>
      </c>
    </row>
    <row r="1352" spans="1:13" ht="15.75" customHeight="1" x14ac:dyDescent="0.3">
      <c r="A1352" s="4" t="s">
        <v>511</v>
      </c>
      <c r="B1352">
        <f t="shared" si="21"/>
        <v>12</v>
      </c>
      <c r="C1352" s="2" t="s">
        <v>19</v>
      </c>
      <c r="D1352" s="2" t="s">
        <v>1327</v>
      </c>
      <c r="E1352" s="7">
        <v>73.48</v>
      </c>
      <c r="F1352" s="2">
        <v>9</v>
      </c>
      <c r="G1352" s="7">
        <v>127.78</v>
      </c>
      <c r="H1352" s="2" t="s">
        <v>104</v>
      </c>
      <c r="I1352" s="2" t="s">
        <v>29</v>
      </c>
      <c r="J1352" s="2" t="s">
        <v>25</v>
      </c>
      <c r="K1352" s="2" t="s">
        <v>17</v>
      </c>
      <c r="L1352" s="7">
        <f>Table3[[#This Row],[Revenue]]-Table3[[#This Row],[Ad Spend]]</f>
        <v>54.3</v>
      </c>
      <c r="M1352" s="11">
        <v>123.53</v>
      </c>
    </row>
    <row r="1353" spans="1:13" ht="15.75" customHeight="1" x14ac:dyDescent="0.3">
      <c r="A1353" s="4" t="s">
        <v>261</v>
      </c>
      <c r="B1353">
        <f t="shared" si="21"/>
        <v>10</v>
      </c>
      <c r="C1353" s="2" t="s">
        <v>12</v>
      </c>
      <c r="D1353" s="2" t="s">
        <v>440</v>
      </c>
      <c r="E1353" s="7">
        <v>51.3</v>
      </c>
      <c r="F1353" s="2">
        <v>9</v>
      </c>
      <c r="G1353" s="7">
        <v>292.87</v>
      </c>
      <c r="H1353" s="2" t="s">
        <v>45</v>
      </c>
      <c r="I1353" s="2" t="s">
        <v>29</v>
      </c>
      <c r="J1353" s="2" t="s">
        <v>53</v>
      </c>
      <c r="K1353" s="2" t="s">
        <v>17</v>
      </c>
      <c r="L1353" s="7">
        <f>Table3[[#This Row],[Revenue]]-Table3[[#This Row],[Ad Spend]]</f>
        <v>241.57</v>
      </c>
      <c r="M1353" s="11">
        <v>130.77000000000001</v>
      </c>
    </row>
    <row r="1354" spans="1:13" ht="15.75" customHeight="1" x14ac:dyDescent="0.3">
      <c r="A1354" s="4" t="s">
        <v>184</v>
      </c>
      <c r="B1354">
        <f t="shared" si="21"/>
        <v>3</v>
      </c>
      <c r="C1354" s="2" t="s">
        <v>32</v>
      </c>
      <c r="D1354" s="2" t="s">
        <v>1180</v>
      </c>
      <c r="E1354" s="7">
        <v>79.040000000000006</v>
      </c>
      <c r="F1354" s="2">
        <v>4</v>
      </c>
      <c r="G1354" s="7">
        <v>145.15</v>
      </c>
      <c r="H1354" s="2" t="s">
        <v>232</v>
      </c>
      <c r="I1354" s="2" t="s">
        <v>15</v>
      </c>
      <c r="J1354" s="2" t="s">
        <v>53</v>
      </c>
      <c r="K1354" s="2" t="s">
        <v>17</v>
      </c>
      <c r="L1354" s="7">
        <f>Table3[[#This Row],[Revenue]]-Table3[[#This Row],[Ad Spend]]</f>
        <v>66.11</v>
      </c>
      <c r="M1354" s="11">
        <v>130.65</v>
      </c>
    </row>
    <row r="1355" spans="1:13" ht="15.75" customHeight="1" x14ac:dyDescent="0.3">
      <c r="A1355" s="4" t="s">
        <v>595</v>
      </c>
      <c r="B1355">
        <f t="shared" si="21"/>
        <v>3</v>
      </c>
      <c r="C1355" s="2" t="s">
        <v>19</v>
      </c>
      <c r="D1355" s="2" t="s">
        <v>988</v>
      </c>
      <c r="E1355" s="7">
        <v>137.59</v>
      </c>
      <c r="F1355" s="2">
        <v>0</v>
      </c>
      <c r="G1355" s="7">
        <v>62.34</v>
      </c>
      <c r="H1355" s="2" t="s">
        <v>1328</v>
      </c>
      <c r="I1355" s="2" t="s">
        <v>29</v>
      </c>
      <c r="J1355" s="2" t="s">
        <v>25</v>
      </c>
      <c r="K1355" s="2" t="s">
        <v>46</v>
      </c>
      <c r="L1355" s="7">
        <f>Table3[[#This Row],[Revenue]]-Table3[[#This Row],[Ad Spend]]</f>
        <v>-75.25</v>
      </c>
      <c r="M1355" s="11">
        <v>47.01</v>
      </c>
    </row>
    <row r="1356" spans="1:13" ht="15.75" customHeight="1" x14ac:dyDescent="0.3">
      <c r="A1356" s="4" t="s">
        <v>84</v>
      </c>
      <c r="B1356">
        <f t="shared" si="21"/>
        <v>10</v>
      </c>
      <c r="C1356" s="2" t="s">
        <v>19</v>
      </c>
      <c r="D1356" s="2" t="s">
        <v>1196</v>
      </c>
      <c r="E1356" s="7">
        <v>120.07</v>
      </c>
      <c r="F1356" s="2">
        <v>3</v>
      </c>
      <c r="G1356" s="7">
        <v>325.57</v>
      </c>
      <c r="H1356" s="2" t="s">
        <v>1090</v>
      </c>
      <c r="I1356" s="2" t="s">
        <v>35</v>
      </c>
      <c r="J1356" s="2" t="s">
        <v>25</v>
      </c>
      <c r="K1356" s="2" t="s">
        <v>17</v>
      </c>
      <c r="L1356" s="7">
        <f>Table3[[#This Row],[Revenue]]-Table3[[#This Row],[Ad Spend]]</f>
        <v>205.5</v>
      </c>
      <c r="M1356" s="11">
        <v>161.07</v>
      </c>
    </row>
    <row r="1357" spans="1:13" ht="15.75" customHeight="1" x14ac:dyDescent="0.3">
      <c r="A1357" s="4" t="s">
        <v>258</v>
      </c>
      <c r="B1357">
        <f t="shared" si="21"/>
        <v>2</v>
      </c>
      <c r="C1357" s="2" t="s">
        <v>19</v>
      </c>
      <c r="D1357" s="2" t="s">
        <v>1015</v>
      </c>
      <c r="E1357" s="7">
        <v>104.2</v>
      </c>
      <c r="F1357" s="2">
        <v>6</v>
      </c>
      <c r="G1357" s="7">
        <v>277.54000000000002</v>
      </c>
      <c r="H1357" s="2" t="s">
        <v>917</v>
      </c>
      <c r="I1357" s="2" t="s">
        <v>35</v>
      </c>
      <c r="J1357" s="2" t="s">
        <v>87</v>
      </c>
      <c r="K1357" s="2" t="s">
        <v>17</v>
      </c>
      <c r="L1357" s="7">
        <f>Table3[[#This Row],[Revenue]]-Table3[[#This Row],[Ad Spend]]</f>
        <v>173.34000000000003</v>
      </c>
      <c r="M1357" s="11">
        <v>131.18</v>
      </c>
    </row>
    <row r="1358" spans="1:13" ht="15.75" customHeight="1" x14ac:dyDescent="0.3">
      <c r="A1358" s="4" t="s">
        <v>659</v>
      </c>
      <c r="B1358">
        <f t="shared" si="21"/>
        <v>4</v>
      </c>
      <c r="C1358" s="2" t="s">
        <v>63</v>
      </c>
      <c r="D1358" s="2" t="s">
        <v>1323</v>
      </c>
      <c r="E1358" s="7">
        <v>82.94</v>
      </c>
      <c r="F1358" s="2">
        <v>3</v>
      </c>
      <c r="G1358" s="7">
        <v>67</v>
      </c>
      <c r="H1358" s="2" t="s">
        <v>498</v>
      </c>
      <c r="I1358" s="2" t="s">
        <v>15</v>
      </c>
      <c r="J1358" s="2" t="s">
        <v>25</v>
      </c>
      <c r="K1358" s="2" t="s">
        <v>17</v>
      </c>
      <c r="L1358" s="7">
        <f>Table3[[#This Row],[Revenue]]-Table3[[#This Row],[Ad Spend]]</f>
        <v>-15.939999999999998</v>
      </c>
      <c r="M1358" s="11">
        <v>98.73</v>
      </c>
    </row>
    <row r="1359" spans="1:13" ht="15.75" customHeight="1" x14ac:dyDescent="0.3">
      <c r="A1359" s="4" t="s">
        <v>728</v>
      </c>
      <c r="B1359">
        <f t="shared" si="21"/>
        <v>4</v>
      </c>
      <c r="C1359" s="2" t="s">
        <v>63</v>
      </c>
      <c r="D1359" s="2" t="s">
        <v>1329</v>
      </c>
      <c r="E1359" s="7">
        <v>123.04</v>
      </c>
      <c r="F1359" s="2">
        <v>6</v>
      </c>
      <c r="G1359" s="7">
        <v>317.99</v>
      </c>
      <c r="H1359" s="2" t="s">
        <v>1028</v>
      </c>
      <c r="I1359" s="2" t="s">
        <v>35</v>
      </c>
      <c r="J1359" s="2" t="s">
        <v>16</v>
      </c>
      <c r="K1359" s="2" t="s">
        <v>17</v>
      </c>
      <c r="L1359" s="7">
        <f>Table3[[#This Row],[Revenue]]-Table3[[#This Row],[Ad Spend]]</f>
        <v>194.95</v>
      </c>
      <c r="M1359" s="11">
        <v>147.78</v>
      </c>
    </row>
    <row r="1360" spans="1:13" ht="15.75" customHeight="1" x14ac:dyDescent="0.3">
      <c r="A1360" s="4" t="s">
        <v>485</v>
      </c>
      <c r="B1360">
        <f t="shared" si="21"/>
        <v>12</v>
      </c>
      <c r="C1360" s="2" t="s">
        <v>63</v>
      </c>
      <c r="D1360" s="2" t="s">
        <v>1330</v>
      </c>
      <c r="E1360" s="7">
        <v>29.14</v>
      </c>
      <c r="F1360" s="2">
        <v>3</v>
      </c>
      <c r="G1360" s="7">
        <v>34.49</v>
      </c>
      <c r="H1360" s="2" t="s">
        <v>28</v>
      </c>
      <c r="I1360" s="2" t="s">
        <v>29</v>
      </c>
      <c r="J1360" s="2" t="s">
        <v>25</v>
      </c>
      <c r="K1360" s="2" t="s">
        <v>17</v>
      </c>
      <c r="L1360" s="7">
        <f>Table3[[#This Row],[Revenue]]-Table3[[#This Row],[Ad Spend]]</f>
        <v>5.3500000000000014</v>
      </c>
      <c r="M1360" s="11">
        <v>142.09</v>
      </c>
    </row>
    <row r="1361" spans="1:13" ht="15.75" customHeight="1" x14ac:dyDescent="0.3">
      <c r="A1361" s="4" t="s">
        <v>589</v>
      </c>
      <c r="B1361">
        <f t="shared" si="21"/>
        <v>12</v>
      </c>
      <c r="C1361" s="2" t="s">
        <v>12</v>
      </c>
      <c r="D1361" s="2" t="s">
        <v>585</v>
      </c>
      <c r="E1361" s="7">
        <v>104.1</v>
      </c>
      <c r="F1361" s="2">
        <v>9</v>
      </c>
      <c r="G1361" s="7">
        <v>387.62</v>
      </c>
      <c r="H1361" s="2" t="s">
        <v>267</v>
      </c>
      <c r="I1361" s="2" t="s">
        <v>35</v>
      </c>
      <c r="J1361" s="2" t="s">
        <v>36</v>
      </c>
      <c r="K1361" s="2" t="s">
        <v>17</v>
      </c>
      <c r="L1361" s="7">
        <f>Table3[[#This Row],[Revenue]]-Table3[[#This Row],[Ad Spend]]</f>
        <v>283.52</v>
      </c>
      <c r="M1361" s="11">
        <v>123.73</v>
      </c>
    </row>
    <row r="1362" spans="1:13" ht="15.75" customHeight="1" x14ac:dyDescent="0.3">
      <c r="A1362" s="4" t="s">
        <v>691</v>
      </c>
      <c r="B1362">
        <f t="shared" si="21"/>
        <v>2</v>
      </c>
      <c r="C1362" s="2" t="s">
        <v>63</v>
      </c>
      <c r="D1362" s="2" t="s">
        <v>870</v>
      </c>
      <c r="E1362" s="7">
        <v>53.06</v>
      </c>
      <c r="F1362" s="2">
        <v>3</v>
      </c>
      <c r="G1362" s="7">
        <v>438.23</v>
      </c>
      <c r="H1362" s="2" t="s">
        <v>147</v>
      </c>
      <c r="I1362" s="2" t="s">
        <v>15</v>
      </c>
      <c r="J1362" s="2" t="s">
        <v>36</v>
      </c>
      <c r="K1362" s="2" t="s">
        <v>17</v>
      </c>
      <c r="L1362" s="7">
        <f>Table3[[#This Row],[Revenue]]-Table3[[#This Row],[Ad Spend]]</f>
        <v>385.17</v>
      </c>
      <c r="M1362" s="11">
        <v>144.63</v>
      </c>
    </row>
    <row r="1363" spans="1:13" ht="15.75" customHeight="1" x14ac:dyDescent="0.3">
      <c r="A1363" s="4" t="s">
        <v>843</v>
      </c>
      <c r="B1363">
        <f t="shared" si="21"/>
        <v>4</v>
      </c>
      <c r="C1363" s="2" t="s">
        <v>12</v>
      </c>
      <c r="D1363" s="2" t="s">
        <v>288</v>
      </c>
      <c r="E1363" s="7">
        <v>120.79</v>
      </c>
      <c r="F1363" s="2">
        <v>8</v>
      </c>
      <c r="G1363" s="7">
        <v>187.93</v>
      </c>
      <c r="H1363" s="2" t="s">
        <v>1331</v>
      </c>
      <c r="I1363" s="2" t="s">
        <v>29</v>
      </c>
      <c r="J1363" s="2" t="s">
        <v>87</v>
      </c>
      <c r="K1363" s="2" t="s">
        <v>17</v>
      </c>
      <c r="L1363" s="7">
        <f>Table3[[#This Row],[Revenue]]-Table3[[#This Row],[Ad Spend]]</f>
        <v>67.14</v>
      </c>
      <c r="M1363" s="11">
        <v>114.43</v>
      </c>
    </row>
    <row r="1364" spans="1:13" ht="15.75" customHeight="1" x14ac:dyDescent="0.3">
      <c r="A1364" s="4" t="s">
        <v>459</v>
      </c>
      <c r="B1364">
        <f t="shared" si="21"/>
        <v>4</v>
      </c>
      <c r="C1364" s="2" t="s">
        <v>12</v>
      </c>
      <c r="D1364" s="2" t="s">
        <v>325</v>
      </c>
      <c r="E1364" s="7">
        <v>94.04</v>
      </c>
      <c r="F1364" s="2">
        <v>2</v>
      </c>
      <c r="G1364" s="7">
        <v>381.31</v>
      </c>
      <c r="H1364" s="2" t="s">
        <v>14</v>
      </c>
      <c r="I1364" s="2" t="s">
        <v>29</v>
      </c>
      <c r="J1364" s="2" t="s">
        <v>36</v>
      </c>
      <c r="K1364" s="2" t="s">
        <v>17</v>
      </c>
      <c r="L1364" s="7">
        <f>Table3[[#This Row],[Revenue]]-Table3[[#This Row],[Ad Spend]]</f>
        <v>287.27</v>
      </c>
      <c r="M1364" s="11">
        <v>115</v>
      </c>
    </row>
    <row r="1365" spans="1:13" ht="15.75" customHeight="1" x14ac:dyDescent="0.3">
      <c r="A1365" s="4" t="s">
        <v>162</v>
      </c>
      <c r="B1365">
        <f t="shared" si="21"/>
        <v>4</v>
      </c>
      <c r="C1365" s="2" t="s">
        <v>19</v>
      </c>
      <c r="D1365" s="2" t="s">
        <v>890</v>
      </c>
      <c r="E1365" s="7">
        <v>25.12</v>
      </c>
      <c r="F1365" s="2">
        <v>6</v>
      </c>
      <c r="G1365" s="7">
        <v>256.13</v>
      </c>
      <c r="H1365" s="2" t="s">
        <v>279</v>
      </c>
      <c r="I1365" s="2" t="s">
        <v>29</v>
      </c>
      <c r="J1365" s="2" t="s">
        <v>25</v>
      </c>
      <c r="K1365" s="2" t="s">
        <v>17</v>
      </c>
      <c r="L1365" s="7">
        <f>Table3[[#This Row],[Revenue]]-Table3[[#This Row],[Ad Spend]]</f>
        <v>231.01</v>
      </c>
      <c r="M1365" s="11">
        <v>137.52000000000001</v>
      </c>
    </row>
    <row r="1366" spans="1:13" ht="15.75" customHeight="1" x14ac:dyDescent="0.3">
      <c r="A1366" s="4" t="s">
        <v>785</v>
      </c>
      <c r="B1366">
        <f t="shared" si="21"/>
        <v>1</v>
      </c>
      <c r="C1366" s="2" t="s">
        <v>63</v>
      </c>
      <c r="D1366" s="2" t="s">
        <v>1282</v>
      </c>
      <c r="E1366" s="7">
        <v>83.64</v>
      </c>
      <c r="F1366" s="2">
        <v>4</v>
      </c>
      <c r="G1366" s="7">
        <v>307.73</v>
      </c>
      <c r="H1366" s="2" t="s">
        <v>96</v>
      </c>
      <c r="I1366" s="2" t="s">
        <v>29</v>
      </c>
      <c r="J1366" s="2" t="s">
        <v>25</v>
      </c>
      <c r="K1366" s="2" t="s">
        <v>17</v>
      </c>
      <c r="L1366" s="7">
        <f>Table3[[#This Row],[Revenue]]-Table3[[#This Row],[Ad Spend]]</f>
        <v>224.09000000000003</v>
      </c>
      <c r="M1366" s="11">
        <v>130.66</v>
      </c>
    </row>
    <row r="1367" spans="1:13" ht="15.75" customHeight="1" x14ac:dyDescent="0.3">
      <c r="A1367" s="4" t="s">
        <v>673</v>
      </c>
      <c r="B1367">
        <f t="shared" si="21"/>
        <v>12</v>
      </c>
      <c r="C1367" s="2" t="s">
        <v>32</v>
      </c>
      <c r="D1367" s="2" t="s">
        <v>598</v>
      </c>
      <c r="E1367" s="7">
        <v>127.6</v>
      </c>
      <c r="F1367" s="2">
        <v>9</v>
      </c>
      <c r="G1367" s="7">
        <v>29.99</v>
      </c>
      <c r="H1367" s="2" t="s">
        <v>119</v>
      </c>
      <c r="I1367" s="2" t="s">
        <v>35</v>
      </c>
      <c r="J1367" s="2" t="s">
        <v>25</v>
      </c>
      <c r="K1367" s="2" t="s">
        <v>17</v>
      </c>
      <c r="L1367" s="7">
        <f>Table3[[#This Row],[Revenue]]-Table3[[#This Row],[Ad Spend]]</f>
        <v>-97.61</v>
      </c>
      <c r="M1367" s="11">
        <v>111.07</v>
      </c>
    </row>
    <row r="1368" spans="1:13" ht="15.75" customHeight="1" x14ac:dyDescent="0.3">
      <c r="A1368" s="4" t="s">
        <v>335</v>
      </c>
      <c r="B1368">
        <f t="shared" si="21"/>
        <v>11</v>
      </c>
      <c r="C1368" s="2" t="s">
        <v>63</v>
      </c>
      <c r="D1368" s="2" t="s">
        <v>1332</v>
      </c>
      <c r="E1368" s="7">
        <v>27.2</v>
      </c>
      <c r="F1368" s="2">
        <v>7</v>
      </c>
      <c r="G1368" s="7">
        <v>168.69</v>
      </c>
      <c r="H1368" s="2" t="s">
        <v>1333</v>
      </c>
      <c r="I1368" s="2" t="s">
        <v>29</v>
      </c>
      <c r="J1368" s="2" t="s">
        <v>30</v>
      </c>
      <c r="K1368" s="2" t="s">
        <v>17</v>
      </c>
      <c r="L1368" s="7">
        <f>Table3[[#This Row],[Revenue]]-Table3[[#This Row],[Ad Spend]]</f>
        <v>141.49</v>
      </c>
      <c r="M1368" s="11">
        <v>125.3</v>
      </c>
    </row>
    <row r="1369" spans="1:13" ht="15.75" customHeight="1" x14ac:dyDescent="0.3">
      <c r="A1369" s="4" t="s">
        <v>511</v>
      </c>
      <c r="B1369">
        <f t="shared" si="21"/>
        <v>12</v>
      </c>
      <c r="C1369" s="2" t="s">
        <v>63</v>
      </c>
      <c r="D1369" s="2" t="s">
        <v>1009</v>
      </c>
      <c r="E1369" s="7">
        <v>46.38</v>
      </c>
      <c r="F1369" s="2">
        <v>1</v>
      </c>
      <c r="G1369" s="7">
        <v>255.08</v>
      </c>
      <c r="H1369" s="2" t="s">
        <v>24</v>
      </c>
      <c r="I1369" s="2" t="s">
        <v>35</v>
      </c>
      <c r="J1369" s="2" t="s">
        <v>53</v>
      </c>
      <c r="K1369" s="2" t="s">
        <v>17</v>
      </c>
      <c r="L1369" s="7">
        <f>Table3[[#This Row],[Revenue]]-Table3[[#This Row],[Ad Spend]]</f>
        <v>208.70000000000002</v>
      </c>
      <c r="M1369" s="11">
        <v>145.41</v>
      </c>
    </row>
    <row r="1370" spans="1:13" ht="15.75" customHeight="1" x14ac:dyDescent="0.3">
      <c r="A1370" s="4" t="s">
        <v>659</v>
      </c>
      <c r="B1370">
        <f t="shared" si="21"/>
        <v>4</v>
      </c>
      <c r="C1370" s="2" t="s">
        <v>63</v>
      </c>
      <c r="D1370" s="2" t="s">
        <v>564</v>
      </c>
      <c r="E1370" s="7">
        <v>65.03</v>
      </c>
      <c r="F1370" s="2">
        <v>9</v>
      </c>
      <c r="G1370" s="7">
        <v>89.95</v>
      </c>
      <c r="H1370" s="2" t="s">
        <v>161</v>
      </c>
      <c r="I1370" s="2" t="s">
        <v>15</v>
      </c>
      <c r="J1370" s="2" t="s">
        <v>53</v>
      </c>
      <c r="K1370" s="2" t="s">
        <v>17</v>
      </c>
      <c r="L1370" s="7">
        <f>Table3[[#This Row],[Revenue]]-Table3[[#This Row],[Ad Spend]]</f>
        <v>24.92</v>
      </c>
      <c r="M1370" s="11">
        <v>126.39</v>
      </c>
    </row>
    <row r="1371" spans="1:13" ht="15.75" customHeight="1" x14ac:dyDescent="0.3">
      <c r="A1371" s="4" t="s">
        <v>97</v>
      </c>
      <c r="B1371">
        <f t="shared" si="21"/>
        <v>12</v>
      </c>
      <c r="C1371" s="2" t="s">
        <v>63</v>
      </c>
      <c r="D1371" s="2" t="s">
        <v>1334</v>
      </c>
      <c r="E1371" s="7">
        <v>23.94</v>
      </c>
      <c r="F1371" s="2">
        <v>0</v>
      </c>
      <c r="G1371" s="7">
        <v>35.36</v>
      </c>
      <c r="H1371" s="2" t="s">
        <v>119</v>
      </c>
      <c r="I1371" s="2" t="s">
        <v>29</v>
      </c>
      <c r="J1371" s="2" t="s">
        <v>30</v>
      </c>
      <c r="K1371" s="2" t="s">
        <v>46</v>
      </c>
      <c r="L1371" s="7">
        <f>Table3[[#This Row],[Revenue]]-Table3[[#This Row],[Ad Spend]]</f>
        <v>11.419999999999998</v>
      </c>
      <c r="M1371" s="11">
        <v>108.81</v>
      </c>
    </row>
    <row r="1372" spans="1:13" ht="15.75" customHeight="1" x14ac:dyDescent="0.3">
      <c r="A1372" s="4" t="s">
        <v>59</v>
      </c>
      <c r="B1372">
        <f t="shared" si="21"/>
        <v>3</v>
      </c>
      <c r="C1372" s="2" t="s">
        <v>12</v>
      </c>
      <c r="D1372" s="2" t="s">
        <v>299</v>
      </c>
      <c r="E1372" s="7">
        <v>145.43</v>
      </c>
      <c r="F1372" s="2">
        <v>10</v>
      </c>
      <c r="G1372" s="7">
        <v>247.5</v>
      </c>
      <c r="H1372" s="2" t="s">
        <v>1335</v>
      </c>
      <c r="I1372" s="2" t="s">
        <v>15</v>
      </c>
      <c r="J1372" s="2" t="s">
        <v>87</v>
      </c>
      <c r="K1372" s="2" t="s">
        <v>17</v>
      </c>
      <c r="L1372" s="7">
        <f>Table3[[#This Row],[Revenue]]-Table3[[#This Row],[Ad Spend]]</f>
        <v>102.07</v>
      </c>
      <c r="M1372" s="11">
        <v>126.85</v>
      </c>
    </row>
    <row r="1373" spans="1:13" ht="15.75" customHeight="1" x14ac:dyDescent="0.3">
      <c r="A1373" s="4" t="s">
        <v>26</v>
      </c>
      <c r="B1373">
        <f t="shared" si="21"/>
        <v>12</v>
      </c>
      <c r="C1373" s="2" t="s">
        <v>12</v>
      </c>
      <c r="D1373" s="2" t="s">
        <v>192</v>
      </c>
      <c r="E1373" s="7">
        <v>85.61</v>
      </c>
      <c r="F1373" s="2">
        <v>8</v>
      </c>
      <c r="G1373" s="7">
        <v>308.58</v>
      </c>
      <c r="H1373" s="2" t="s">
        <v>166</v>
      </c>
      <c r="I1373" s="2" t="s">
        <v>29</v>
      </c>
      <c r="J1373" s="2" t="s">
        <v>30</v>
      </c>
      <c r="K1373" s="2" t="s">
        <v>17</v>
      </c>
      <c r="L1373" s="7">
        <f>Table3[[#This Row],[Revenue]]-Table3[[#This Row],[Ad Spend]]</f>
        <v>222.96999999999997</v>
      </c>
      <c r="M1373" s="11">
        <v>139.79</v>
      </c>
    </row>
    <row r="1374" spans="1:13" ht="15.75" customHeight="1" x14ac:dyDescent="0.3">
      <c r="A1374" s="4" t="s">
        <v>105</v>
      </c>
      <c r="B1374">
        <f t="shared" si="21"/>
        <v>1</v>
      </c>
      <c r="C1374" s="2" t="s">
        <v>63</v>
      </c>
      <c r="D1374" s="2" t="s">
        <v>686</v>
      </c>
      <c r="E1374" s="7">
        <v>47.12</v>
      </c>
      <c r="F1374" s="2">
        <v>1</v>
      </c>
      <c r="G1374" s="7">
        <v>166.93</v>
      </c>
      <c r="H1374" s="2" t="s">
        <v>391</v>
      </c>
      <c r="I1374" s="2" t="s">
        <v>29</v>
      </c>
      <c r="J1374" s="2" t="s">
        <v>25</v>
      </c>
      <c r="K1374" s="2" t="s">
        <v>17</v>
      </c>
      <c r="L1374" s="7">
        <f>Table3[[#This Row],[Revenue]]-Table3[[#This Row],[Ad Spend]]</f>
        <v>119.81</v>
      </c>
      <c r="M1374" s="11">
        <v>87.31</v>
      </c>
    </row>
    <row r="1375" spans="1:13" ht="15.75" customHeight="1" x14ac:dyDescent="0.3">
      <c r="A1375" s="4" t="s">
        <v>836</v>
      </c>
      <c r="B1375">
        <f t="shared" si="21"/>
        <v>11</v>
      </c>
      <c r="C1375" s="2" t="s">
        <v>19</v>
      </c>
      <c r="D1375" s="2" t="s">
        <v>1026</v>
      </c>
      <c r="E1375" s="7">
        <v>28.39</v>
      </c>
      <c r="F1375" s="2">
        <v>9</v>
      </c>
      <c r="G1375" s="7">
        <v>366.95</v>
      </c>
      <c r="H1375" s="2" t="s">
        <v>147</v>
      </c>
      <c r="I1375" s="2" t="s">
        <v>29</v>
      </c>
      <c r="J1375" s="2" t="s">
        <v>25</v>
      </c>
      <c r="K1375" s="2" t="s">
        <v>17</v>
      </c>
      <c r="L1375" s="7">
        <f>Table3[[#This Row],[Revenue]]-Table3[[#This Row],[Ad Spend]]</f>
        <v>338.56</v>
      </c>
      <c r="M1375" s="11">
        <v>141.58000000000001</v>
      </c>
    </row>
    <row r="1376" spans="1:13" ht="15.75" customHeight="1" x14ac:dyDescent="0.3">
      <c r="A1376" s="4" t="s">
        <v>404</v>
      </c>
      <c r="B1376">
        <f t="shared" si="21"/>
        <v>3</v>
      </c>
      <c r="C1376" s="2" t="s">
        <v>63</v>
      </c>
      <c r="D1376" s="2" t="s">
        <v>497</v>
      </c>
      <c r="E1376" s="7">
        <v>21.84</v>
      </c>
      <c r="F1376" s="2">
        <v>8</v>
      </c>
      <c r="G1376" s="7">
        <v>368.89</v>
      </c>
      <c r="H1376" s="2" t="s">
        <v>806</v>
      </c>
      <c r="I1376" s="2" t="s">
        <v>35</v>
      </c>
      <c r="J1376" s="2" t="s">
        <v>87</v>
      </c>
      <c r="K1376" s="2" t="s">
        <v>17</v>
      </c>
      <c r="L1376" s="7">
        <f>Table3[[#This Row],[Revenue]]-Table3[[#This Row],[Ad Spend]]</f>
        <v>347.05</v>
      </c>
      <c r="M1376" s="11">
        <v>117.15</v>
      </c>
    </row>
    <row r="1377" spans="1:13" ht="15.75" customHeight="1" x14ac:dyDescent="0.3">
      <c r="A1377" s="4" t="s">
        <v>153</v>
      </c>
      <c r="B1377">
        <f t="shared" si="21"/>
        <v>1</v>
      </c>
      <c r="C1377" s="2" t="s">
        <v>32</v>
      </c>
      <c r="D1377" s="2" t="s">
        <v>1035</v>
      </c>
      <c r="E1377" s="7">
        <v>126.47</v>
      </c>
      <c r="F1377" s="2">
        <v>2</v>
      </c>
      <c r="G1377" s="7">
        <v>292.58999999999997</v>
      </c>
      <c r="H1377" s="2" t="s">
        <v>861</v>
      </c>
      <c r="I1377" s="2" t="s">
        <v>35</v>
      </c>
      <c r="J1377" s="2" t="s">
        <v>25</v>
      </c>
      <c r="K1377" s="2" t="s">
        <v>17</v>
      </c>
      <c r="L1377" s="7">
        <f>Table3[[#This Row],[Revenue]]-Table3[[#This Row],[Ad Spend]]</f>
        <v>166.11999999999998</v>
      </c>
      <c r="M1377" s="11">
        <v>121.76</v>
      </c>
    </row>
    <row r="1378" spans="1:13" ht="15.75" customHeight="1" x14ac:dyDescent="0.3">
      <c r="A1378" s="4" t="s">
        <v>110</v>
      </c>
      <c r="B1378">
        <f t="shared" si="21"/>
        <v>4</v>
      </c>
      <c r="C1378" s="2" t="s">
        <v>32</v>
      </c>
      <c r="D1378" s="2" t="s">
        <v>620</v>
      </c>
      <c r="E1378" s="7">
        <v>79.260000000000005</v>
      </c>
      <c r="F1378" s="2">
        <v>7</v>
      </c>
      <c r="G1378" s="7">
        <v>454.7</v>
      </c>
      <c r="H1378" s="2" t="s">
        <v>326</v>
      </c>
      <c r="I1378" s="2" t="s">
        <v>15</v>
      </c>
      <c r="J1378" s="2" t="s">
        <v>30</v>
      </c>
      <c r="K1378" s="2" t="s">
        <v>17</v>
      </c>
      <c r="L1378" s="7">
        <f>Table3[[#This Row],[Revenue]]-Table3[[#This Row],[Ad Spend]]</f>
        <v>375.44</v>
      </c>
      <c r="M1378" s="11">
        <v>149.34</v>
      </c>
    </row>
    <row r="1379" spans="1:13" ht="15.75" customHeight="1" x14ac:dyDescent="0.3">
      <c r="A1379" s="4" t="s">
        <v>211</v>
      </c>
      <c r="B1379">
        <f t="shared" si="21"/>
        <v>2</v>
      </c>
      <c r="C1379" s="2" t="s">
        <v>32</v>
      </c>
      <c r="D1379" s="2" t="s">
        <v>1225</v>
      </c>
      <c r="E1379" s="7">
        <v>91.54</v>
      </c>
      <c r="F1379" s="2">
        <v>7</v>
      </c>
      <c r="G1379" s="7">
        <v>272.62</v>
      </c>
      <c r="H1379" s="2" t="s">
        <v>913</v>
      </c>
      <c r="I1379" s="2" t="s">
        <v>29</v>
      </c>
      <c r="J1379" s="2" t="s">
        <v>30</v>
      </c>
      <c r="K1379" s="2" t="s">
        <v>17</v>
      </c>
      <c r="L1379" s="7">
        <f>Table3[[#This Row],[Revenue]]-Table3[[#This Row],[Ad Spend]]</f>
        <v>181.07999999999998</v>
      </c>
      <c r="M1379" s="11">
        <v>124.86</v>
      </c>
    </row>
    <row r="1380" spans="1:13" ht="15.75" customHeight="1" x14ac:dyDescent="0.3">
      <c r="A1380" s="4" t="s">
        <v>148</v>
      </c>
      <c r="B1380">
        <f t="shared" si="21"/>
        <v>4</v>
      </c>
      <c r="C1380" s="2" t="s">
        <v>32</v>
      </c>
      <c r="D1380" s="2" t="s">
        <v>245</v>
      </c>
      <c r="E1380" s="7">
        <v>137.13999999999999</v>
      </c>
      <c r="F1380" s="2">
        <v>5</v>
      </c>
      <c r="G1380" s="7">
        <v>32.47</v>
      </c>
      <c r="H1380" s="2" t="s">
        <v>14</v>
      </c>
      <c r="I1380" s="2" t="s">
        <v>35</v>
      </c>
      <c r="J1380" s="2" t="s">
        <v>36</v>
      </c>
      <c r="K1380" s="2" t="s">
        <v>17</v>
      </c>
      <c r="L1380" s="7">
        <f>Table3[[#This Row],[Revenue]]-Table3[[#This Row],[Ad Spend]]</f>
        <v>-104.66999999999999</v>
      </c>
      <c r="M1380" s="11">
        <v>122.05</v>
      </c>
    </row>
    <row r="1381" spans="1:13" ht="15.75" customHeight="1" x14ac:dyDescent="0.3">
      <c r="A1381" s="4" t="s">
        <v>287</v>
      </c>
      <c r="B1381">
        <f t="shared" si="21"/>
        <v>2</v>
      </c>
      <c r="C1381" s="2" t="s">
        <v>63</v>
      </c>
      <c r="D1381" s="2" t="s">
        <v>1190</v>
      </c>
      <c r="E1381" s="7">
        <v>23.67</v>
      </c>
      <c r="F1381" s="2">
        <v>7</v>
      </c>
      <c r="G1381" s="7">
        <v>383.09</v>
      </c>
      <c r="H1381" s="2" t="s">
        <v>28</v>
      </c>
      <c r="I1381" s="2" t="s">
        <v>35</v>
      </c>
      <c r="J1381" s="2" t="s">
        <v>25</v>
      </c>
      <c r="K1381" s="2" t="s">
        <v>17</v>
      </c>
      <c r="L1381" s="7">
        <f>Table3[[#This Row],[Revenue]]-Table3[[#This Row],[Ad Spend]]</f>
        <v>359.41999999999996</v>
      </c>
      <c r="M1381" s="11">
        <v>133.03</v>
      </c>
    </row>
    <row r="1382" spans="1:13" ht="15.75" customHeight="1" x14ac:dyDescent="0.3">
      <c r="A1382" s="4" t="s">
        <v>184</v>
      </c>
      <c r="B1382">
        <f t="shared" si="21"/>
        <v>3</v>
      </c>
      <c r="C1382" s="2" t="s">
        <v>12</v>
      </c>
      <c r="D1382" s="2" t="s">
        <v>1308</v>
      </c>
      <c r="E1382" s="7">
        <v>82.23</v>
      </c>
      <c r="F1382" s="2">
        <v>8</v>
      </c>
      <c r="G1382" s="7">
        <v>301.67</v>
      </c>
      <c r="H1382" s="2" t="s">
        <v>235</v>
      </c>
      <c r="I1382" s="2" t="s">
        <v>15</v>
      </c>
      <c r="J1382" s="2" t="s">
        <v>25</v>
      </c>
      <c r="K1382" s="2" t="s">
        <v>17</v>
      </c>
      <c r="L1382" s="7">
        <f>Table3[[#This Row],[Revenue]]-Table3[[#This Row],[Ad Spend]]</f>
        <v>219.44</v>
      </c>
      <c r="M1382" s="11">
        <v>122.89</v>
      </c>
    </row>
    <row r="1383" spans="1:13" ht="15.75" customHeight="1" x14ac:dyDescent="0.3">
      <c r="A1383" s="4" t="s">
        <v>472</v>
      </c>
      <c r="B1383">
        <f t="shared" si="21"/>
        <v>4</v>
      </c>
      <c r="C1383" s="2" t="s">
        <v>19</v>
      </c>
      <c r="D1383" s="2" t="s">
        <v>492</v>
      </c>
      <c r="E1383" s="7">
        <v>67.849999999999994</v>
      </c>
      <c r="F1383" s="2">
        <v>7</v>
      </c>
      <c r="G1383" s="7">
        <v>201.67</v>
      </c>
      <c r="H1383" s="2" t="s">
        <v>451</v>
      </c>
      <c r="I1383" s="2" t="s">
        <v>29</v>
      </c>
      <c r="J1383" s="2" t="s">
        <v>30</v>
      </c>
      <c r="K1383" s="2" t="s">
        <v>17</v>
      </c>
      <c r="L1383" s="7">
        <f>Table3[[#This Row],[Revenue]]-Table3[[#This Row],[Ad Spend]]</f>
        <v>133.82</v>
      </c>
      <c r="M1383" s="11">
        <v>141.72</v>
      </c>
    </row>
    <row r="1384" spans="1:13" ht="15.75" customHeight="1" x14ac:dyDescent="0.3">
      <c r="A1384" s="4" t="s">
        <v>164</v>
      </c>
      <c r="B1384">
        <f t="shared" si="21"/>
        <v>2</v>
      </c>
      <c r="C1384" s="2" t="s">
        <v>63</v>
      </c>
      <c r="D1384" s="2" t="s">
        <v>979</v>
      </c>
      <c r="E1384" s="7">
        <v>62.41</v>
      </c>
      <c r="F1384" s="2">
        <v>1</v>
      </c>
      <c r="G1384" s="7">
        <v>178.81</v>
      </c>
      <c r="H1384" s="2" t="s">
        <v>1336</v>
      </c>
      <c r="I1384" s="2" t="s">
        <v>15</v>
      </c>
      <c r="J1384" s="2" t="s">
        <v>16</v>
      </c>
      <c r="K1384" s="2" t="s">
        <v>17</v>
      </c>
      <c r="L1384" s="7">
        <f>Table3[[#This Row],[Revenue]]-Table3[[#This Row],[Ad Spend]]</f>
        <v>116.4</v>
      </c>
      <c r="M1384" s="11">
        <v>75.7</v>
      </c>
    </row>
    <row r="1385" spans="1:13" ht="15.75" customHeight="1" x14ac:dyDescent="0.3">
      <c r="A1385" s="4" t="s">
        <v>519</v>
      </c>
      <c r="B1385">
        <f t="shared" si="21"/>
        <v>4</v>
      </c>
      <c r="C1385" s="2" t="s">
        <v>63</v>
      </c>
      <c r="D1385" s="2" t="s">
        <v>503</v>
      </c>
      <c r="E1385" s="7">
        <v>104.17</v>
      </c>
      <c r="F1385" s="2">
        <v>0</v>
      </c>
      <c r="G1385" s="7">
        <v>113.38</v>
      </c>
      <c r="H1385" s="2" t="s">
        <v>1337</v>
      </c>
      <c r="I1385" s="2" t="s">
        <v>15</v>
      </c>
      <c r="J1385" s="2" t="s">
        <v>30</v>
      </c>
      <c r="K1385" s="2" t="s">
        <v>46</v>
      </c>
      <c r="L1385" s="7">
        <f>Table3[[#This Row],[Revenue]]-Table3[[#This Row],[Ad Spend]]</f>
        <v>9.2099999999999937</v>
      </c>
      <c r="M1385" s="11">
        <v>108.53</v>
      </c>
    </row>
    <row r="1386" spans="1:13" ht="15.75" customHeight="1" x14ac:dyDescent="0.3">
      <c r="A1386" s="4" t="s">
        <v>208</v>
      </c>
      <c r="B1386">
        <f t="shared" si="21"/>
        <v>11</v>
      </c>
      <c r="C1386" s="2" t="s">
        <v>12</v>
      </c>
      <c r="D1386" s="2" t="s">
        <v>606</v>
      </c>
      <c r="E1386" s="7">
        <v>66.94</v>
      </c>
      <c r="F1386" s="2">
        <v>7</v>
      </c>
      <c r="G1386" s="7">
        <v>214.6</v>
      </c>
      <c r="H1386" s="2" t="s">
        <v>491</v>
      </c>
      <c r="I1386" s="2" t="s">
        <v>35</v>
      </c>
      <c r="J1386" s="2" t="s">
        <v>87</v>
      </c>
      <c r="K1386" s="2" t="s">
        <v>17</v>
      </c>
      <c r="L1386" s="7">
        <f>Table3[[#This Row],[Revenue]]-Table3[[#This Row],[Ad Spend]]</f>
        <v>147.66</v>
      </c>
      <c r="M1386" s="11">
        <v>130.63</v>
      </c>
    </row>
    <row r="1387" spans="1:13" ht="15.75" customHeight="1" x14ac:dyDescent="0.3">
      <c r="A1387" s="4" t="s">
        <v>502</v>
      </c>
      <c r="B1387">
        <f t="shared" si="21"/>
        <v>12</v>
      </c>
      <c r="C1387" s="2" t="s">
        <v>63</v>
      </c>
      <c r="D1387" s="2" t="s">
        <v>1338</v>
      </c>
      <c r="E1387" s="7">
        <v>16.309999999999999</v>
      </c>
      <c r="F1387" s="2">
        <v>0</v>
      </c>
      <c r="G1387" s="7">
        <v>401.74</v>
      </c>
      <c r="H1387" s="2" t="s">
        <v>279</v>
      </c>
      <c r="I1387" s="2" t="s">
        <v>15</v>
      </c>
      <c r="J1387" s="2" t="s">
        <v>16</v>
      </c>
      <c r="K1387" s="2" t="s">
        <v>46</v>
      </c>
      <c r="L1387" s="7">
        <f>Table3[[#This Row],[Revenue]]-Table3[[#This Row],[Ad Spend]]</f>
        <v>385.43</v>
      </c>
      <c r="M1387" s="11">
        <v>131.18</v>
      </c>
    </row>
    <row r="1388" spans="1:13" ht="15.75" customHeight="1" x14ac:dyDescent="0.3">
      <c r="A1388" s="4" t="s">
        <v>676</v>
      </c>
      <c r="B1388">
        <f t="shared" si="21"/>
        <v>4</v>
      </c>
      <c r="C1388" s="2" t="s">
        <v>32</v>
      </c>
      <c r="D1388" s="2" t="s">
        <v>223</v>
      </c>
      <c r="E1388" s="7">
        <v>40.630000000000003</v>
      </c>
      <c r="F1388" s="2">
        <v>5</v>
      </c>
      <c r="G1388" s="7">
        <v>497.53</v>
      </c>
      <c r="H1388" s="2" t="s">
        <v>1339</v>
      </c>
      <c r="I1388" s="2" t="s">
        <v>15</v>
      </c>
      <c r="J1388" s="2" t="s">
        <v>25</v>
      </c>
      <c r="K1388" s="2" t="s">
        <v>17</v>
      </c>
      <c r="L1388" s="7">
        <f>Table3[[#This Row],[Revenue]]-Table3[[#This Row],[Ad Spend]]</f>
        <v>456.9</v>
      </c>
      <c r="M1388" s="11">
        <v>224.71</v>
      </c>
    </row>
    <row r="1389" spans="1:13" ht="15.75" customHeight="1" x14ac:dyDescent="0.3">
      <c r="A1389" s="4" t="s">
        <v>126</v>
      </c>
      <c r="B1389">
        <f t="shared" si="21"/>
        <v>11</v>
      </c>
      <c r="C1389" s="2" t="s">
        <v>32</v>
      </c>
      <c r="D1389" s="2" t="s">
        <v>1340</v>
      </c>
      <c r="E1389" s="7">
        <v>144.35</v>
      </c>
      <c r="F1389" s="2">
        <v>3</v>
      </c>
      <c r="G1389" s="7">
        <v>97.69</v>
      </c>
      <c r="H1389" s="2" t="s">
        <v>235</v>
      </c>
      <c r="I1389" s="2" t="s">
        <v>15</v>
      </c>
      <c r="J1389" s="2" t="s">
        <v>25</v>
      </c>
      <c r="K1389" s="2" t="s">
        <v>17</v>
      </c>
      <c r="L1389" s="7">
        <f>Table3[[#This Row],[Revenue]]-Table3[[#This Row],[Ad Spend]]</f>
        <v>-46.66</v>
      </c>
      <c r="M1389" s="11">
        <v>131.46</v>
      </c>
    </row>
    <row r="1390" spans="1:13" ht="15.75" customHeight="1" x14ac:dyDescent="0.3">
      <c r="A1390" s="4" t="s">
        <v>287</v>
      </c>
      <c r="B1390">
        <f t="shared" si="21"/>
        <v>2</v>
      </c>
      <c r="C1390" s="2" t="s">
        <v>12</v>
      </c>
      <c r="D1390" s="2" t="s">
        <v>682</v>
      </c>
      <c r="E1390" s="7">
        <v>16.489999999999998</v>
      </c>
      <c r="F1390" s="2">
        <v>4</v>
      </c>
      <c r="G1390" s="7">
        <v>205.29</v>
      </c>
      <c r="H1390" s="2" t="s">
        <v>104</v>
      </c>
      <c r="I1390" s="2" t="s">
        <v>15</v>
      </c>
      <c r="J1390" s="2" t="s">
        <v>87</v>
      </c>
      <c r="K1390" s="2" t="s">
        <v>17</v>
      </c>
      <c r="L1390" s="7">
        <f>Table3[[#This Row],[Revenue]]-Table3[[#This Row],[Ad Spend]]</f>
        <v>188.79999999999998</v>
      </c>
      <c r="M1390" s="11">
        <v>120.08</v>
      </c>
    </row>
    <row r="1391" spans="1:13" ht="15.75" customHeight="1" x14ac:dyDescent="0.3">
      <c r="A1391" s="4" t="s">
        <v>241</v>
      </c>
      <c r="B1391">
        <f t="shared" si="21"/>
        <v>12</v>
      </c>
      <c r="C1391" s="2" t="s">
        <v>12</v>
      </c>
      <c r="D1391" s="2" t="s">
        <v>1341</v>
      </c>
      <c r="E1391" s="7">
        <v>131.81</v>
      </c>
      <c r="F1391" s="2">
        <v>1</v>
      </c>
      <c r="G1391" s="7">
        <v>448.2</v>
      </c>
      <c r="H1391" s="2" t="s">
        <v>744</v>
      </c>
      <c r="I1391" s="2" t="s">
        <v>15</v>
      </c>
      <c r="J1391" s="2" t="s">
        <v>36</v>
      </c>
      <c r="K1391" s="2" t="s">
        <v>17</v>
      </c>
      <c r="L1391" s="7">
        <f>Table3[[#This Row],[Revenue]]-Table3[[#This Row],[Ad Spend]]</f>
        <v>316.39</v>
      </c>
      <c r="M1391" s="11">
        <v>125.48</v>
      </c>
    </row>
    <row r="1392" spans="1:13" ht="15.75" customHeight="1" x14ac:dyDescent="0.3">
      <c r="A1392" s="4" t="s">
        <v>338</v>
      </c>
      <c r="B1392">
        <f t="shared" si="21"/>
        <v>4</v>
      </c>
      <c r="C1392" s="2" t="s">
        <v>12</v>
      </c>
      <c r="D1392" s="2" t="s">
        <v>1103</v>
      </c>
      <c r="E1392" s="7">
        <v>95.88</v>
      </c>
      <c r="F1392" s="2">
        <v>0</v>
      </c>
      <c r="G1392" s="7">
        <v>458.15</v>
      </c>
      <c r="H1392" s="2" t="s">
        <v>42</v>
      </c>
      <c r="I1392" s="2" t="s">
        <v>35</v>
      </c>
      <c r="J1392" s="2" t="s">
        <v>53</v>
      </c>
      <c r="K1392" s="2" t="s">
        <v>46</v>
      </c>
      <c r="L1392" s="7">
        <f>Table3[[#This Row],[Revenue]]-Table3[[#This Row],[Ad Spend]]</f>
        <v>362.27</v>
      </c>
      <c r="M1392" s="11">
        <v>122.33</v>
      </c>
    </row>
    <row r="1393" spans="1:13" ht="15.75" customHeight="1" x14ac:dyDescent="0.3">
      <c r="A1393" s="4" t="s">
        <v>485</v>
      </c>
      <c r="B1393">
        <f t="shared" si="21"/>
        <v>12</v>
      </c>
      <c r="C1393" s="2" t="s">
        <v>63</v>
      </c>
      <c r="D1393" s="2" t="s">
        <v>414</v>
      </c>
      <c r="E1393" s="7">
        <v>92.56</v>
      </c>
      <c r="F1393" s="2">
        <v>5</v>
      </c>
      <c r="G1393" s="7">
        <v>472.85</v>
      </c>
      <c r="H1393" s="2" t="s">
        <v>698</v>
      </c>
      <c r="I1393" s="2" t="s">
        <v>29</v>
      </c>
      <c r="J1393" s="2" t="s">
        <v>16</v>
      </c>
      <c r="K1393" s="2" t="s">
        <v>17</v>
      </c>
      <c r="L1393" s="7">
        <f>Table3[[#This Row],[Revenue]]-Table3[[#This Row],[Ad Spend]]</f>
        <v>380.29</v>
      </c>
      <c r="M1393" s="11">
        <v>191.04</v>
      </c>
    </row>
    <row r="1394" spans="1:13" ht="15.75" customHeight="1" x14ac:dyDescent="0.3">
      <c r="A1394" s="4" t="s">
        <v>656</v>
      </c>
      <c r="B1394">
        <f t="shared" si="21"/>
        <v>4</v>
      </c>
      <c r="C1394" s="2" t="s">
        <v>32</v>
      </c>
      <c r="D1394" s="2" t="s">
        <v>626</v>
      </c>
      <c r="E1394" s="7">
        <v>12.09</v>
      </c>
      <c r="F1394" s="2">
        <v>6</v>
      </c>
      <c r="G1394" s="7">
        <v>110.99</v>
      </c>
      <c r="H1394" s="2" t="s">
        <v>866</v>
      </c>
      <c r="I1394" s="2" t="s">
        <v>15</v>
      </c>
      <c r="J1394" s="2" t="s">
        <v>53</v>
      </c>
      <c r="K1394" s="2" t="s">
        <v>17</v>
      </c>
      <c r="L1394" s="7">
        <f>Table3[[#This Row],[Revenue]]-Table3[[#This Row],[Ad Spend]]</f>
        <v>98.899999999999991</v>
      </c>
      <c r="M1394" s="11">
        <v>123.36</v>
      </c>
    </row>
    <row r="1395" spans="1:13" ht="15.75" customHeight="1" x14ac:dyDescent="0.3">
      <c r="A1395" s="4" t="s">
        <v>115</v>
      </c>
      <c r="B1395">
        <f t="shared" si="21"/>
        <v>2</v>
      </c>
      <c r="C1395" s="2" t="s">
        <v>63</v>
      </c>
      <c r="D1395" s="2" t="s">
        <v>146</v>
      </c>
      <c r="E1395" s="7">
        <v>101.02</v>
      </c>
      <c r="F1395" s="2">
        <v>7</v>
      </c>
      <c r="G1395" s="7">
        <v>294.85000000000002</v>
      </c>
      <c r="H1395" s="2" t="s">
        <v>213</v>
      </c>
      <c r="I1395" s="2" t="s">
        <v>15</v>
      </c>
      <c r="J1395" s="2" t="s">
        <v>25</v>
      </c>
      <c r="K1395" s="2" t="s">
        <v>17</v>
      </c>
      <c r="L1395" s="7">
        <f>Table3[[#This Row],[Revenue]]-Table3[[#This Row],[Ad Spend]]</f>
        <v>193.83000000000004</v>
      </c>
      <c r="M1395" s="11">
        <v>113.01</v>
      </c>
    </row>
    <row r="1396" spans="1:13" ht="15.75" customHeight="1" x14ac:dyDescent="0.3">
      <c r="A1396" s="4" t="s">
        <v>214</v>
      </c>
      <c r="B1396">
        <f t="shared" si="21"/>
        <v>3</v>
      </c>
      <c r="C1396" s="2" t="s">
        <v>12</v>
      </c>
      <c r="D1396" s="2" t="s">
        <v>1135</v>
      </c>
      <c r="E1396" s="7">
        <v>17.27</v>
      </c>
      <c r="F1396" s="2">
        <v>10</v>
      </c>
      <c r="G1396" s="7">
        <v>198.81</v>
      </c>
      <c r="H1396" s="2" t="s">
        <v>956</v>
      </c>
      <c r="I1396" s="2" t="s">
        <v>15</v>
      </c>
      <c r="J1396" s="2" t="s">
        <v>87</v>
      </c>
      <c r="K1396" s="2" t="s">
        <v>17</v>
      </c>
      <c r="L1396" s="7">
        <f>Table3[[#This Row],[Revenue]]-Table3[[#This Row],[Ad Spend]]</f>
        <v>181.54</v>
      </c>
      <c r="M1396" s="11">
        <v>110.14</v>
      </c>
    </row>
    <row r="1397" spans="1:13" ht="15.75" customHeight="1" x14ac:dyDescent="0.3">
      <c r="A1397" s="4" t="s">
        <v>181</v>
      </c>
      <c r="B1397">
        <f t="shared" si="21"/>
        <v>11</v>
      </c>
      <c r="C1397" s="2" t="s">
        <v>32</v>
      </c>
      <c r="D1397" s="2" t="s">
        <v>746</v>
      </c>
      <c r="E1397" s="7">
        <v>116</v>
      </c>
      <c r="F1397" s="2">
        <v>0</v>
      </c>
      <c r="G1397" s="7">
        <v>496.86</v>
      </c>
      <c r="H1397" s="2" t="s">
        <v>608</v>
      </c>
      <c r="I1397" s="2" t="s">
        <v>15</v>
      </c>
      <c r="J1397" s="2" t="s">
        <v>87</v>
      </c>
      <c r="K1397" s="2" t="s">
        <v>46</v>
      </c>
      <c r="L1397" s="7">
        <f>Table3[[#This Row],[Revenue]]-Table3[[#This Row],[Ad Spend]]</f>
        <v>380.86</v>
      </c>
      <c r="M1397" s="11">
        <v>176.23</v>
      </c>
    </row>
    <row r="1398" spans="1:13" ht="15.75" customHeight="1" x14ac:dyDescent="0.3">
      <c r="A1398" s="4" t="s">
        <v>312</v>
      </c>
      <c r="B1398">
        <f t="shared" si="21"/>
        <v>3</v>
      </c>
      <c r="C1398" s="2" t="s">
        <v>12</v>
      </c>
      <c r="D1398" s="2" t="s">
        <v>547</v>
      </c>
      <c r="E1398" s="7">
        <v>102.07</v>
      </c>
      <c r="F1398" s="2">
        <v>3</v>
      </c>
      <c r="G1398" s="7">
        <v>148.21</v>
      </c>
      <c r="H1398" s="2" t="s">
        <v>493</v>
      </c>
      <c r="I1398" s="2" t="s">
        <v>35</v>
      </c>
      <c r="J1398" s="2" t="s">
        <v>30</v>
      </c>
      <c r="K1398" s="2" t="s">
        <v>17</v>
      </c>
      <c r="L1398" s="7">
        <f>Table3[[#This Row],[Revenue]]-Table3[[#This Row],[Ad Spend]]</f>
        <v>46.140000000000015</v>
      </c>
      <c r="M1398" s="11">
        <v>90.62</v>
      </c>
    </row>
    <row r="1399" spans="1:13" ht="15.75" customHeight="1" x14ac:dyDescent="0.3">
      <c r="A1399" s="4" t="s">
        <v>875</v>
      </c>
      <c r="B1399">
        <f t="shared" si="21"/>
        <v>12</v>
      </c>
      <c r="C1399" s="2" t="s">
        <v>32</v>
      </c>
      <c r="D1399" s="2" t="s">
        <v>902</v>
      </c>
      <c r="E1399" s="7">
        <v>60.95</v>
      </c>
      <c r="F1399" s="2">
        <v>5</v>
      </c>
      <c r="G1399" s="7">
        <v>455.01</v>
      </c>
      <c r="H1399" s="2" t="s">
        <v>429</v>
      </c>
      <c r="I1399" s="2" t="s">
        <v>15</v>
      </c>
      <c r="J1399" s="2" t="s">
        <v>30</v>
      </c>
      <c r="K1399" s="2" t="s">
        <v>17</v>
      </c>
      <c r="L1399" s="7">
        <f>Table3[[#This Row],[Revenue]]-Table3[[#This Row],[Ad Spend]]</f>
        <v>394.06</v>
      </c>
      <c r="M1399" s="11">
        <v>171.07</v>
      </c>
    </row>
    <row r="1400" spans="1:13" ht="15.75" customHeight="1" x14ac:dyDescent="0.3">
      <c r="A1400" s="4" t="s">
        <v>189</v>
      </c>
      <c r="B1400">
        <f t="shared" si="21"/>
        <v>2</v>
      </c>
      <c r="C1400" s="2" t="s">
        <v>12</v>
      </c>
      <c r="D1400" s="2" t="s">
        <v>986</v>
      </c>
      <c r="E1400" s="7">
        <v>71.66</v>
      </c>
      <c r="F1400" s="2">
        <v>2</v>
      </c>
      <c r="G1400" s="7">
        <v>68.03</v>
      </c>
      <c r="H1400" s="2" t="s">
        <v>1342</v>
      </c>
      <c r="I1400" s="2" t="s">
        <v>29</v>
      </c>
      <c r="J1400" s="2" t="s">
        <v>87</v>
      </c>
      <c r="K1400" s="2" t="s">
        <v>17</v>
      </c>
      <c r="L1400" s="7">
        <f>Table3[[#This Row],[Revenue]]-Table3[[#This Row],[Ad Spend]]</f>
        <v>-3.6299999999999955</v>
      </c>
      <c r="M1400" s="11">
        <v>44.79</v>
      </c>
    </row>
    <row r="1401" spans="1:13" ht="15.75" customHeight="1" x14ac:dyDescent="0.3">
      <c r="A1401" s="4" t="s">
        <v>365</v>
      </c>
      <c r="B1401">
        <f t="shared" si="21"/>
        <v>11</v>
      </c>
      <c r="C1401" s="2" t="s">
        <v>63</v>
      </c>
      <c r="D1401" s="2" t="s">
        <v>1343</v>
      </c>
      <c r="E1401" s="7">
        <v>35.26</v>
      </c>
      <c r="F1401" s="2">
        <v>10</v>
      </c>
      <c r="G1401" s="7">
        <v>192.12</v>
      </c>
      <c r="H1401" s="2" t="s">
        <v>681</v>
      </c>
      <c r="I1401" s="2" t="s">
        <v>29</v>
      </c>
      <c r="J1401" s="2" t="s">
        <v>30</v>
      </c>
      <c r="K1401" s="2" t="s">
        <v>17</v>
      </c>
      <c r="L1401" s="7">
        <f>Table3[[#This Row],[Revenue]]-Table3[[#This Row],[Ad Spend]]</f>
        <v>156.86000000000001</v>
      </c>
      <c r="M1401" s="11">
        <v>154.38999999999999</v>
      </c>
    </row>
    <row r="1402" spans="1:13" ht="15.75" customHeight="1" x14ac:dyDescent="0.3">
      <c r="A1402" s="4" t="s">
        <v>40</v>
      </c>
      <c r="B1402">
        <f t="shared" si="21"/>
        <v>3</v>
      </c>
      <c r="C1402" s="2" t="s">
        <v>19</v>
      </c>
      <c r="D1402" s="2" t="s">
        <v>487</v>
      </c>
      <c r="E1402" s="7">
        <v>108.37</v>
      </c>
      <c r="F1402" s="2">
        <v>5</v>
      </c>
      <c r="G1402" s="7">
        <v>299.20999999999998</v>
      </c>
      <c r="H1402" s="2" t="s">
        <v>52</v>
      </c>
      <c r="I1402" s="2" t="s">
        <v>29</v>
      </c>
      <c r="J1402" s="2" t="s">
        <v>16</v>
      </c>
      <c r="K1402" s="2" t="s">
        <v>17</v>
      </c>
      <c r="L1402" s="7">
        <f>Table3[[#This Row],[Revenue]]-Table3[[#This Row],[Ad Spend]]</f>
        <v>190.83999999999997</v>
      </c>
      <c r="M1402" s="11">
        <v>125.16</v>
      </c>
    </row>
    <row r="1403" spans="1:13" ht="15.75" customHeight="1" x14ac:dyDescent="0.3">
      <c r="A1403" s="4" t="s">
        <v>189</v>
      </c>
      <c r="B1403">
        <f t="shared" si="21"/>
        <v>2</v>
      </c>
      <c r="C1403" s="2" t="s">
        <v>12</v>
      </c>
      <c r="D1403" s="2" t="s">
        <v>1344</v>
      </c>
      <c r="E1403" s="7">
        <v>120.44</v>
      </c>
      <c r="F1403" s="2">
        <v>10</v>
      </c>
      <c r="G1403" s="7">
        <v>34.229999999999997</v>
      </c>
      <c r="H1403" s="2" t="s">
        <v>374</v>
      </c>
      <c r="I1403" s="2" t="s">
        <v>29</v>
      </c>
      <c r="J1403" s="2" t="s">
        <v>87</v>
      </c>
      <c r="K1403" s="2" t="s">
        <v>17</v>
      </c>
      <c r="L1403" s="7">
        <f>Table3[[#This Row],[Revenue]]-Table3[[#This Row],[Ad Spend]]</f>
        <v>-86.210000000000008</v>
      </c>
      <c r="M1403" s="11">
        <v>126.04</v>
      </c>
    </row>
    <row r="1404" spans="1:13" ht="15.75" customHeight="1" x14ac:dyDescent="0.3">
      <c r="A1404" s="4" t="s">
        <v>404</v>
      </c>
      <c r="B1404">
        <f t="shared" si="21"/>
        <v>3</v>
      </c>
      <c r="C1404" s="2" t="s">
        <v>12</v>
      </c>
      <c r="D1404" s="2" t="s">
        <v>311</v>
      </c>
      <c r="E1404" s="7">
        <v>105.09</v>
      </c>
      <c r="F1404" s="2">
        <v>7</v>
      </c>
      <c r="G1404" s="7">
        <v>462.2</v>
      </c>
      <c r="H1404" s="2" t="s">
        <v>1345</v>
      </c>
      <c r="I1404" s="2" t="s">
        <v>29</v>
      </c>
      <c r="J1404" s="2" t="s">
        <v>36</v>
      </c>
      <c r="K1404" s="2" t="s">
        <v>17</v>
      </c>
      <c r="L1404" s="7">
        <f>Table3[[#This Row],[Revenue]]-Table3[[#This Row],[Ad Spend]]</f>
        <v>357.11</v>
      </c>
      <c r="M1404" s="11">
        <v>214.31</v>
      </c>
    </row>
    <row r="1405" spans="1:13" ht="15.75" customHeight="1" x14ac:dyDescent="0.3">
      <c r="A1405" s="4" t="s">
        <v>527</v>
      </c>
      <c r="B1405">
        <f t="shared" si="21"/>
        <v>1</v>
      </c>
      <c r="C1405" s="2" t="s">
        <v>32</v>
      </c>
      <c r="D1405" s="2" t="s">
        <v>804</v>
      </c>
      <c r="E1405" s="7">
        <v>63.5</v>
      </c>
      <c r="F1405" s="2">
        <v>10</v>
      </c>
      <c r="G1405" s="7">
        <v>222.05</v>
      </c>
      <c r="H1405" s="2" t="s">
        <v>1346</v>
      </c>
      <c r="I1405" s="2" t="s">
        <v>29</v>
      </c>
      <c r="J1405" s="2" t="s">
        <v>30</v>
      </c>
      <c r="K1405" s="2" t="s">
        <v>17</v>
      </c>
      <c r="L1405" s="7">
        <f>Table3[[#This Row],[Revenue]]-Table3[[#This Row],[Ad Spend]]</f>
        <v>158.55000000000001</v>
      </c>
      <c r="M1405" s="11">
        <v>107.37</v>
      </c>
    </row>
    <row r="1406" spans="1:13" ht="15.75" customHeight="1" x14ac:dyDescent="0.3">
      <c r="A1406" s="4" t="s">
        <v>59</v>
      </c>
      <c r="B1406">
        <f t="shared" si="21"/>
        <v>3</v>
      </c>
      <c r="C1406" s="2" t="s">
        <v>12</v>
      </c>
      <c r="D1406" s="2" t="s">
        <v>863</v>
      </c>
      <c r="E1406" s="7">
        <v>97.46</v>
      </c>
      <c r="F1406" s="2">
        <v>7</v>
      </c>
      <c r="G1406" s="7">
        <v>144.03</v>
      </c>
      <c r="H1406" s="2" t="s">
        <v>225</v>
      </c>
      <c r="I1406" s="2" t="s">
        <v>29</v>
      </c>
      <c r="J1406" s="2" t="s">
        <v>16</v>
      </c>
      <c r="K1406" s="2" t="s">
        <v>17</v>
      </c>
      <c r="L1406" s="7">
        <f>Table3[[#This Row],[Revenue]]-Table3[[#This Row],[Ad Spend]]</f>
        <v>46.570000000000007</v>
      </c>
      <c r="M1406" s="11">
        <v>125.75</v>
      </c>
    </row>
    <row r="1407" spans="1:13" ht="15.75" customHeight="1" x14ac:dyDescent="0.3">
      <c r="A1407" s="4" t="s">
        <v>258</v>
      </c>
      <c r="B1407">
        <f t="shared" si="21"/>
        <v>2</v>
      </c>
      <c r="C1407" s="2" t="s">
        <v>63</v>
      </c>
      <c r="D1407" s="2" t="s">
        <v>937</v>
      </c>
      <c r="E1407" s="7">
        <v>120.29</v>
      </c>
      <c r="F1407" s="2">
        <v>3</v>
      </c>
      <c r="G1407" s="7">
        <v>41.43</v>
      </c>
      <c r="H1407" s="2" t="s">
        <v>240</v>
      </c>
      <c r="I1407" s="2" t="s">
        <v>15</v>
      </c>
      <c r="J1407" s="2" t="s">
        <v>16</v>
      </c>
      <c r="K1407" s="2" t="s">
        <v>17</v>
      </c>
      <c r="L1407" s="7">
        <f>Table3[[#This Row],[Revenue]]-Table3[[#This Row],[Ad Spend]]</f>
        <v>-78.860000000000014</v>
      </c>
      <c r="M1407" s="11">
        <v>150.38</v>
      </c>
    </row>
    <row r="1408" spans="1:13" ht="15.75" customHeight="1" x14ac:dyDescent="0.3">
      <c r="A1408" s="4" t="s">
        <v>283</v>
      </c>
      <c r="B1408">
        <f t="shared" si="21"/>
        <v>11</v>
      </c>
      <c r="C1408" s="2" t="s">
        <v>19</v>
      </c>
      <c r="D1408" s="2" t="s">
        <v>1347</v>
      </c>
      <c r="E1408" s="7">
        <v>117.76</v>
      </c>
      <c r="F1408" s="2">
        <v>9</v>
      </c>
      <c r="G1408" s="7">
        <v>452.71</v>
      </c>
      <c r="H1408" s="2" t="s">
        <v>240</v>
      </c>
      <c r="I1408" s="2" t="s">
        <v>35</v>
      </c>
      <c r="J1408" s="2" t="s">
        <v>25</v>
      </c>
      <c r="K1408" s="2" t="s">
        <v>17</v>
      </c>
      <c r="L1408" s="7">
        <f>Table3[[#This Row],[Revenue]]-Table3[[#This Row],[Ad Spend]]</f>
        <v>334.95</v>
      </c>
      <c r="M1408" s="11">
        <v>150.31</v>
      </c>
    </row>
    <row r="1409" spans="1:13" ht="15.75" customHeight="1" x14ac:dyDescent="0.3">
      <c r="A1409" s="4" t="s">
        <v>94</v>
      </c>
      <c r="B1409">
        <f t="shared" si="21"/>
        <v>1</v>
      </c>
      <c r="C1409" s="2" t="s">
        <v>63</v>
      </c>
      <c r="D1409" s="2" t="s">
        <v>945</v>
      </c>
      <c r="E1409" s="7">
        <v>41.01</v>
      </c>
      <c r="F1409" s="2">
        <v>6</v>
      </c>
      <c r="G1409" s="7">
        <v>161.32</v>
      </c>
      <c r="H1409" s="2" t="s">
        <v>249</v>
      </c>
      <c r="I1409" s="2" t="s">
        <v>29</v>
      </c>
      <c r="J1409" s="2" t="s">
        <v>36</v>
      </c>
      <c r="K1409" s="2" t="s">
        <v>17</v>
      </c>
      <c r="L1409" s="7">
        <f>Table3[[#This Row],[Revenue]]-Table3[[#This Row],[Ad Spend]]</f>
        <v>120.31</v>
      </c>
      <c r="M1409" s="11">
        <v>114.06</v>
      </c>
    </row>
    <row r="1410" spans="1:13" ht="15.75" customHeight="1" x14ac:dyDescent="0.3">
      <c r="A1410" s="4" t="s">
        <v>74</v>
      </c>
      <c r="B1410">
        <f t="shared" si="21"/>
        <v>11</v>
      </c>
      <c r="C1410" s="2" t="s">
        <v>19</v>
      </c>
      <c r="D1410" s="2" t="s">
        <v>826</v>
      </c>
      <c r="E1410" s="7">
        <v>23.61</v>
      </c>
      <c r="F1410" s="2">
        <v>8</v>
      </c>
      <c r="G1410" s="7">
        <v>45.41</v>
      </c>
      <c r="H1410" s="2" t="s">
        <v>45</v>
      </c>
      <c r="I1410" s="2" t="s">
        <v>35</v>
      </c>
      <c r="J1410" s="2" t="s">
        <v>53</v>
      </c>
      <c r="K1410" s="2" t="s">
        <v>17</v>
      </c>
      <c r="L1410" s="7">
        <f>Table3[[#This Row],[Revenue]]-Table3[[#This Row],[Ad Spend]]</f>
        <v>21.799999999999997</v>
      </c>
      <c r="M1410" s="11">
        <v>120.48</v>
      </c>
    </row>
    <row r="1411" spans="1:13" ht="15.75" customHeight="1" x14ac:dyDescent="0.3">
      <c r="A1411" s="4" t="s">
        <v>478</v>
      </c>
      <c r="B1411">
        <f t="shared" ref="B1411:B1474" si="22">MONTH(A1411)</f>
        <v>3</v>
      </c>
      <c r="C1411" s="2" t="s">
        <v>32</v>
      </c>
      <c r="D1411" s="2" t="s">
        <v>950</v>
      </c>
      <c r="E1411" s="7">
        <v>117.25</v>
      </c>
      <c r="F1411" s="2">
        <v>10</v>
      </c>
      <c r="G1411" s="7">
        <v>26.72</v>
      </c>
      <c r="H1411" s="2" t="s">
        <v>1348</v>
      </c>
      <c r="I1411" s="2" t="s">
        <v>29</v>
      </c>
      <c r="J1411" s="2" t="s">
        <v>30</v>
      </c>
      <c r="K1411" s="2" t="s">
        <v>17</v>
      </c>
      <c r="L1411" s="7">
        <f>Table3[[#This Row],[Revenue]]-Table3[[#This Row],[Ad Spend]]</f>
        <v>-90.53</v>
      </c>
      <c r="M1411" s="11">
        <v>58.7</v>
      </c>
    </row>
    <row r="1412" spans="1:13" ht="15.75" customHeight="1" x14ac:dyDescent="0.3">
      <c r="A1412" s="4" t="s">
        <v>623</v>
      </c>
      <c r="B1412">
        <f t="shared" si="22"/>
        <v>1</v>
      </c>
      <c r="C1412" s="2" t="s">
        <v>32</v>
      </c>
      <c r="D1412" s="2" t="s">
        <v>684</v>
      </c>
      <c r="E1412" s="7">
        <v>130.22999999999999</v>
      </c>
      <c r="F1412" s="2">
        <v>1</v>
      </c>
      <c r="G1412" s="7">
        <v>207.42</v>
      </c>
      <c r="H1412" s="2" t="s">
        <v>201</v>
      </c>
      <c r="I1412" s="2" t="s">
        <v>15</v>
      </c>
      <c r="J1412" s="2" t="s">
        <v>36</v>
      </c>
      <c r="K1412" s="2" t="s">
        <v>17</v>
      </c>
      <c r="L1412" s="7">
        <f>Table3[[#This Row],[Revenue]]-Table3[[#This Row],[Ad Spend]]</f>
        <v>77.19</v>
      </c>
      <c r="M1412" s="11">
        <v>114.89</v>
      </c>
    </row>
    <row r="1413" spans="1:13" ht="15.75" customHeight="1" x14ac:dyDescent="0.3">
      <c r="A1413" s="4" t="s">
        <v>589</v>
      </c>
      <c r="B1413">
        <f t="shared" si="22"/>
        <v>12</v>
      </c>
      <c r="C1413" s="2" t="s">
        <v>19</v>
      </c>
      <c r="D1413" s="2" t="s">
        <v>1349</v>
      </c>
      <c r="E1413" s="7">
        <v>80.08</v>
      </c>
      <c r="F1413" s="2">
        <v>5</v>
      </c>
      <c r="G1413" s="7">
        <v>311.01</v>
      </c>
      <c r="H1413" s="2" t="s">
        <v>284</v>
      </c>
      <c r="I1413" s="2" t="s">
        <v>15</v>
      </c>
      <c r="J1413" s="2" t="s">
        <v>25</v>
      </c>
      <c r="K1413" s="2" t="s">
        <v>17</v>
      </c>
      <c r="L1413" s="7">
        <f>Table3[[#This Row],[Revenue]]-Table3[[#This Row],[Ad Spend]]</f>
        <v>230.93</v>
      </c>
      <c r="M1413" s="11">
        <v>127.46</v>
      </c>
    </row>
    <row r="1414" spans="1:13" ht="15.75" customHeight="1" x14ac:dyDescent="0.3">
      <c r="A1414" s="4" t="s">
        <v>579</v>
      </c>
      <c r="B1414">
        <f t="shared" si="22"/>
        <v>1</v>
      </c>
      <c r="C1414" s="2" t="s">
        <v>32</v>
      </c>
      <c r="D1414" s="2" t="s">
        <v>1350</v>
      </c>
      <c r="E1414" s="7">
        <v>61.79</v>
      </c>
      <c r="F1414" s="2">
        <v>0</v>
      </c>
      <c r="G1414" s="7">
        <v>220.61</v>
      </c>
      <c r="H1414" s="2" t="s">
        <v>1351</v>
      </c>
      <c r="I1414" s="2" t="s">
        <v>29</v>
      </c>
      <c r="J1414" s="2" t="s">
        <v>25</v>
      </c>
      <c r="K1414" s="2" t="s">
        <v>46</v>
      </c>
      <c r="L1414" s="7">
        <f>Table3[[#This Row],[Revenue]]-Table3[[#This Row],[Ad Spend]]</f>
        <v>158.82000000000002</v>
      </c>
      <c r="M1414" s="11">
        <v>140.29</v>
      </c>
    </row>
    <row r="1415" spans="1:13" ht="15.75" customHeight="1" x14ac:dyDescent="0.3">
      <c r="A1415" s="4" t="s">
        <v>159</v>
      </c>
      <c r="B1415">
        <f t="shared" si="22"/>
        <v>2</v>
      </c>
      <c r="C1415" s="2" t="s">
        <v>32</v>
      </c>
      <c r="D1415" s="2" t="s">
        <v>1350</v>
      </c>
      <c r="E1415" s="7">
        <v>148.26</v>
      </c>
      <c r="F1415" s="2">
        <v>2</v>
      </c>
      <c r="G1415" s="7">
        <v>138.15</v>
      </c>
      <c r="H1415" s="2" t="s">
        <v>286</v>
      </c>
      <c r="I1415" s="2" t="s">
        <v>35</v>
      </c>
      <c r="J1415" s="2" t="s">
        <v>87</v>
      </c>
      <c r="K1415" s="2" t="s">
        <v>17</v>
      </c>
      <c r="L1415" s="7">
        <f>Table3[[#This Row],[Revenue]]-Table3[[#This Row],[Ad Spend]]</f>
        <v>-10.109999999999985</v>
      </c>
      <c r="M1415" s="11">
        <v>114.1</v>
      </c>
    </row>
    <row r="1416" spans="1:13" ht="15.75" customHeight="1" x14ac:dyDescent="0.3">
      <c r="A1416" s="4" t="s">
        <v>295</v>
      </c>
      <c r="B1416">
        <f t="shared" si="22"/>
        <v>12</v>
      </c>
      <c r="C1416" s="2" t="s">
        <v>19</v>
      </c>
      <c r="D1416" s="2" t="s">
        <v>462</v>
      </c>
      <c r="E1416" s="7">
        <v>35.68</v>
      </c>
      <c r="F1416" s="2">
        <v>8</v>
      </c>
      <c r="G1416" s="7">
        <v>469.79</v>
      </c>
      <c r="H1416" s="2" t="s">
        <v>364</v>
      </c>
      <c r="I1416" s="2" t="s">
        <v>35</v>
      </c>
      <c r="J1416" s="2" t="s">
        <v>30</v>
      </c>
      <c r="K1416" s="2" t="s">
        <v>17</v>
      </c>
      <c r="L1416" s="7">
        <f>Table3[[#This Row],[Revenue]]-Table3[[#This Row],[Ad Spend]]</f>
        <v>434.11</v>
      </c>
      <c r="M1416" s="11">
        <v>123.64</v>
      </c>
    </row>
    <row r="1417" spans="1:13" ht="15.75" customHeight="1" x14ac:dyDescent="0.3">
      <c r="A1417" s="4" t="s">
        <v>1061</v>
      </c>
      <c r="B1417">
        <f t="shared" si="22"/>
        <v>4</v>
      </c>
      <c r="C1417" s="2" t="s">
        <v>32</v>
      </c>
      <c r="D1417" s="2" t="s">
        <v>1352</v>
      </c>
      <c r="E1417" s="7">
        <v>134.56</v>
      </c>
      <c r="F1417" s="2">
        <v>7</v>
      </c>
      <c r="G1417" s="7">
        <v>45.57</v>
      </c>
      <c r="H1417" s="2" t="s">
        <v>112</v>
      </c>
      <c r="I1417" s="2" t="s">
        <v>35</v>
      </c>
      <c r="J1417" s="2" t="s">
        <v>16</v>
      </c>
      <c r="K1417" s="2" t="s">
        <v>17</v>
      </c>
      <c r="L1417" s="7">
        <f>Table3[[#This Row],[Revenue]]-Table3[[#This Row],[Ad Spend]]</f>
        <v>-88.990000000000009</v>
      </c>
      <c r="M1417" s="11">
        <v>121.32</v>
      </c>
    </row>
    <row r="1418" spans="1:13" ht="15.75" customHeight="1" x14ac:dyDescent="0.3">
      <c r="A1418" s="4" t="s">
        <v>834</v>
      </c>
      <c r="B1418">
        <f t="shared" si="22"/>
        <v>11</v>
      </c>
      <c r="C1418" s="2" t="s">
        <v>63</v>
      </c>
      <c r="D1418" s="2" t="s">
        <v>361</v>
      </c>
      <c r="E1418" s="7">
        <v>42.62</v>
      </c>
      <c r="F1418" s="2">
        <v>8</v>
      </c>
      <c r="G1418" s="7">
        <v>468.3</v>
      </c>
      <c r="H1418" s="2" t="s">
        <v>1353</v>
      </c>
      <c r="I1418" s="2" t="s">
        <v>15</v>
      </c>
      <c r="J1418" s="2" t="s">
        <v>25</v>
      </c>
      <c r="K1418" s="2" t="s">
        <v>17</v>
      </c>
      <c r="L1418" s="7">
        <f>Table3[[#This Row],[Revenue]]-Table3[[#This Row],[Ad Spend]]</f>
        <v>425.68</v>
      </c>
      <c r="M1418" s="11">
        <v>155.46</v>
      </c>
    </row>
    <row r="1419" spans="1:13" ht="15.75" customHeight="1" x14ac:dyDescent="0.3">
      <c r="A1419" s="4" t="s">
        <v>133</v>
      </c>
      <c r="B1419">
        <f t="shared" si="22"/>
        <v>3</v>
      </c>
      <c r="C1419" s="2" t="s">
        <v>32</v>
      </c>
      <c r="D1419" s="2" t="s">
        <v>966</v>
      </c>
      <c r="E1419" s="7">
        <v>64.12</v>
      </c>
      <c r="F1419" s="2">
        <v>4</v>
      </c>
      <c r="G1419" s="7">
        <v>435.39</v>
      </c>
      <c r="H1419" s="2" t="s">
        <v>903</v>
      </c>
      <c r="I1419" s="2" t="s">
        <v>35</v>
      </c>
      <c r="J1419" s="2" t="s">
        <v>30</v>
      </c>
      <c r="K1419" s="2" t="s">
        <v>17</v>
      </c>
      <c r="L1419" s="7">
        <f>Table3[[#This Row],[Revenue]]-Table3[[#This Row],[Ad Spend]]</f>
        <v>371.27</v>
      </c>
      <c r="M1419" s="11">
        <v>150.35</v>
      </c>
    </row>
    <row r="1420" spans="1:13" ht="15.75" customHeight="1" x14ac:dyDescent="0.3">
      <c r="A1420" s="4" t="s">
        <v>22</v>
      </c>
      <c r="B1420">
        <f t="shared" si="22"/>
        <v>4</v>
      </c>
      <c r="C1420" s="2" t="s">
        <v>19</v>
      </c>
      <c r="D1420" s="2" t="s">
        <v>307</v>
      </c>
      <c r="E1420" s="7">
        <v>112.73</v>
      </c>
      <c r="F1420" s="2">
        <v>7</v>
      </c>
      <c r="G1420" s="7">
        <v>305.73</v>
      </c>
      <c r="H1420" s="2" t="s">
        <v>96</v>
      </c>
      <c r="I1420" s="2" t="s">
        <v>29</v>
      </c>
      <c r="J1420" s="2" t="s">
        <v>87</v>
      </c>
      <c r="K1420" s="2" t="s">
        <v>17</v>
      </c>
      <c r="L1420" s="7">
        <f>Table3[[#This Row],[Revenue]]-Table3[[#This Row],[Ad Spend]]</f>
        <v>193</v>
      </c>
      <c r="M1420" s="11">
        <v>131.55000000000001</v>
      </c>
    </row>
    <row r="1421" spans="1:13" ht="15.75" customHeight="1" x14ac:dyDescent="0.3">
      <c r="A1421" s="4" t="s">
        <v>511</v>
      </c>
      <c r="B1421">
        <f t="shared" si="22"/>
        <v>12</v>
      </c>
      <c r="C1421" s="2" t="s">
        <v>63</v>
      </c>
      <c r="D1421" s="2" t="s">
        <v>627</v>
      </c>
      <c r="E1421" s="7">
        <v>47.75</v>
      </c>
      <c r="F1421" s="2">
        <v>5</v>
      </c>
      <c r="G1421" s="7">
        <v>167.96</v>
      </c>
      <c r="H1421" s="2" t="s">
        <v>42</v>
      </c>
      <c r="I1421" s="2" t="s">
        <v>35</v>
      </c>
      <c r="J1421" s="2" t="s">
        <v>36</v>
      </c>
      <c r="K1421" s="2" t="s">
        <v>17</v>
      </c>
      <c r="L1421" s="7">
        <f>Table3[[#This Row],[Revenue]]-Table3[[#This Row],[Ad Spend]]</f>
        <v>120.21000000000001</v>
      </c>
      <c r="M1421" s="11">
        <v>114.91</v>
      </c>
    </row>
    <row r="1422" spans="1:13" ht="15.75" customHeight="1" x14ac:dyDescent="0.3">
      <c r="A1422" s="4" t="s">
        <v>368</v>
      </c>
      <c r="B1422">
        <f t="shared" si="22"/>
        <v>3</v>
      </c>
      <c r="C1422" s="2" t="s">
        <v>63</v>
      </c>
      <c r="D1422" s="2" t="s">
        <v>1040</v>
      </c>
      <c r="E1422" s="7">
        <v>15.25</v>
      </c>
      <c r="F1422" s="2">
        <v>3</v>
      </c>
      <c r="G1422" s="7">
        <v>255.52</v>
      </c>
      <c r="H1422" s="2" t="s">
        <v>52</v>
      </c>
      <c r="I1422" s="2" t="s">
        <v>15</v>
      </c>
      <c r="J1422" s="2" t="s">
        <v>25</v>
      </c>
      <c r="K1422" s="2" t="s">
        <v>17</v>
      </c>
      <c r="L1422" s="7">
        <f>Table3[[#This Row],[Revenue]]-Table3[[#This Row],[Ad Spend]]</f>
        <v>240.27</v>
      </c>
      <c r="M1422" s="11">
        <v>127.63</v>
      </c>
    </row>
    <row r="1423" spans="1:13" ht="15.75" customHeight="1" x14ac:dyDescent="0.3">
      <c r="A1423" s="4" t="s">
        <v>184</v>
      </c>
      <c r="B1423">
        <f t="shared" si="22"/>
        <v>3</v>
      </c>
      <c r="C1423" s="2" t="s">
        <v>19</v>
      </c>
      <c r="D1423" s="2" t="s">
        <v>419</v>
      </c>
      <c r="E1423" s="7">
        <v>43.08</v>
      </c>
      <c r="F1423" s="2">
        <v>8</v>
      </c>
      <c r="G1423" s="7">
        <v>493.47</v>
      </c>
      <c r="H1423" s="2" t="s">
        <v>235</v>
      </c>
      <c r="I1423" s="2" t="s">
        <v>15</v>
      </c>
      <c r="J1423" s="2" t="s">
        <v>25</v>
      </c>
      <c r="K1423" s="2" t="s">
        <v>17</v>
      </c>
      <c r="L1423" s="7">
        <f>Table3[[#This Row],[Revenue]]-Table3[[#This Row],[Ad Spend]]</f>
        <v>450.39000000000004</v>
      </c>
      <c r="M1423" s="11">
        <v>127.04</v>
      </c>
    </row>
    <row r="1424" spans="1:13" ht="15.75" customHeight="1" x14ac:dyDescent="0.3">
      <c r="A1424" s="4" t="s">
        <v>11</v>
      </c>
      <c r="B1424">
        <f t="shared" si="22"/>
        <v>1</v>
      </c>
      <c r="C1424" s="2" t="s">
        <v>63</v>
      </c>
      <c r="D1424" s="2" t="s">
        <v>807</v>
      </c>
      <c r="E1424" s="7">
        <v>121.88</v>
      </c>
      <c r="F1424" s="2">
        <v>5</v>
      </c>
      <c r="G1424" s="7">
        <v>340.24</v>
      </c>
      <c r="H1424" s="2" t="s">
        <v>597</v>
      </c>
      <c r="I1424" s="2" t="s">
        <v>29</v>
      </c>
      <c r="J1424" s="2" t="s">
        <v>30</v>
      </c>
      <c r="K1424" s="2" t="s">
        <v>17</v>
      </c>
      <c r="L1424" s="7">
        <f>Table3[[#This Row],[Revenue]]-Table3[[#This Row],[Ad Spend]]</f>
        <v>218.36</v>
      </c>
      <c r="M1424" s="11">
        <v>118.97</v>
      </c>
    </row>
    <row r="1425" spans="1:13" ht="15.75" customHeight="1" x14ac:dyDescent="0.3">
      <c r="A1425" s="4" t="s">
        <v>421</v>
      </c>
      <c r="B1425">
        <f t="shared" si="22"/>
        <v>11</v>
      </c>
      <c r="C1425" s="2" t="s">
        <v>63</v>
      </c>
      <c r="D1425" s="2" t="s">
        <v>541</v>
      </c>
      <c r="E1425" s="7">
        <v>75.89</v>
      </c>
      <c r="F1425" s="2">
        <v>4</v>
      </c>
      <c r="G1425" s="7">
        <v>84.06</v>
      </c>
      <c r="H1425" s="2" t="s">
        <v>879</v>
      </c>
      <c r="I1425" s="2" t="s">
        <v>35</v>
      </c>
      <c r="J1425" s="2" t="s">
        <v>16</v>
      </c>
      <c r="K1425" s="2" t="s">
        <v>17</v>
      </c>
      <c r="L1425" s="7">
        <f>Table3[[#This Row],[Revenue]]-Table3[[#This Row],[Ad Spend]]</f>
        <v>8.1700000000000017</v>
      </c>
      <c r="M1425" s="11">
        <v>139.1</v>
      </c>
    </row>
    <row r="1426" spans="1:13" ht="15.75" customHeight="1" x14ac:dyDescent="0.3">
      <c r="A1426" s="4" t="s">
        <v>205</v>
      </c>
      <c r="B1426">
        <f t="shared" si="22"/>
        <v>2</v>
      </c>
      <c r="C1426" s="2" t="s">
        <v>12</v>
      </c>
      <c r="D1426" s="2" t="s">
        <v>1230</v>
      </c>
      <c r="E1426" s="7">
        <v>135.9</v>
      </c>
      <c r="F1426" s="2">
        <v>3</v>
      </c>
      <c r="G1426" s="7">
        <v>44.8</v>
      </c>
      <c r="H1426" s="2" t="s">
        <v>104</v>
      </c>
      <c r="I1426" s="2" t="s">
        <v>35</v>
      </c>
      <c r="J1426" s="2" t="s">
        <v>30</v>
      </c>
      <c r="K1426" s="2" t="s">
        <v>17</v>
      </c>
      <c r="L1426" s="7">
        <f>Table3[[#This Row],[Revenue]]-Table3[[#This Row],[Ad Spend]]</f>
        <v>-91.100000000000009</v>
      </c>
      <c r="M1426" s="11">
        <v>119.28</v>
      </c>
    </row>
    <row r="1427" spans="1:13" ht="15.75" customHeight="1" x14ac:dyDescent="0.3">
      <c r="A1427" s="4" t="s">
        <v>277</v>
      </c>
      <c r="B1427">
        <f t="shared" si="22"/>
        <v>2</v>
      </c>
      <c r="C1427" s="2" t="s">
        <v>12</v>
      </c>
      <c r="D1427" s="2" t="s">
        <v>1070</v>
      </c>
      <c r="E1427" s="7">
        <v>17.86</v>
      </c>
      <c r="F1427" s="2">
        <v>2</v>
      </c>
      <c r="G1427" s="7">
        <v>253.6</v>
      </c>
      <c r="H1427" s="2" t="s">
        <v>949</v>
      </c>
      <c r="I1427" s="2" t="s">
        <v>29</v>
      </c>
      <c r="J1427" s="2" t="s">
        <v>53</v>
      </c>
      <c r="K1427" s="2" t="s">
        <v>17</v>
      </c>
      <c r="L1427" s="7">
        <f>Table3[[#This Row],[Revenue]]-Table3[[#This Row],[Ad Spend]]</f>
        <v>235.74</v>
      </c>
      <c r="M1427" s="11">
        <v>142.87</v>
      </c>
    </row>
    <row r="1428" spans="1:13" ht="15.75" customHeight="1" x14ac:dyDescent="0.3">
      <c r="A1428" s="4" t="s">
        <v>115</v>
      </c>
      <c r="B1428">
        <f t="shared" si="22"/>
        <v>2</v>
      </c>
      <c r="C1428" s="2" t="s">
        <v>19</v>
      </c>
      <c r="D1428" s="2" t="s">
        <v>1350</v>
      </c>
      <c r="E1428" s="7">
        <v>111.95</v>
      </c>
      <c r="F1428" s="2">
        <v>1</v>
      </c>
      <c r="G1428" s="7">
        <v>101.58</v>
      </c>
      <c r="H1428" s="2" t="s">
        <v>695</v>
      </c>
      <c r="I1428" s="2" t="s">
        <v>29</v>
      </c>
      <c r="J1428" s="2" t="s">
        <v>36</v>
      </c>
      <c r="K1428" s="2" t="s">
        <v>17</v>
      </c>
      <c r="L1428" s="7">
        <f>Table3[[#This Row],[Revenue]]-Table3[[#This Row],[Ad Spend]]</f>
        <v>-10.370000000000005</v>
      </c>
      <c r="M1428" s="11">
        <v>126.02</v>
      </c>
    </row>
    <row r="1429" spans="1:13" ht="15.75" customHeight="1" x14ac:dyDescent="0.3">
      <c r="A1429" s="4" t="s">
        <v>589</v>
      </c>
      <c r="B1429">
        <f t="shared" si="22"/>
        <v>12</v>
      </c>
      <c r="C1429" s="2" t="s">
        <v>19</v>
      </c>
      <c r="D1429" s="2" t="s">
        <v>57</v>
      </c>
      <c r="E1429" s="7">
        <v>32.700000000000003</v>
      </c>
      <c r="F1429" s="2">
        <v>5</v>
      </c>
      <c r="G1429" s="7">
        <v>460.12</v>
      </c>
      <c r="H1429" s="2" t="s">
        <v>681</v>
      </c>
      <c r="I1429" s="2" t="s">
        <v>15</v>
      </c>
      <c r="J1429" s="2" t="s">
        <v>30</v>
      </c>
      <c r="K1429" s="2" t="s">
        <v>17</v>
      </c>
      <c r="L1429" s="7">
        <f>Table3[[#This Row],[Revenue]]-Table3[[#This Row],[Ad Spend]]</f>
        <v>427.42</v>
      </c>
      <c r="M1429" s="11">
        <v>147.59</v>
      </c>
    </row>
    <row r="1430" spans="1:13" ht="15.75" customHeight="1" x14ac:dyDescent="0.3">
      <c r="A1430" s="4" t="s">
        <v>269</v>
      </c>
      <c r="B1430">
        <f t="shared" si="22"/>
        <v>12</v>
      </c>
      <c r="C1430" s="2" t="s">
        <v>32</v>
      </c>
      <c r="D1430" s="2" t="s">
        <v>228</v>
      </c>
      <c r="E1430" s="7">
        <v>143.44999999999999</v>
      </c>
      <c r="F1430" s="2">
        <v>3</v>
      </c>
      <c r="G1430" s="7">
        <v>385.09</v>
      </c>
      <c r="H1430" s="2" t="s">
        <v>310</v>
      </c>
      <c r="I1430" s="2" t="s">
        <v>29</v>
      </c>
      <c r="J1430" s="2" t="s">
        <v>25</v>
      </c>
      <c r="K1430" s="2" t="s">
        <v>17</v>
      </c>
      <c r="L1430" s="7">
        <f>Table3[[#This Row],[Revenue]]-Table3[[#This Row],[Ad Spend]]</f>
        <v>241.64</v>
      </c>
      <c r="M1430" s="11">
        <v>102.26</v>
      </c>
    </row>
    <row r="1431" spans="1:13" ht="15.75" customHeight="1" x14ac:dyDescent="0.3">
      <c r="A1431" s="4" t="s">
        <v>244</v>
      </c>
      <c r="B1431">
        <f t="shared" si="22"/>
        <v>2</v>
      </c>
      <c r="C1431" s="2" t="s">
        <v>12</v>
      </c>
      <c r="D1431" s="2" t="s">
        <v>904</v>
      </c>
      <c r="E1431" s="7">
        <v>121.88</v>
      </c>
      <c r="F1431" s="2">
        <v>1</v>
      </c>
      <c r="G1431" s="7">
        <v>358.96</v>
      </c>
      <c r="H1431" s="2" t="s">
        <v>104</v>
      </c>
      <c r="I1431" s="2" t="s">
        <v>15</v>
      </c>
      <c r="J1431" s="2" t="s">
        <v>30</v>
      </c>
      <c r="K1431" s="2" t="s">
        <v>17</v>
      </c>
      <c r="L1431" s="7">
        <f>Table3[[#This Row],[Revenue]]-Table3[[#This Row],[Ad Spend]]</f>
        <v>237.07999999999998</v>
      </c>
      <c r="M1431" s="11">
        <v>122.13</v>
      </c>
    </row>
    <row r="1432" spans="1:13" ht="15.75" customHeight="1" x14ac:dyDescent="0.3">
      <c r="A1432" s="4" t="s">
        <v>50</v>
      </c>
      <c r="B1432">
        <f t="shared" si="22"/>
        <v>12</v>
      </c>
      <c r="C1432" s="2" t="s">
        <v>32</v>
      </c>
      <c r="D1432" s="2" t="s">
        <v>955</v>
      </c>
      <c r="E1432" s="7">
        <v>115.58</v>
      </c>
      <c r="F1432" s="2">
        <v>0</v>
      </c>
      <c r="G1432" s="7">
        <v>129.59</v>
      </c>
      <c r="H1432" s="2" t="s">
        <v>28</v>
      </c>
      <c r="I1432" s="2" t="s">
        <v>35</v>
      </c>
      <c r="J1432" s="2" t="s">
        <v>87</v>
      </c>
      <c r="K1432" s="2" t="s">
        <v>46</v>
      </c>
      <c r="L1432" s="7">
        <f>Table3[[#This Row],[Revenue]]-Table3[[#This Row],[Ad Spend]]</f>
        <v>14.010000000000005</v>
      </c>
      <c r="M1432" s="11">
        <v>133.86000000000001</v>
      </c>
    </row>
    <row r="1433" spans="1:13" ht="15.75" customHeight="1" x14ac:dyDescent="0.3">
      <c r="A1433" s="4" t="s">
        <v>843</v>
      </c>
      <c r="B1433">
        <f t="shared" si="22"/>
        <v>4</v>
      </c>
      <c r="C1433" s="2" t="s">
        <v>32</v>
      </c>
      <c r="D1433" s="2" t="s">
        <v>682</v>
      </c>
      <c r="E1433" s="7">
        <v>52.01</v>
      </c>
      <c r="F1433" s="2">
        <v>9</v>
      </c>
      <c r="G1433" s="7">
        <v>380.74</v>
      </c>
      <c r="H1433" s="2" t="s">
        <v>829</v>
      </c>
      <c r="I1433" s="2" t="s">
        <v>29</v>
      </c>
      <c r="J1433" s="2" t="s">
        <v>87</v>
      </c>
      <c r="K1433" s="2" t="s">
        <v>17</v>
      </c>
      <c r="L1433" s="7">
        <f>Table3[[#This Row],[Revenue]]-Table3[[#This Row],[Ad Spend]]</f>
        <v>328.73</v>
      </c>
      <c r="M1433" s="11">
        <v>149.76</v>
      </c>
    </row>
    <row r="1434" spans="1:13" ht="15.75" customHeight="1" x14ac:dyDescent="0.3">
      <c r="A1434" s="4" t="s">
        <v>233</v>
      </c>
      <c r="B1434">
        <f t="shared" si="22"/>
        <v>3</v>
      </c>
      <c r="C1434" s="2" t="s">
        <v>32</v>
      </c>
      <c r="D1434" s="2" t="s">
        <v>1103</v>
      </c>
      <c r="E1434" s="7">
        <v>20.77</v>
      </c>
      <c r="F1434" s="2">
        <v>4</v>
      </c>
      <c r="G1434" s="7">
        <v>359.73</v>
      </c>
      <c r="H1434" s="2" t="s">
        <v>705</v>
      </c>
      <c r="I1434" s="2" t="s">
        <v>35</v>
      </c>
      <c r="J1434" s="2" t="s">
        <v>16</v>
      </c>
      <c r="K1434" s="2" t="s">
        <v>17</v>
      </c>
      <c r="L1434" s="7">
        <f>Table3[[#This Row],[Revenue]]-Table3[[#This Row],[Ad Spend]]</f>
        <v>338.96000000000004</v>
      </c>
      <c r="M1434" s="11">
        <v>134.22</v>
      </c>
    </row>
    <row r="1435" spans="1:13" ht="15.75" customHeight="1" x14ac:dyDescent="0.3">
      <c r="A1435" s="4" t="s">
        <v>433</v>
      </c>
      <c r="B1435">
        <f t="shared" si="22"/>
        <v>1</v>
      </c>
      <c r="C1435" s="2" t="s">
        <v>32</v>
      </c>
      <c r="D1435" s="2" t="s">
        <v>775</v>
      </c>
      <c r="E1435" s="7">
        <v>35.93</v>
      </c>
      <c r="F1435" s="2">
        <v>2</v>
      </c>
      <c r="G1435" s="7">
        <v>152.54</v>
      </c>
      <c r="H1435" s="2" t="s">
        <v>818</v>
      </c>
      <c r="I1435" s="2" t="s">
        <v>15</v>
      </c>
      <c r="J1435" s="2" t="s">
        <v>25</v>
      </c>
      <c r="K1435" s="2" t="s">
        <v>17</v>
      </c>
      <c r="L1435" s="7">
        <f>Table3[[#This Row],[Revenue]]-Table3[[#This Row],[Ad Spend]]</f>
        <v>116.60999999999999</v>
      </c>
      <c r="M1435" s="11">
        <v>138.91</v>
      </c>
    </row>
    <row r="1436" spans="1:13" ht="15.75" customHeight="1" x14ac:dyDescent="0.3">
      <c r="A1436" s="4" t="s">
        <v>102</v>
      </c>
      <c r="B1436">
        <f t="shared" si="22"/>
        <v>3</v>
      </c>
      <c r="C1436" s="2" t="s">
        <v>63</v>
      </c>
      <c r="D1436" s="2" t="s">
        <v>285</v>
      </c>
      <c r="E1436" s="7">
        <v>16.55</v>
      </c>
      <c r="F1436" s="2">
        <v>0</v>
      </c>
      <c r="G1436" s="7">
        <v>23.23</v>
      </c>
      <c r="H1436" s="2" t="s">
        <v>1093</v>
      </c>
      <c r="I1436" s="2" t="s">
        <v>35</v>
      </c>
      <c r="J1436" s="2" t="s">
        <v>25</v>
      </c>
      <c r="K1436" s="2" t="s">
        <v>46</v>
      </c>
      <c r="L1436" s="7">
        <f>Table3[[#This Row],[Revenue]]-Table3[[#This Row],[Ad Spend]]</f>
        <v>6.68</v>
      </c>
      <c r="M1436" s="11">
        <v>113.53</v>
      </c>
    </row>
    <row r="1437" spans="1:13" ht="15.75" customHeight="1" x14ac:dyDescent="0.3">
      <c r="A1437" s="4" t="s">
        <v>643</v>
      </c>
      <c r="B1437">
        <f t="shared" si="22"/>
        <v>2</v>
      </c>
      <c r="C1437" s="2" t="s">
        <v>12</v>
      </c>
      <c r="D1437" s="2" t="s">
        <v>458</v>
      </c>
      <c r="E1437" s="7">
        <v>8.8000000000000007</v>
      </c>
      <c r="F1437" s="2">
        <v>1</v>
      </c>
      <c r="G1437" s="7">
        <v>230.46</v>
      </c>
      <c r="H1437" s="2" t="s">
        <v>489</v>
      </c>
      <c r="I1437" s="2" t="s">
        <v>29</v>
      </c>
      <c r="J1437" s="2" t="s">
        <v>25</v>
      </c>
      <c r="K1437" s="2" t="s">
        <v>17</v>
      </c>
      <c r="L1437" s="7">
        <f>Table3[[#This Row],[Revenue]]-Table3[[#This Row],[Ad Spend]]</f>
        <v>221.66</v>
      </c>
      <c r="M1437" s="11">
        <v>142.68</v>
      </c>
    </row>
    <row r="1438" spans="1:13" ht="15.75" customHeight="1" x14ac:dyDescent="0.3">
      <c r="A1438" s="4" t="s">
        <v>238</v>
      </c>
      <c r="B1438">
        <f t="shared" si="22"/>
        <v>3</v>
      </c>
      <c r="C1438" s="2" t="s">
        <v>12</v>
      </c>
      <c r="D1438" s="2" t="s">
        <v>948</v>
      </c>
      <c r="E1438" s="7">
        <v>39.520000000000003</v>
      </c>
      <c r="F1438" s="2">
        <v>5</v>
      </c>
      <c r="G1438" s="7">
        <v>493.51</v>
      </c>
      <c r="H1438" s="2" t="s">
        <v>225</v>
      </c>
      <c r="I1438" s="2" t="s">
        <v>29</v>
      </c>
      <c r="J1438" s="2" t="s">
        <v>53</v>
      </c>
      <c r="K1438" s="2" t="s">
        <v>17</v>
      </c>
      <c r="L1438" s="7">
        <f>Table3[[#This Row],[Revenue]]-Table3[[#This Row],[Ad Spend]]</f>
        <v>453.99</v>
      </c>
      <c r="M1438" s="11">
        <v>125.85</v>
      </c>
    </row>
    <row r="1439" spans="1:13" ht="15.75" customHeight="1" x14ac:dyDescent="0.3">
      <c r="A1439" s="4" t="s">
        <v>783</v>
      </c>
      <c r="B1439">
        <f t="shared" si="22"/>
        <v>1</v>
      </c>
      <c r="C1439" s="2" t="s">
        <v>63</v>
      </c>
      <c r="D1439" s="2" t="s">
        <v>846</v>
      </c>
      <c r="E1439" s="7">
        <v>43.3</v>
      </c>
      <c r="F1439" s="2">
        <v>8</v>
      </c>
      <c r="G1439" s="7">
        <v>162.72</v>
      </c>
      <c r="H1439" s="2" t="s">
        <v>1348</v>
      </c>
      <c r="I1439" s="2" t="s">
        <v>15</v>
      </c>
      <c r="J1439" s="2" t="s">
        <v>25</v>
      </c>
      <c r="K1439" s="2" t="s">
        <v>17</v>
      </c>
      <c r="L1439" s="7">
        <f>Table3[[#This Row],[Revenue]]-Table3[[#This Row],[Ad Spend]]</f>
        <v>119.42</v>
      </c>
      <c r="M1439" s="11">
        <v>64.84</v>
      </c>
    </row>
    <row r="1440" spans="1:13" ht="15.75" customHeight="1" x14ac:dyDescent="0.3">
      <c r="A1440" s="4" t="s">
        <v>120</v>
      </c>
      <c r="B1440">
        <f t="shared" si="22"/>
        <v>3</v>
      </c>
      <c r="C1440" s="2" t="s">
        <v>12</v>
      </c>
      <c r="D1440" s="2" t="s">
        <v>111</v>
      </c>
      <c r="E1440" s="7">
        <v>92.05</v>
      </c>
      <c r="F1440" s="2">
        <v>0</v>
      </c>
      <c r="G1440" s="7">
        <v>446.55</v>
      </c>
      <c r="H1440" s="2" t="s">
        <v>422</v>
      </c>
      <c r="I1440" s="2" t="s">
        <v>15</v>
      </c>
      <c r="J1440" s="2" t="s">
        <v>16</v>
      </c>
      <c r="K1440" s="2" t="s">
        <v>46</v>
      </c>
      <c r="L1440" s="7">
        <f>Table3[[#This Row],[Revenue]]-Table3[[#This Row],[Ad Spend]]</f>
        <v>354.5</v>
      </c>
      <c r="M1440" s="11">
        <v>140.61000000000001</v>
      </c>
    </row>
    <row r="1441" spans="1:13" ht="15.75" customHeight="1" x14ac:dyDescent="0.3">
      <c r="A1441" s="4" t="s">
        <v>252</v>
      </c>
      <c r="B1441">
        <f t="shared" si="22"/>
        <v>11</v>
      </c>
      <c r="C1441" s="2" t="s">
        <v>19</v>
      </c>
      <c r="D1441" s="2" t="s">
        <v>103</v>
      </c>
      <c r="E1441" s="7">
        <v>17.89</v>
      </c>
      <c r="F1441" s="2">
        <v>9</v>
      </c>
      <c r="G1441" s="7">
        <v>187.2</v>
      </c>
      <c r="H1441" s="2" t="s">
        <v>313</v>
      </c>
      <c r="I1441" s="2" t="s">
        <v>35</v>
      </c>
      <c r="J1441" s="2" t="s">
        <v>25</v>
      </c>
      <c r="K1441" s="2" t="s">
        <v>17</v>
      </c>
      <c r="L1441" s="7">
        <f>Table3[[#This Row],[Revenue]]-Table3[[#This Row],[Ad Spend]]</f>
        <v>169.31</v>
      </c>
      <c r="M1441" s="11">
        <v>125.38</v>
      </c>
    </row>
    <row r="1442" spans="1:13" ht="15.75" customHeight="1" x14ac:dyDescent="0.3">
      <c r="A1442" s="4" t="s">
        <v>115</v>
      </c>
      <c r="B1442">
        <f t="shared" si="22"/>
        <v>2</v>
      </c>
      <c r="C1442" s="2" t="s">
        <v>19</v>
      </c>
      <c r="D1442" s="2" t="s">
        <v>1068</v>
      </c>
      <c r="E1442" s="7">
        <v>47.31</v>
      </c>
      <c r="F1442" s="2">
        <v>10</v>
      </c>
      <c r="G1442" s="7">
        <v>21.79</v>
      </c>
      <c r="H1442" s="2" t="s">
        <v>286</v>
      </c>
      <c r="I1442" s="2" t="s">
        <v>29</v>
      </c>
      <c r="J1442" s="2" t="s">
        <v>36</v>
      </c>
      <c r="K1442" s="2" t="s">
        <v>17</v>
      </c>
      <c r="L1442" s="7">
        <f>Table3[[#This Row],[Revenue]]-Table3[[#This Row],[Ad Spend]]</f>
        <v>-25.520000000000003</v>
      </c>
      <c r="M1442" s="11">
        <v>112.79</v>
      </c>
    </row>
    <row r="1443" spans="1:13" ht="15.75" customHeight="1" x14ac:dyDescent="0.3">
      <c r="A1443" s="4" t="s">
        <v>283</v>
      </c>
      <c r="B1443">
        <f t="shared" si="22"/>
        <v>11</v>
      </c>
      <c r="C1443" s="2" t="s">
        <v>19</v>
      </c>
      <c r="D1443" s="2" t="s">
        <v>1354</v>
      </c>
      <c r="E1443" s="7">
        <v>9.2899999999999991</v>
      </c>
      <c r="F1443" s="2">
        <v>2</v>
      </c>
      <c r="G1443" s="7">
        <v>471.34</v>
      </c>
      <c r="H1443" s="2" t="s">
        <v>147</v>
      </c>
      <c r="I1443" s="2" t="s">
        <v>35</v>
      </c>
      <c r="J1443" s="2" t="s">
        <v>30</v>
      </c>
      <c r="K1443" s="2" t="s">
        <v>17</v>
      </c>
      <c r="L1443" s="7">
        <f>Table3[[#This Row],[Revenue]]-Table3[[#This Row],[Ad Spend]]</f>
        <v>462.04999999999995</v>
      </c>
      <c r="M1443" s="11">
        <v>134.87</v>
      </c>
    </row>
    <row r="1444" spans="1:13" ht="15.75" customHeight="1" x14ac:dyDescent="0.3">
      <c r="A1444" s="4" t="s">
        <v>295</v>
      </c>
      <c r="B1444">
        <f t="shared" si="22"/>
        <v>12</v>
      </c>
      <c r="C1444" s="2" t="s">
        <v>12</v>
      </c>
      <c r="D1444" s="2" t="s">
        <v>844</v>
      </c>
      <c r="E1444" s="7">
        <v>20.76</v>
      </c>
      <c r="F1444" s="2">
        <v>0</v>
      </c>
      <c r="G1444" s="7">
        <v>434.21</v>
      </c>
      <c r="H1444" s="2" t="s">
        <v>705</v>
      </c>
      <c r="I1444" s="2" t="s">
        <v>15</v>
      </c>
      <c r="J1444" s="2" t="s">
        <v>25</v>
      </c>
      <c r="K1444" s="2" t="s">
        <v>46</v>
      </c>
      <c r="L1444" s="7">
        <f>Table3[[#This Row],[Revenue]]-Table3[[#This Row],[Ad Spend]]</f>
        <v>413.45</v>
      </c>
      <c r="M1444" s="11">
        <v>129.74</v>
      </c>
    </row>
    <row r="1445" spans="1:13" ht="15.75" customHeight="1" x14ac:dyDescent="0.3">
      <c r="A1445" s="4" t="s">
        <v>404</v>
      </c>
      <c r="B1445">
        <f t="shared" si="22"/>
        <v>3</v>
      </c>
      <c r="C1445" s="2" t="s">
        <v>12</v>
      </c>
      <c r="D1445" s="2" t="s">
        <v>412</v>
      </c>
      <c r="E1445" s="7">
        <v>72.739999999999995</v>
      </c>
      <c r="F1445" s="2">
        <v>2</v>
      </c>
      <c r="G1445" s="7">
        <v>106.55</v>
      </c>
      <c r="H1445" s="2" t="s">
        <v>413</v>
      </c>
      <c r="I1445" s="2" t="s">
        <v>29</v>
      </c>
      <c r="J1445" s="2" t="s">
        <v>25</v>
      </c>
      <c r="K1445" s="2" t="s">
        <v>17</v>
      </c>
      <c r="L1445" s="7">
        <f>Table3[[#This Row],[Revenue]]-Table3[[#This Row],[Ad Spend]]</f>
        <v>33.81</v>
      </c>
      <c r="M1445" s="11">
        <v>129.16</v>
      </c>
    </row>
    <row r="1446" spans="1:13" ht="15.75" customHeight="1" x14ac:dyDescent="0.3">
      <c r="A1446" s="4" t="s">
        <v>918</v>
      </c>
      <c r="B1446">
        <f t="shared" si="22"/>
        <v>2</v>
      </c>
      <c r="C1446" s="2" t="s">
        <v>32</v>
      </c>
      <c r="D1446" s="2" t="s">
        <v>824</v>
      </c>
      <c r="E1446" s="7">
        <v>142.78</v>
      </c>
      <c r="F1446" s="2">
        <v>3</v>
      </c>
      <c r="G1446" s="7">
        <v>42.9</v>
      </c>
      <c r="H1446" s="2" t="s">
        <v>122</v>
      </c>
      <c r="I1446" s="2" t="s">
        <v>15</v>
      </c>
      <c r="J1446" s="2" t="s">
        <v>53</v>
      </c>
      <c r="K1446" s="2" t="s">
        <v>17</v>
      </c>
      <c r="L1446" s="7">
        <f>Table3[[#This Row],[Revenue]]-Table3[[#This Row],[Ad Spend]]</f>
        <v>-99.88</v>
      </c>
      <c r="M1446" s="11">
        <v>127.45</v>
      </c>
    </row>
    <row r="1447" spans="1:13" ht="15.75" customHeight="1" x14ac:dyDescent="0.3">
      <c r="A1447" s="4" t="s">
        <v>755</v>
      </c>
      <c r="B1447">
        <f t="shared" si="22"/>
        <v>2</v>
      </c>
      <c r="C1447" s="2" t="s">
        <v>32</v>
      </c>
      <c r="D1447" s="2" t="s">
        <v>1355</v>
      </c>
      <c r="E1447" s="7">
        <v>26.88</v>
      </c>
      <c r="F1447" s="2">
        <v>0</v>
      </c>
      <c r="G1447" s="7">
        <v>30.22</v>
      </c>
      <c r="H1447" s="2" t="s">
        <v>389</v>
      </c>
      <c r="I1447" s="2" t="s">
        <v>29</v>
      </c>
      <c r="J1447" s="2" t="s">
        <v>30</v>
      </c>
      <c r="K1447" s="2" t="s">
        <v>46</v>
      </c>
      <c r="L1447" s="7">
        <f>Table3[[#This Row],[Revenue]]-Table3[[#This Row],[Ad Spend]]</f>
        <v>3.34</v>
      </c>
      <c r="M1447" s="11">
        <v>108.45</v>
      </c>
    </row>
    <row r="1448" spans="1:13" ht="15.75" customHeight="1" x14ac:dyDescent="0.3">
      <c r="A1448" s="4" t="s">
        <v>18</v>
      </c>
      <c r="B1448">
        <f t="shared" si="22"/>
        <v>3</v>
      </c>
      <c r="C1448" s="2" t="s">
        <v>63</v>
      </c>
      <c r="D1448" s="2" t="s">
        <v>1356</v>
      </c>
      <c r="E1448" s="7">
        <v>118.98</v>
      </c>
      <c r="F1448" s="2">
        <v>8</v>
      </c>
      <c r="G1448" s="7">
        <v>46.87</v>
      </c>
      <c r="H1448" s="2" t="s">
        <v>1357</v>
      </c>
      <c r="I1448" s="2" t="s">
        <v>29</v>
      </c>
      <c r="J1448" s="2" t="s">
        <v>87</v>
      </c>
      <c r="K1448" s="2" t="s">
        <v>17</v>
      </c>
      <c r="L1448" s="7">
        <f>Table3[[#This Row],[Revenue]]-Table3[[#This Row],[Ad Spend]]</f>
        <v>-72.110000000000014</v>
      </c>
      <c r="M1448" s="11">
        <v>136.36000000000001</v>
      </c>
    </row>
    <row r="1449" spans="1:13" ht="15.75" customHeight="1" x14ac:dyDescent="0.3">
      <c r="A1449" s="4" t="s">
        <v>40</v>
      </c>
      <c r="B1449">
        <f t="shared" si="22"/>
        <v>3</v>
      </c>
      <c r="C1449" s="2" t="s">
        <v>32</v>
      </c>
      <c r="D1449" s="2" t="s">
        <v>1347</v>
      </c>
      <c r="E1449" s="7">
        <v>60.04</v>
      </c>
      <c r="F1449" s="2">
        <v>10</v>
      </c>
      <c r="G1449" s="7">
        <v>264.37</v>
      </c>
      <c r="H1449" s="2" t="s">
        <v>279</v>
      </c>
      <c r="I1449" s="2" t="s">
        <v>35</v>
      </c>
      <c r="J1449" s="2" t="s">
        <v>30</v>
      </c>
      <c r="K1449" s="2" t="s">
        <v>17</v>
      </c>
      <c r="L1449" s="7">
        <f>Table3[[#This Row],[Revenue]]-Table3[[#This Row],[Ad Spend]]</f>
        <v>204.33</v>
      </c>
      <c r="M1449" s="11">
        <v>134.25</v>
      </c>
    </row>
    <row r="1450" spans="1:13" ht="15.75" customHeight="1" x14ac:dyDescent="0.3">
      <c r="A1450" s="4" t="s">
        <v>236</v>
      </c>
      <c r="B1450">
        <f t="shared" si="22"/>
        <v>4</v>
      </c>
      <c r="C1450" s="2" t="s">
        <v>63</v>
      </c>
      <c r="D1450" s="2" t="s">
        <v>931</v>
      </c>
      <c r="E1450" s="7">
        <v>125.24</v>
      </c>
      <c r="F1450" s="2">
        <v>5</v>
      </c>
      <c r="G1450" s="7">
        <v>89.6</v>
      </c>
      <c r="H1450" s="2" t="s">
        <v>913</v>
      </c>
      <c r="I1450" s="2" t="s">
        <v>15</v>
      </c>
      <c r="J1450" s="2" t="s">
        <v>25</v>
      </c>
      <c r="K1450" s="2" t="s">
        <v>17</v>
      </c>
      <c r="L1450" s="7">
        <f>Table3[[#This Row],[Revenue]]-Table3[[#This Row],[Ad Spend]]</f>
        <v>-35.64</v>
      </c>
      <c r="M1450" s="11">
        <v>125.42</v>
      </c>
    </row>
    <row r="1451" spans="1:13" ht="15.75" customHeight="1" x14ac:dyDescent="0.3">
      <c r="A1451" s="4" t="s">
        <v>304</v>
      </c>
      <c r="B1451">
        <f t="shared" si="22"/>
        <v>12</v>
      </c>
      <c r="C1451" s="2" t="s">
        <v>63</v>
      </c>
      <c r="D1451" s="2" t="s">
        <v>1338</v>
      </c>
      <c r="E1451" s="7">
        <v>136.75</v>
      </c>
      <c r="F1451" s="2">
        <v>7</v>
      </c>
      <c r="G1451" s="7">
        <v>162.46</v>
      </c>
      <c r="H1451" s="2" t="s">
        <v>1358</v>
      </c>
      <c r="I1451" s="2" t="s">
        <v>15</v>
      </c>
      <c r="J1451" s="2" t="s">
        <v>25</v>
      </c>
      <c r="K1451" s="2" t="s">
        <v>17</v>
      </c>
      <c r="L1451" s="7">
        <f>Table3[[#This Row],[Revenue]]-Table3[[#This Row],[Ad Spend]]</f>
        <v>25.710000000000008</v>
      </c>
      <c r="M1451" s="11">
        <v>138.71</v>
      </c>
    </row>
    <row r="1452" spans="1:13" ht="15.75" customHeight="1" x14ac:dyDescent="0.3">
      <c r="A1452" s="4" t="s">
        <v>178</v>
      </c>
      <c r="B1452">
        <f t="shared" si="22"/>
        <v>12</v>
      </c>
      <c r="C1452" s="2" t="s">
        <v>12</v>
      </c>
      <c r="D1452" s="2" t="s">
        <v>1323</v>
      </c>
      <c r="E1452" s="7">
        <v>74.2</v>
      </c>
      <c r="F1452" s="2">
        <v>6</v>
      </c>
      <c r="G1452" s="7">
        <v>176.19</v>
      </c>
      <c r="H1452" s="2" t="s">
        <v>52</v>
      </c>
      <c r="I1452" s="2" t="s">
        <v>15</v>
      </c>
      <c r="J1452" s="2" t="s">
        <v>87</v>
      </c>
      <c r="K1452" s="2" t="s">
        <v>17</v>
      </c>
      <c r="L1452" s="7">
        <f>Table3[[#This Row],[Revenue]]-Table3[[#This Row],[Ad Spend]]</f>
        <v>101.99</v>
      </c>
      <c r="M1452" s="11">
        <v>125.38</v>
      </c>
    </row>
    <row r="1453" spans="1:13" ht="15.75" customHeight="1" x14ac:dyDescent="0.3">
      <c r="A1453" s="4" t="s">
        <v>205</v>
      </c>
      <c r="B1453">
        <f t="shared" si="22"/>
        <v>2</v>
      </c>
      <c r="C1453" s="2" t="s">
        <v>12</v>
      </c>
      <c r="D1453" s="2" t="s">
        <v>1359</v>
      </c>
      <c r="E1453" s="7">
        <v>63.61</v>
      </c>
      <c r="F1453" s="2">
        <v>3</v>
      </c>
      <c r="G1453" s="7">
        <v>340.38</v>
      </c>
      <c r="H1453" s="2" t="s">
        <v>301</v>
      </c>
      <c r="I1453" s="2" t="s">
        <v>35</v>
      </c>
      <c r="J1453" s="2" t="s">
        <v>87</v>
      </c>
      <c r="K1453" s="2" t="s">
        <v>17</v>
      </c>
      <c r="L1453" s="7">
        <f>Table3[[#This Row],[Revenue]]-Table3[[#This Row],[Ad Spend]]</f>
        <v>276.77</v>
      </c>
      <c r="M1453" s="11">
        <v>153.43</v>
      </c>
    </row>
    <row r="1454" spans="1:13" ht="15.75" customHeight="1" x14ac:dyDescent="0.3">
      <c r="A1454" s="4" t="s">
        <v>335</v>
      </c>
      <c r="B1454">
        <f t="shared" si="22"/>
        <v>11</v>
      </c>
      <c r="C1454" s="2" t="s">
        <v>63</v>
      </c>
      <c r="D1454" s="2" t="s">
        <v>630</v>
      </c>
      <c r="E1454" s="7">
        <v>90.64</v>
      </c>
      <c r="F1454" s="2">
        <v>2</v>
      </c>
      <c r="G1454" s="7">
        <v>393.11</v>
      </c>
      <c r="H1454" s="2" t="s">
        <v>973</v>
      </c>
      <c r="I1454" s="2" t="s">
        <v>29</v>
      </c>
      <c r="J1454" s="2" t="s">
        <v>30</v>
      </c>
      <c r="K1454" s="2" t="s">
        <v>17</v>
      </c>
      <c r="L1454" s="7">
        <f>Table3[[#This Row],[Revenue]]-Table3[[#This Row],[Ad Spend]]</f>
        <v>302.47000000000003</v>
      </c>
      <c r="M1454" s="11">
        <v>158.5</v>
      </c>
    </row>
    <row r="1455" spans="1:13" ht="15.75" customHeight="1" x14ac:dyDescent="0.3">
      <c r="A1455" s="4" t="s">
        <v>400</v>
      </c>
      <c r="B1455">
        <f t="shared" si="22"/>
        <v>2</v>
      </c>
      <c r="C1455" s="2" t="s">
        <v>12</v>
      </c>
      <c r="D1455" s="2" t="s">
        <v>452</v>
      </c>
      <c r="E1455" s="7">
        <v>27.54</v>
      </c>
      <c r="F1455" s="2">
        <v>7</v>
      </c>
      <c r="G1455" s="7">
        <v>296.49</v>
      </c>
      <c r="H1455" s="2" t="s">
        <v>99</v>
      </c>
      <c r="I1455" s="2" t="s">
        <v>15</v>
      </c>
      <c r="J1455" s="2" t="s">
        <v>30</v>
      </c>
      <c r="K1455" s="2" t="s">
        <v>17</v>
      </c>
      <c r="L1455" s="7">
        <f>Table3[[#This Row],[Revenue]]-Table3[[#This Row],[Ad Spend]]</f>
        <v>268.95</v>
      </c>
      <c r="M1455" s="11">
        <v>95.78</v>
      </c>
    </row>
    <row r="1456" spans="1:13" ht="15.75" customHeight="1" x14ac:dyDescent="0.3">
      <c r="A1456" s="4" t="s">
        <v>79</v>
      </c>
      <c r="B1456">
        <f t="shared" si="22"/>
        <v>11</v>
      </c>
      <c r="C1456" s="2" t="s">
        <v>63</v>
      </c>
      <c r="D1456" s="2" t="s">
        <v>1279</v>
      </c>
      <c r="E1456" s="7">
        <v>92.97</v>
      </c>
      <c r="F1456" s="2">
        <v>7</v>
      </c>
      <c r="G1456" s="7">
        <v>315.44</v>
      </c>
      <c r="H1456" s="2" t="s">
        <v>219</v>
      </c>
      <c r="I1456" s="2" t="s">
        <v>15</v>
      </c>
      <c r="J1456" s="2" t="s">
        <v>53</v>
      </c>
      <c r="K1456" s="2" t="s">
        <v>17</v>
      </c>
      <c r="L1456" s="7">
        <f>Table3[[#This Row],[Revenue]]-Table3[[#This Row],[Ad Spend]]</f>
        <v>222.47</v>
      </c>
      <c r="M1456" s="11">
        <v>145.54</v>
      </c>
    </row>
    <row r="1457" spans="1:13" ht="15.75" customHeight="1" x14ac:dyDescent="0.3">
      <c r="A1457" s="4" t="s">
        <v>244</v>
      </c>
      <c r="B1457">
        <f t="shared" si="22"/>
        <v>2</v>
      </c>
      <c r="C1457" s="2" t="s">
        <v>63</v>
      </c>
      <c r="D1457" s="2" t="s">
        <v>388</v>
      </c>
      <c r="E1457" s="7">
        <v>97.66</v>
      </c>
      <c r="F1457" s="2">
        <v>6</v>
      </c>
      <c r="G1457" s="7">
        <v>486.01</v>
      </c>
      <c r="H1457" s="2" t="s">
        <v>1247</v>
      </c>
      <c r="I1457" s="2" t="s">
        <v>15</v>
      </c>
      <c r="J1457" s="2" t="s">
        <v>16</v>
      </c>
      <c r="K1457" s="2" t="s">
        <v>17</v>
      </c>
      <c r="L1457" s="7">
        <f>Table3[[#This Row],[Revenue]]-Table3[[#This Row],[Ad Spend]]</f>
        <v>388.35</v>
      </c>
      <c r="M1457" s="11">
        <v>151.15</v>
      </c>
    </row>
    <row r="1458" spans="1:13" ht="15.75" customHeight="1" x14ac:dyDescent="0.3">
      <c r="A1458" s="4" t="s">
        <v>74</v>
      </c>
      <c r="B1458">
        <f t="shared" si="22"/>
        <v>11</v>
      </c>
      <c r="C1458" s="2" t="s">
        <v>19</v>
      </c>
      <c r="D1458" s="2" t="s">
        <v>285</v>
      </c>
      <c r="E1458" s="7">
        <v>139.54</v>
      </c>
      <c r="F1458" s="2">
        <v>8</v>
      </c>
      <c r="G1458" s="7">
        <v>288.64999999999998</v>
      </c>
      <c r="H1458" s="2" t="s">
        <v>580</v>
      </c>
      <c r="I1458" s="2" t="s">
        <v>29</v>
      </c>
      <c r="J1458" s="2" t="s">
        <v>25</v>
      </c>
      <c r="K1458" s="2" t="s">
        <v>17</v>
      </c>
      <c r="L1458" s="7">
        <f>Table3[[#This Row],[Revenue]]-Table3[[#This Row],[Ad Spend]]</f>
        <v>149.10999999999999</v>
      </c>
      <c r="M1458" s="11">
        <v>125.52</v>
      </c>
    </row>
    <row r="1459" spans="1:13" ht="15.75" customHeight="1" x14ac:dyDescent="0.3">
      <c r="A1459" s="4" t="s">
        <v>129</v>
      </c>
      <c r="B1459">
        <f t="shared" si="22"/>
        <v>1</v>
      </c>
      <c r="C1459" s="2" t="s">
        <v>63</v>
      </c>
      <c r="D1459" s="2" t="s">
        <v>760</v>
      </c>
      <c r="E1459" s="7">
        <v>93.59</v>
      </c>
      <c r="F1459" s="2">
        <v>10</v>
      </c>
      <c r="G1459" s="7">
        <v>131.43</v>
      </c>
      <c r="H1459" s="2" t="s">
        <v>1360</v>
      </c>
      <c r="I1459" s="2" t="s">
        <v>29</v>
      </c>
      <c r="J1459" s="2" t="s">
        <v>16</v>
      </c>
      <c r="K1459" s="2" t="s">
        <v>17</v>
      </c>
      <c r="L1459" s="7">
        <f>Table3[[#This Row],[Revenue]]-Table3[[#This Row],[Ad Spend]]</f>
        <v>37.840000000000003</v>
      </c>
      <c r="M1459" s="11">
        <v>72.739999999999995</v>
      </c>
    </row>
    <row r="1460" spans="1:13" ht="15.75" customHeight="1" x14ac:dyDescent="0.3">
      <c r="A1460" s="4" t="s">
        <v>496</v>
      </c>
      <c r="B1460">
        <f t="shared" si="22"/>
        <v>1</v>
      </c>
      <c r="C1460" s="2" t="s">
        <v>63</v>
      </c>
      <c r="D1460" s="2" t="s">
        <v>442</v>
      </c>
      <c r="E1460" s="7">
        <v>102.19</v>
      </c>
      <c r="F1460" s="2">
        <v>0</v>
      </c>
      <c r="G1460" s="7">
        <v>424.82</v>
      </c>
      <c r="H1460" s="2" t="s">
        <v>956</v>
      </c>
      <c r="I1460" s="2" t="s">
        <v>15</v>
      </c>
      <c r="J1460" s="2" t="s">
        <v>87</v>
      </c>
      <c r="K1460" s="2" t="s">
        <v>46</v>
      </c>
      <c r="L1460" s="7">
        <f>Table3[[#This Row],[Revenue]]-Table3[[#This Row],[Ad Spend]]</f>
        <v>322.63</v>
      </c>
      <c r="M1460" s="11">
        <v>101.75</v>
      </c>
    </row>
    <row r="1461" spans="1:13" ht="15.75" customHeight="1" x14ac:dyDescent="0.3">
      <c r="A1461" s="4" t="s">
        <v>502</v>
      </c>
      <c r="B1461">
        <f t="shared" si="22"/>
        <v>12</v>
      </c>
      <c r="C1461" s="2" t="s">
        <v>63</v>
      </c>
      <c r="D1461" s="2" t="s">
        <v>1361</v>
      </c>
      <c r="E1461" s="7">
        <v>27.23</v>
      </c>
      <c r="F1461" s="2">
        <v>10</v>
      </c>
      <c r="G1461" s="7">
        <v>245.97</v>
      </c>
      <c r="H1461" s="2" t="s">
        <v>1362</v>
      </c>
      <c r="I1461" s="2" t="s">
        <v>35</v>
      </c>
      <c r="J1461" s="2" t="s">
        <v>30</v>
      </c>
      <c r="K1461" s="2" t="s">
        <v>17</v>
      </c>
      <c r="L1461" s="7">
        <f>Table3[[#This Row],[Revenue]]-Table3[[#This Row],[Ad Spend]]</f>
        <v>218.74</v>
      </c>
      <c r="M1461" s="11">
        <v>148.44</v>
      </c>
    </row>
    <row r="1462" spans="1:13" ht="15.75" customHeight="1" x14ac:dyDescent="0.3">
      <c r="A1462" s="4" t="s">
        <v>309</v>
      </c>
      <c r="B1462">
        <f t="shared" si="22"/>
        <v>4</v>
      </c>
      <c r="C1462" s="2" t="s">
        <v>63</v>
      </c>
      <c r="D1462" s="2" t="s">
        <v>1132</v>
      </c>
      <c r="E1462" s="7">
        <v>38.67</v>
      </c>
      <c r="F1462" s="2">
        <v>10</v>
      </c>
      <c r="G1462" s="7">
        <v>114.68</v>
      </c>
      <c r="H1462" s="2" t="s">
        <v>279</v>
      </c>
      <c r="I1462" s="2" t="s">
        <v>15</v>
      </c>
      <c r="J1462" s="2" t="s">
        <v>25</v>
      </c>
      <c r="K1462" s="2" t="s">
        <v>17</v>
      </c>
      <c r="L1462" s="7">
        <f>Table3[[#This Row],[Revenue]]-Table3[[#This Row],[Ad Spend]]</f>
        <v>76.010000000000005</v>
      </c>
      <c r="M1462" s="11">
        <v>131.63</v>
      </c>
    </row>
    <row r="1463" spans="1:13" ht="15.75" customHeight="1" x14ac:dyDescent="0.3">
      <c r="A1463" s="4" t="s">
        <v>472</v>
      </c>
      <c r="B1463">
        <f t="shared" si="22"/>
        <v>4</v>
      </c>
      <c r="C1463" s="2" t="s">
        <v>63</v>
      </c>
      <c r="D1463" s="2" t="s">
        <v>1344</v>
      </c>
      <c r="E1463" s="7">
        <v>17.59</v>
      </c>
      <c r="F1463" s="2">
        <v>10</v>
      </c>
      <c r="G1463" s="7">
        <v>289.36</v>
      </c>
      <c r="H1463" s="2" t="s">
        <v>58</v>
      </c>
      <c r="I1463" s="2" t="s">
        <v>35</v>
      </c>
      <c r="J1463" s="2" t="s">
        <v>87</v>
      </c>
      <c r="K1463" s="2" t="s">
        <v>17</v>
      </c>
      <c r="L1463" s="7">
        <f>Table3[[#This Row],[Revenue]]-Table3[[#This Row],[Ad Spend]]</f>
        <v>271.77000000000004</v>
      </c>
      <c r="M1463" s="11">
        <v>134.6</v>
      </c>
    </row>
    <row r="1464" spans="1:13" ht="15.75" customHeight="1" x14ac:dyDescent="0.3">
      <c r="A1464" s="4" t="s">
        <v>250</v>
      </c>
      <c r="B1464">
        <f t="shared" si="22"/>
        <v>12</v>
      </c>
      <c r="C1464" s="2" t="s">
        <v>12</v>
      </c>
      <c r="D1464" s="2" t="s">
        <v>1363</v>
      </c>
      <c r="E1464" s="7">
        <v>99.55</v>
      </c>
      <c r="F1464" s="2">
        <v>0</v>
      </c>
      <c r="G1464" s="7">
        <v>457.43</v>
      </c>
      <c r="H1464" s="2" t="s">
        <v>135</v>
      </c>
      <c r="I1464" s="2" t="s">
        <v>29</v>
      </c>
      <c r="J1464" s="2" t="s">
        <v>30</v>
      </c>
      <c r="K1464" s="2" t="s">
        <v>46</v>
      </c>
      <c r="L1464" s="7">
        <f>Table3[[#This Row],[Revenue]]-Table3[[#This Row],[Ad Spend]]</f>
        <v>357.88</v>
      </c>
      <c r="M1464" s="11">
        <v>162.31</v>
      </c>
    </row>
    <row r="1465" spans="1:13" ht="15.75" customHeight="1" x14ac:dyDescent="0.3">
      <c r="A1465" s="4" t="s">
        <v>50</v>
      </c>
      <c r="B1465">
        <f t="shared" si="22"/>
        <v>12</v>
      </c>
      <c r="C1465" s="2" t="s">
        <v>63</v>
      </c>
      <c r="D1465" s="2" t="s">
        <v>793</v>
      </c>
      <c r="E1465" s="7">
        <v>41.98</v>
      </c>
      <c r="F1465" s="2">
        <v>2</v>
      </c>
      <c r="G1465" s="7">
        <v>93.95</v>
      </c>
      <c r="H1465" s="2" t="s">
        <v>49</v>
      </c>
      <c r="I1465" s="2" t="s">
        <v>29</v>
      </c>
      <c r="J1465" s="2" t="s">
        <v>30</v>
      </c>
      <c r="K1465" s="2" t="s">
        <v>17</v>
      </c>
      <c r="L1465" s="7">
        <f>Table3[[#This Row],[Revenue]]-Table3[[#This Row],[Ad Spend]]</f>
        <v>51.970000000000006</v>
      </c>
      <c r="M1465" s="11">
        <v>118.83</v>
      </c>
    </row>
    <row r="1466" spans="1:13" ht="15.75" customHeight="1" x14ac:dyDescent="0.3">
      <c r="A1466" s="4" t="s">
        <v>404</v>
      </c>
      <c r="B1466">
        <f t="shared" si="22"/>
        <v>3</v>
      </c>
      <c r="C1466" s="2" t="s">
        <v>32</v>
      </c>
      <c r="D1466" s="2" t="s">
        <v>484</v>
      </c>
      <c r="E1466" s="7">
        <v>37.25</v>
      </c>
      <c r="F1466" s="2">
        <v>3</v>
      </c>
      <c r="G1466" s="7">
        <v>210.57</v>
      </c>
      <c r="H1466" s="2" t="s">
        <v>803</v>
      </c>
      <c r="I1466" s="2" t="s">
        <v>29</v>
      </c>
      <c r="J1466" s="2" t="s">
        <v>87</v>
      </c>
      <c r="K1466" s="2" t="s">
        <v>17</v>
      </c>
      <c r="L1466" s="7">
        <f>Table3[[#This Row],[Revenue]]-Table3[[#This Row],[Ad Spend]]</f>
        <v>173.32</v>
      </c>
      <c r="M1466" s="11">
        <v>99.3</v>
      </c>
    </row>
    <row r="1467" spans="1:13" ht="15.75" customHeight="1" x14ac:dyDescent="0.3">
      <c r="A1467" s="4" t="s">
        <v>728</v>
      </c>
      <c r="B1467">
        <f t="shared" si="22"/>
        <v>4</v>
      </c>
      <c r="C1467" s="2" t="s">
        <v>12</v>
      </c>
      <c r="D1467" s="2" t="s">
        <v>983</v>
      </c>
      <c r="E1467" s="7">
        <v>93.93</v>
      </c>
      <c r="F1467" s="2">
        <v>3</v>
      </c>
      <c r="G1467" s="7">
        <v>402.26</v>
      </c>
      <c r="H1467" s="2" t="s">
        <v>45</v>
      </c>
      <c r="I1467" s="2" t="s">
        <v>29</v>
      </c>
      <c r="J1467" s="2" t="s">
        <v>25</v>
      </c>
      <c r="K1467" s="2" t="s">
        <v>17</v>
      </c>
      <c r="L1467" s="7">
        <f>Table3[[#This Row],[Revenue]]-Table3[[#This Row],[Ad Spend]]</f>
        <v>308.33</v>
      </c>
      <c r="M1467" s="11">
        <v>130.4</v>
      </c>
    </row>
    <row r="1468" spans="1:13" ht="15.75" customHeight="1" x14ac:dyDescent="0.3">
      <c r="A1468" s="4" t="s">
        <v>133</v>
      </c>
      <c r="B1468">
        <f t="shared" si="22"/>
        <v>3</v>
      </c>
      <c r="C1468" s="2" t="s">
        <v>19</v>
      </c>
      <c r="D1468" s="2" t="s">
        <v>375</v>
      </c>
      <c r="E1468" s="7">
        <v>116.73</v>
      </c>
      <c r="F1468" s="2">
        <v>3</v>
      </c>
      <c r="G1468" s="7">
        <v>103.09</v>
      </c>
      <c r="H1468" s="2" t="s">
        <v>540</v>
      </c>
      <c r="I1468" s="2" t="s">
        <v>29</v>
      </c>
      <c r="J1468" s="2" t="s">
        <v>30</v>
      </c>
      <c r="K1468" s="2" t="s">
        <v>17</v>
      </c>
      <c r="L1468" s="7">
        <f>Table3[[#This Row],[Revenue]]-Table3[[#This Row],[Ad Spend]]</f>
        <v>-13.64</v>
      </c>
      <c r="M1468" s="11">
        <v>99.77</v>
      </c>
    </row>
    <row r="1469" spans="1:13" ht="15.75" customHeight="1" x14ac:dyDescent="0.3">
      <c r="A1469" s="4" t="s">
        <v>812</v>
      </c>
      <c r="B1469">
        <f t="shared" si="22"/>
        <v>12</v>
      </c>
      <c r="C1469" s="2" t="s">
        <v>63</v>
      </c>
      <c r="D1469" s="2" t="s">
        <v>217</v>
      </c>
      <c r="E1469" s="7">
        <v>84.99</v>
      </c>
      <c r="F1469" s="2">
        <v>4</v>
      </c>
      <c r="G1469" s="7">
        <v>369.44</v>
      </c>
      <c r="H1469" s="2" t="s">
        <v>1262</v>
      </c>
      <c r="I1469" s="2" t="s">
        <v>15</v>
      </c>
      <c r="J1469" s="2" t="s">
        <v>53</v>
      </c>
      <c r="K1469" s="2" t="s">
        <v>17</v>
      </c>
      <c r="L1469" s="7">
        <f>Table3[[#This Row],[Revenue]]-Table3[[#This Row],[Ad Spend]]</f>
        <v>284.45</v>
      </c>
      <c r="M1469" s="11">
        <v>85.91</v>
      </c>
    </row>
    <row r="1470" spans="1:13" ht="15.75" customHeight="1" x14ac:dyDescent="0.3">
      <c r="A1470" s="4" t="s">
        <v>351</v>
      </c>
      <c r="B1470">
        <f t="shared" si="22"/>
        <v>4</v>
      </c>
      <c r="C1470" s="2" t="s">
        <v>12</v>
      </c>
      <c r="D1470" s="2" t="s">
        <v>1136</v>
      </c>
      <c r="E1470" s="7">
        <v>59.09</v>
      </c>
      <c r="F1470" s="2">
        <v>5</v>
      </c>
      <c r="G1470" s="7">
        <v>51.2</v>
      </c>
      <c r="H1470" s="2" t="s">
        <v>803</v>
      </c>
      <c r="I1470" s="2" t="s">
        <v>35</v>
      </c>
      <c r="J1470" s="2" t="s">
        <v>30</v>
      </c>
      <c r="K1470" s="2" t="s">
        <v>17</v>
      </c>
      <c r="L1470" s="7">
        <f>Table3[[#This Row],[Revenue]]-Table3[[#This Row],[Ad Spend]]</f>
        <v>-7.8900000000000006</v>
      </c>
      <c r="M1470" s="11">
        <v>98.97</v>
      </c>
    </row>
    <row r="1471" spans="1:13" ht="15.75" customHeight="1" x14ac:dyDescent="0.3">
      <c r="A1471" s="4" t="s">
        <v>843</v>
      </c>
      <c r="B1471">
        <f t="shared" si="22"/>
        <v>4</v>
      </c>
      <c r="C1471" s="2" t="s">
        <v>63</v>
      </c>
      <c r="D1471" s="2" t="s">
        <v>103</v>
      </c>
      <c r="E1471" s="7">
        <v>27.41</v>
      </c>
      <c r="F1471" s="2">
        <v>5</v>
      </c>
      <c r="G1471" s="7">
        <v>418.4</v>
      </c>
      <c r="H1471" s="2" t="s">
        <v>427</v>
      </c>
      <c r="I1471" s="2" t="s">
        <v>35</v>
      </c>
      <c r="J1471" s="2" t="s">
        <v>30</v>
      </c>
      <c r="K1471" s="2" t="s">
        <v>17</v>
      </c>
      <c r="L1471" s="7">
        <f>Table3[[#This Row],[Revenue]]-Table3[[#This Row],[Ad Spend]]</f>
        <v>390.98999999999995</v>
      </c>
      <c r="M1471" s="11">
        <v>140.03</v>
      </c>
    </row>
    <row r="1472" spans="1:13" ht="15.75" customHeight="1" x14ac:dyDescent="0.3">
      <c r="A1472" s="4" t="s">
        <v>592</v>
      </c>
      <c r="B1472">
        <f t="shared" si="22"/>
        <v>1</v>
      </c>
      <c r="C1472" s="2" t="s">
        <v>63</v>
      </c>
      <c r="D1472" s="2" t="s">
        <v>1095</v>
      </c>
      <c r="E1472" s="7">
        <v>114.52</v>
      </c>
      <c r="F1472" s="2">
        <v>3</v>
      </c>
      <c r="G1472" s="7">
        <v>357.43</v>
      </c>
      <c r="H1472" s="2" t="s">
        <v>1058</v>
      </c>
      <c r="I1472" s="2" t="s">
        <v>15</v>
      </c>
      <c r="J1472" s="2" t="s">
        <v>16</v>
      </c>
      <c r="K1472" s="2" t="s">
        <v>17</v>
      </c>
      <c r="L1472" s="7">
        <f>Table3[[#This Row],[Revenue]]-Table3[[#This Row],[Ad Spend]]</f>
        <v>242.91000000000003</v>
      </c>
      <c r="M1472" s="11">
        <v>142.93</v>
      </c>
    </row>
    <row r="1473" spans="1:13" ht="15.75" customHeight="1" x14ac:dyDescent="0.3">
      <c r="A1473" s="4" t="s">
        <v>918</v>
      </c>
      <c r="B1473">
        <f t="shared" si="22"/>
        <v>2</v>
      </c>
      <c r="C1473" s="2" t="s">
        <v>63</v>
      </c>
      <c r="D1473" s="2" t="s">
        <v>1364</v>
      </c>
      <c r="E1473" s="7">
        <v>65.48</v>
      </c>
      <c r="F1473" s="2">
        <v>8</v>
      </c>
      <c r="G1473" s="7">
        <v>434.38</v>
      </c>
      <c r="H1473" s="2" t="s">
        <v>725</v>
      </c>
      <c r="I1473" s="2" t="s">
        <v>29</v>
      </c>
      <c r="J1473" s="2" t="s">
        <v>36</v>
      </c>
      <c r="K1473" s="2" t="s">
        <v>17</v>
      </c>
      <c r="L1473" s="7">
        <f>Table3[[#This Row],[Revenue]]-Table3[[#This Row],[Ad Spend]]</f>
        <v>368.9</v>
      </c>
      <c r="M1473" s="11">
        <v>146.25</v>
      </c>
    </row>
    <row r="1474" spans="1:13" ht="15.75" customHeight="1" x14ac:dyDescent="0.3">
      <c r="A1474" s="4" t="s">
        <v>309</v>
      </c>
      <c r="B1474">
        <f t="shared" si="22"/>
        <v>4</v>
      </c>
      <c r="C1474" s="2" t="s">
        <v>32</v>
      </c>
      <c r="D1474" s="2" t="s">
        <v>242</v>
      </c>
      <c r="E1474" s="7">
        <v>43.34</v>
      </c>
      <c r="F1474" s="2">
        <v>1</v>
      </c>
      <c r="G1474" s="7">
        <v>284.52999999999997</v>
      </c>
      <c r="H1474" s="2" t="s">
        <v>1281</v>
      </c>
      <c r="I1474" s="2" t="s">
        <v>29</v>
      </c>
      <c r="J1474" s="2" t="s">
        <v>30</v>
      </c>
      <c r="K1474" s="2" t="s">
        <v>17</v>
      </c>
      <c r="L1474" s="7">
        <f>Table3[[#This Row],[Revenue]]-Table3[[#This Row],[Ad Spend]]</f>
        <v>241.18999999999997</v>
      </c>
      <c r="M1474" s="11">
        <v>159.54</v>
      </c>
    </row>
    <row r="1475" spans="1:13" ht="15.75" customHeight="1" x14ac:dyDescent="0.3">
      <c r="A1475" s="4" t="s">
        <v>676</v>
      </c>
      <c r="B1475">
        <f t="shared" ref="B1475:B1538" si="23">MONTH(A1475)</f>
        <v>4</v>
      </c>
      <c r="C1475" s="2" t="s">
        <v>32</v>
      </c>
      <c r="D1475" s="2" t="s">
        <v>986</v>
      </c>
      <c r="E1475" s="7">
        <v>24.51</v>
      </c>
      <c r="F1475" s="2">
        <v>1</v>
      </c>
      <c r="G1475" s="7">
        <v>66.69</v>
      </c>
      <c r="H1475" s="2" t="s">
        <v>640</v>
      </c>
      <c r="I1475" s="2" t="s">
        <v>29</v>
      </c>
      <c r="J1475" s="2" t="s">
        <v>25</v>
      </c>
      <c r="K1475" s="2" t="s">
        <v>17</v>
      </c>
      <c r="L1475" s="7">
        <f>Table3[[#This Row],[Revenue]]-Table3[[#This Row],[Ad Spend]]</f>
        <v>42.179999999999993</v>
      </c>
      <c r="M1475" s="11">
        <v>93.37</v>
      </c>
    </row>
    <row r="1476" spans="1:13" ht="15.75" customHeight="1" x14ac:dyDescent="0.3">
      <c r="A1476" s="4" t="s">
        <v>220</v>
      </c>
      <c r="B1476">
        <f t="shared" si="23"/>
        <v>12</v>
      </c>
      <c r="C1476" s="2" t="s">
        <v>12</v>
      </c>
      <c r="D1476" s="2" t="s">
        <v>952</v>
      </c>
      <c r="E1476" s="7">
        <v>50.02</v>
      </c>
      <c r="F1476" s="2">
        <v>2</v>
      </c>
      <c r="G1476" s="7">
        <v>418.41</v>
      </c>
      <c r="H1476" s="2" t="s">
        <v>389</v>
      </c>
      <c r="I1476" s="2" t="s">
        <v>15</v>
      </c>
      <c r="J1476" s="2" t="s">
        <v>87</v>
      </c>
      <c r="K1476" s="2" t="s">
        <v>17</v>
      </c>
      <c r="L1476" s="7">
        <f>Table3[[#This Row],[Revenue]]-Table3[[#This Row],[Ad Spend]]</f>
        <v>368.39000000000004</v>
      </c>
      <c r="M1476" s="11">
        <v>108.92</v>
      </c>
    </row>
    <row r="1477" spans="1:13" ht="15.75" customHeight="1" x14ac:dyDescent="0.3">
      <c r="A1477" s="4" t="s">
        <v>755</v>
      </c>
      <c r="B1477">
        <f t="shared" si="23"/>
        <v>2</v>
      </c>
      <c r="C1477" s="2" t="s">
        <v>32</v>
      </c>
      <c r="D1477" s="2" t="s">
        <v>819</v>
      </c>
      <c r="E1477" s="7">
        <v>109.56</v>
      </c>
      <c r="F1477" s="2">
        <v>9</v>
      </c>
      <c r="G1477" s="7">
        <v>464.57</v>
      </c>
      <c r="H1477" s="2" t="s">
        <v>28</v>
      </c>
      <c r="I1477" s="2" t="s">
        <v>35</v>
      </c>
      <c r="J1477" s="2" t="s">
        <v>16</v>
      </c>
      <c r="K1477" s="2" t="s">
        <v>17</v>
      </c>
      <c r="L1477" s="7">
        <f>Table3[[#This Row],[Revenue]]-Table3[[#This Row],[Ad Spend]]</f>
        <v>355.01</v>
      </c>
      <c r="M1477" s="11">
        <v>135.15</v>
      </c>
    </row>
    <row r="1478" spans="1:13" ht="15.75" customHeight="1" x14ac:dyDescent="0.3">
      <c r="A1478" s="4" t="s">
        <v>22</v>
      </c>
      <c r="B1478">
        <f t="shared" si="23"/>
        <v>4</v>
      </c>
      <c r="C1478" s="2" t="s">
        <v>19</v>
      </c>
      <c r="D1478" s="2" t="s">
        <v>1332</v>
      </c>
      <c r="E1478" s="7">
        <v>74.39</v>
      </c>
      <c r="F1478" s="2">
        <v>4</v>
      </c>
      <c r="G1478" s="7">
        <v>459.48</v>
      </c>
      <c r="H1478" s="2" t="s">
        <v>489</v>
      </c>
      <c r="I1478" s="2" t="s">
        <v>15</v>
      </c>
      <c r="J1478" s="2" t="s">
        <v>30</v>
      </c>
      <c r="K1478" s="2" t="s">
        <v>17</v>
      </c>
      <c r="L1478" s="7">
        <f>Table3[[#This Row],[Revenue]]-Table3[[#This Row],[Ad Spend]]</f>
        <v>385.09000000000003</v>
      </c>
      <c r="M1478" s="11">
        <v>149.04</v>
      </c>
    </row>
    <row r="1479" spans="1:13" ht="15.75" customHeight="1" x14ac:dyDescent="0.3">
      <c r="A1479" s="4" t="s">
        <v>527</v>
      </c>
      <c r="B1479">
        <f t="shared" si="23"/>
        <v>1</v>
      </c>
      <c r="C1479" s="2" t="s">
        <v>32</v>
      </c>
      <c r="D1479" s="2" t="s">
        <v>462</v>
      </c>
      <c r="E1479" s="7">
        <v>21.78</v>
      </c>
      <c r="F1479" s="2">
        <v>8</v>
      </c>
      <c r="G1479" s="7">
        <v>303.3</v>
      </c>
      <c r="H1479" s="2" t="s">
        <v>370</v>
      </c>
      <c r="I1479" s="2" t="s">
        <v>29</v>
      </c>
      <c r="J1479" s="2" t="s">
        <v>30</v>
      </c>
      <c r="K1479" s="2" t="s">
        <v>17</v>
      </c>
      <c r="L1479" s="7">
        <f>Table3[[#This Row],[Revenue]]-Table3[[#This Row],[Ad Spend]]</f>
        <v>281.52</v>
      </c>
      <c r="M1479" s="11">
        <v>100.06</v>
      </c>
    </row>
    <row r="1480" spans="1:13" ht="15.75" customHeight="1" x14ac:dyDescent="0.3">
      <c r="A1480" s="4" t="s">
        <v>428</v>
      </c>
      <c r="B1480">
        <f t="shared" si="23"/>
        <v>3</v>
      </c>
      <c r="C1480" s="2" t="s">
        <v>32</v>
      </c>
      <c r="D1480" s="2" t="s">
        <v>1365</v>
      </c>
      <c r="E1480" s="7">
        <v>147.78</v>
      </c>
      <c r="F1480" s="2">
        <v>2</v>
      </c>
      <c r="G1480" s="7">
        <v>493.67</v>
      </c>
      <c r="H1480" s="2" t="s">
        <v>489</v>
      </c>
      <c r="I1480" s="2" t="s">
        <v>15</v>
      </c>
      <c r="J1480" s="2" t="s">
        <v>16</v>
      </c>
      <c r="K1480" s="2" t="s">
        <v>17</v>
      </c>
      <c r="L1480" s="7">
        <f>Table3[[#This Row],[Revenue]]-Table3[[#This Row],[Ad Spend]]</f>
        <v>345.89</v>
      </c>
      <c r="M1480" s="11">
        <v>148.05000000000001</v>
      </c>
    </row>
    <row r="1481" spans="1:13" ht="15.75" customHeight="1" x14ac:dyDescent="0.3">
      <c r="A1481" s="4" t="s">
        <v>254</v>
      </c>
      <c r="B1481">
        <f t="shared" si="23"/>
        <v>11</v>
      </c>
      <c r="C1481" s="2" t="s">
        <v>19</v>
      </c>
      <c r="D1481" s="2" t="s">
        <v>1079</v>
      </c>
      <c r="E1481" s="7">
        <v>136.76</v>
      </c>
      <c r="F1481" s="2">
        <v>3</v>
      </c>
      <c r="G1481" s="7">
        <v>345.36</v>
      </c>
      <c r="H1481" s="2" t="s">
        <v>1366</v>
      </c>
      <c r="I1481" s="2" t="s">
        <v>29</v>
      </c>
      <c r="J1481" s="2" t="s">
        <v>30</v>
      </c>
      <c r="K1481" s="2" t="s">
        <v>17</v>
      </c>
      <c r="L1481" s="7">
        <f>Table3[[#This Row],[Revenue]]-Table3[[#This Row],[Ad Spend]]</f>
        <v>208.60000000000002</v>
      </c>
      <c r="M1481" s="11">
        <v>193.02</v>
      </c>
    </row>
    <row r="1482" spans="1:13" ht="15.75" customHeight="1" x14ac:dyDescent="0.3">
      <c r="A1482" s="4" t="s">
        <v>233</v>
      </c>
      <c r="B1482">
        <f t="shared" si="23"/>
        <v>3</v>
      </c>
      <c r="C1482" s="2" t="s">
        <v>19</v>
      </c>
      <c r="D1482" s="2" t="s">
        <v>629</v>
      </c>
      <c r="E1482" s="7">
        <v>58.15</v>
      </c>
      <c r="F1482" s="2">
        <v>10</v>
      </c>
      <c r="G1482" s="7">
        <v>481.94</v>
      </c>
      <c r="H1482" s="2" t="s">
        <v>374</v>
      </c>
      <c r="I1482" s="2" t="s">
        <v>15</v>
      </c>
      <c r="J1482" s="2" t="s">
        <v>30</v>
      </c>
      <c r="K1482" s="2" t="s">
        <v>17</v>
      </c>
      <c r="L1482" s="7">
        <f>Table3[[#This Row],[Revenue]]-Table3[[#This Row],[Ad Spend]]</f>
        <v>423.79</v>
      </c>
      <c r="M1482" s="11">
        <v>121.31</v>
      </c>
    </row>
    <row r="1483" spans="1:13" ht="15.75" customHeight="1" x14ac:dyDescent="0.3">
      <c r="A1483" s="4" t="s">
        <v>191</v>
      </c>
      <c r="B1483">
        <f t="shared" si="23"/>
        <v>11</v>
      </c>
      <c r="C1483" s="2" t="s">
        <v>19</v>
      </c>
      <c r="D1483" s="2" t="s">
        <v>771</v>
      </c>
      <c r="E1483" s="7">
        <v>148.79</v>
      </c>
      <c r="F1483" s="2">
        <v>2</v>
      </c>
      <c r="G1483" s="7">
        <v>432.54</v>
      </c>
      <c r="H1483" s="2" t="s">
        <v>1367</v>
      </c>
      <c r="I1483" s="2" t="s">
        <v>29</v>
      </c>
      <c r="J1483" s="2" t="s">
        <v>30</v>
      </c>
      <c r="K1483" s="2" t="s">
        <v>17</v>
      </c>
      <c r="L1483" s="7">
        <f>Table3[[#This Row],[Revenue]]-Table3[[#This Row],[Ad Spend]]</f>
        <v>283.75</v>
      </c>
      <c r="M1483" s="11">
        <v>197.18</v>
      </c>
    </row>
    <row r="1484" spans="1:13" ht="15.75" customHeight="1" x14ac:dyDescent="0.3">
      <c r="A1484" s="4" t="s">
        <v>353</v>
      </c>
      <c r="B1484">
        <f t="shared" si="23"/>
        <v>1</v>
      </c>
      <c r="C1484" s="2" t="s">
        <v>12</v>
      </c>
      <c r="D1484" s="2" t="s">
        <v>576</v>
      </c>
      <c r="E1484" s="7">
        <v>93</v>
      </c>
      <c r="F1484" s="2">
        <v>1</v>
      </c>
      <c r="G1484" s="7">
        <v>98.9</v>
      </c>
      <c r="H1484" s="2" t="s">
        <v>229</v>
      </c>
      <c r="I1484" s="2" t="s">
        <v>35</v>
      </c>
      <c r="J1484" s="2" t="s">
        <v>16</v>
      </c>
      <c r="K1484" s="2" t="s">
        <v>17</v>
      </c>
      <c r="L1484" s="7">
        <f>Table3[[#This Row],[Revenue]]-Table3[[#This Row],[Ad Spend]]</f>
        <v>5.9000000000000057</v>
      </c>
      <c r="M1484" s="11">
        <v>95.51</v>
      </c>
    </row>
    <row r="1485" spans="1:13" ht="15.75" customHeight="1" x14ac:dyDescent="0.3">
      <c r="A1485" s="4" t="s">
        <v>50</v>
      </c>
      <c r="B1485">
        <f t="shared" si="23"/>
        <v>12</v>
      </c>
      <c r="C1485" s="2" t="s">
        <v>63</v>
      </c>
      <c r="D1485" s="2" t="s">
        <v>251</v>
      </c>
      <c r="E1485" s="7">
        <v>94.85</v>
      </c>
      <c r="F1485" s="2">
        <v>9</v>
      </c>
      <c r="G1485" s="7">
        <v>44.77</v>
      </c>
      <c r="H1485" s="2" t="s">
        <v>267</v>
      </c>
      <c r="I1485" s="2" t="s">
        <v>29</v>
      </c>
      <c r="J1485" s="2" t="s">
        <v>36</v>
      </c>
      <c r="K1485" s="2" t="s">
        <v>17</v>
      </c>
      <c r="L1485" s="7">
        <f>Table3[[#This Row],[Revenue]]-Table3[[#This Row],[Ad Spend]]</f>
        <v>-50.079999999999991</v>
      </c>
      <c r="M1485" s="11">
        <v>122.6</v>
      </c>
    </row>
    <row r="1486" spans="1:13" ht="15.75" customHeight="1" x14ac:dyDescent="0.3">
      <c r="A1486" s="4" t="s">
        <v>287</v>
      </c>
      <c r="B1486">
        <f t="shared" si="23"/>
        <v>2</v>
      </c>
      <c r="C1486" s="2" t="s">
        <v>32</v>
      </c>
      <c r="D1486" s="2" t="s">
        <v>106</v>
      </c>
      <c r="E1486" s="7">
        <v>120.16</v>
      </c>
      <c r="F1486" s="2">
        <v>4</v>
      </c>
      <c r="G1486" s="7">
        <v>355.95</v>
      </c>
      <c r="H1486" s="2" t="s">
        <v>161</v>
      </c>
      <c r="I1486" s="2" t="s">
        <v>35</v>
      </c>
      <c r="J1486" s="2" t="s">
        <v>16</v>
      </c>
      <c r="K1486" s="2" t="s">
        <v>17</v>
      </c>
      <c r="L1486" s="7">
        <f>Table3[[#This Row],[Revenue]]-Table3[[#This Row],[Ad Spend]]</f>
        <v>235.79</v>
      </c>
      <c r="M1486" s="11">
        <v>125.25</v>
      </c>
    </row>
    <row r="1487" spans="1:13" ht="15.75" customHeight="1" x14ac:dyDescent="0.3">
      <c r="A1487" s="4" t="s">
        <v>785</v>
      </c>
      <c r="B1487">
        <f t="shared" si="23"/>
        <v>1</v>
      </c>
      <c r="C1487" s="2" t="s">
        <v>32</v>
      </c>
      <c r="D1487" s="2" t="s">
        <v>997</v>
      </c>
      <c r="E1487" s="7">
        <v>141.85</v>
      </c>
      <c r="F1487" s="2">
        <v>5</v>
      </c>
      <c r="G1487" s="7">
        <v>58.37</v>
      </c>
      <c r="H1487" s="2" t="s">
        <v>279</v>
      </c>
      <c r="I1487" s="2" t="s">
        <v>15</v>
      </c>
      <c r="J1487" s="2" t="s">
        <v>30</v>
      </c>
      <c r="K1487" s="2" t="s">
        <v>17</v>
      </c>
      <c r="L1487" s="7">
        <f>Table3[[#This Row],[Revenue]]-Table3[[#This Row],[Ad Spend]]</f>
        <v>-83.47999999999999</v>
      </c>
      <c r="M1487" s="11">
        <v>138.30000000000001</v>
      </c>
    </row>
    <row r="1488" spans="1:13" ht="15.75" customHeight="1" x14ac:dyDescent="0.3">
      <c r="A1488" s="4" t="s">
        <v>380</v>
      </c>
      <c r="B1488">
        <f t="shared" si="23"/>
        <v>2</v>
      </c>
      <c r="C1488" s="2" t="s">
        <v>12</v>
      </c>
      <c r="D1488" s="2" t="s">
        <v>137</v>
      </c>
      <c r="E1488" s="7">
        <v>71.17</v>
      </c>
      <c r="F1488" s="2">
        <v>7</v>
      </c>
      <c r="G1488" s="7">
        <v>322.83999999999997</v>
      </c>
      <c r="H1488" s="2" t="s">
        <v>422</v>
      </c>
      <c r="I1488" s="2" t="s">
        <v>15</v>
      </c>
      <c r="J1488" s="2" t="s">
        <v>30</v>
      </c>
      <c r="K1488" s="2" t="s">
        <v>17</v>
      </c>
      <c r="L1488" s="7">
        <f>Table3[[#This Row],[Revenue]]-Table3[[#This Row],[Ad Spend]]</f>
        <v>251.66999999999996</v>
      </c>
      <c r="M1488" s="11">
        <v>131.72999999999999</v>
      </c>
    </row>
    <row r="1489" spans="1:13" ht="15.75" customHeight="1" x14ac:dyDescent="0.3">
      <c r="A1489" s="4" t="s">
        <v>502</v>
      </c>
      <c r="B1489">
        <f t="shared" si="23"/>
        <v>12</v>
      </c>
      <c r="C1489" s="2" t="s">
        <v>63</v>
      </c>
      <c r="D1489" s="2" t="s">
        <v>1368</v>
      </c>
      <c r="E1489" s="7">
        <v>27.82</v>
      </c>
      <c r="F1489" s="2">
        <v>2</v>
      </c>
      <c r="G1489" s="7">
        <v>163.86</v>
      </c>
      <c r="H1489" s="2" t="s">
        <v>711</v>
      </c>
      <c r="I1489" s="2" t="s">
        <v>29</v>
      </c>
      <c r="J1489" s="2" t="s">
        <v>30</v>
      </c>
      <c r="K1489" s="2" t="s">
        <v>17</v>
      </c>
      <c r="L1489" s="7">
        <f>Table3[[#This Row],[Revenue]]-Table3[[#This Row],[Ad Spend]]</f>
        <v>136.04000000000002</v>
      </c>
      <c r="M1489" s="11">
        <v>178.76</v>
      </c>
    </row>
    <row r="1490" spans="1:13" ht="15.75" customHeight="1" x14ac:dyDescent="0.3">
      <c r="A1490" s="4" t="s">
        <v>191</v>
      </c>
      <c r="B1490">
        <f t="shared" si="23"/>
        <v>11</v>
      </c>
      <c r="C1490" s="2" t="s">
        <v>63</v>
      </c>
      <c r="D1490" s="2" t="s">
        <v>1127</v>
      </c>
      <c r="E1490" s="7">
        <v>7.16</v>
      </c>
      <c r="F1490" s="2">
        <v>10</v>
      </c>
      <c r="G1490" s="7">
        <v>116.33</v>
      </c>
      <c r="H1490" s="2" t="s">
        <v>1014</v>
      </c>
      <c r="I1490" s="2" t="s">
        <v>15</v>
      </c>
      <c r="J1490" s="2" t="s">
        <v>25</v>
      </c>
      <c r="K1490" s="2" t="s">
        <v>17</v>
      </c>
      <c r="L1490" s="7">
        <f>Table3[[#This Row],[Revenue]]-Table3[[#This Row],[Ad Spend]]</f>
        <v>109.17</v>
      </c>
      <c r="M1490" s="11">
        <v>148.44999999999999</v>
      </c>
    </row>
    <row r="1491" spans="1:13" ht="15.75" customHeight="1" x14ac:dyDescent="0.3">
      <c r="A1491" s="4" t="s">
        <v>812</v>
      </c>
      <c r="B1491">
        <f t="shared" si="23"/>
        <v>12</v>
      </c>
      <c r="C1491" s="2" t="s">
        <v>32</v>
      </c>
      <c r="D1491" s="2" t="s">
        <v>788</v>
      </c>
      <c r="E1491" s="7">
        <v>92.24</v>
      </c>
      <c r="F1491" s="2">
        <v>9</v>
      </c>
      <c r="G1491" s="7">
        <v>78.72</v>
      </c>
      <c r="H1491" s="2" t="s">
        <v>1233</v>
      </c>
      <c r="I1491" s="2" t="s">
        <v>35</v>
      </c>
      <c r="J1491" s="2" t="s">
        <v>25</v>
      </c>
      <c r="K1491" s="2" t="s">
        <v>17</v>
      </c>
      <c r="L1491" s="7">
        <f>Table3[[#This Row],[Revenue]]-Table3[[#This Row],[Ad Spend]]</f>
        <v>-13.519999999999996</v>
      </c>
      <c r="M1491" s="11">
        <v>102.26</v>
      </c>
    </row>
    <row r="1492" spans="1:13" ht="15.75" customHeight="1" x14ac:dyDescent="0.3">
      <c r="A1492" s="4" t="s">
        <v>123</v>
      </c>
      <c r="B1492">
        <f t="shared" si="23"/>
        <v>4</v>
      </c>
      <c r="C1492" s="2" t="s">
        <v>63</v>
      </c>
      <c r="D1492" s="2" t="s">
        <v>880</v>
      </c>
      <c r="E1492" s="7">
        <v>131.05000000000001</v>
      </c>
      <c r="F1492" s="2">
        <v>2</v>
      </c>
      <c r="G1492" s="7">
        <v>386.31</v>
      </c>
      <c r="H1492" s="2" t="s">
        <v>28</v>
      </c>
      <c r="I1492" s="2" t="s">
        <v>35</v>
      </c>
      <c r="J1492" s="2" t="s">
        <v>30</v>
      </c>
      <c r="K1492" s="2" t="s">
        <v>17</v>
      </c>
      <c r="L1492" s="7">
        <f>Table3[[#This Row],[Revenue]]-Table3[[#This Row],[Ad Spend]]</f>
        <v>255.26</v>
      </c>
      <c r="M1492" s="11">
        <v>142.24</v>
      </c>
    </row>
    <row r="1493" spans="1:13" ht="15.75" customHeight="1" x14ac:dyDescent="0.3">
      <c r="A1493" s="4" t="s">
        <v>18</v>
      </c>
      <c r="B1493">
        <f t="shared" si="23"/>
        <v>3</v>
      </c>
      <c r="C1493" s="2" t="s">
        <v>12</v>
      </c>
      <c r="D1493" s="2" t="s">
        <v>1124</v>
      </c>
      <c r="E1493" s="7">
        <v>138.63</v>
      </c>
      <c r="F1493" s="2">
        <v>7</v>
      </c>
      <c r="G1493" s="7">
        <v>405.61</v>
      </c>
      <c r="H1493" s="2" t="s">
        <v>301</v>
      </c>
      <c r="I1493" s="2" t="s">
        <v>29</v>
      </c>
      <c r="J1493" s="2" t="s">
        <v>25</v>
      </c>
      <c r="K1493" s="2" t="s">
        <v>17</v>
      </c>
      <c r="L1493" s="7">
        <f>Table3[[#This Row],[Revenue]]-Table3[[#This Row],[Ad Spend]]</f>
        <v>266.98</v>
      </c>
      <c r="M1493" s="11">
        <v>149.78</v>
      </c>
    </row>
    <row r="1494" spans="1:13" ht="15.75" customHeight="1" x14ac:dyDescent="0.3">
      <c r="A1494" s="4" t="s">
        <v>448</v>
      </c>
      <c r="B1494">
        <f t="shared" si="23"/>
        <v>12</v>
      </c>
      <c r="C1494" s="2" t="s">
        <v>32</v>
      </c>
      <c r="D1494" s="2" t="s">
        <v>513</v>
      </c>
      <c r="E1494" s="7">
        <v>113.63</v>
      </c>
      <c r="F1494" s="2">
        <v>0</v>
      </c>
      <c r="G1494" s="7">
        <v>469.28</v>
      </c>
      <c r="H1494" s="2" t="s">
        <v>101</v>
      </c>
      <c r="I1494" s="2" t="s">
        <v>15</v>
      </c>
      <c r="J1494" s="2" t="s">
        <v>87</v>
      </c>
      <c r="K1494" s="2" t="s">
        <v>46</v>
      </c>
      <c r="L1494" s="7">
        <f>Table3[[#This Row],[Revenue]]-Table3[[#This Row],[Ad Spend]]</f>
        <v>355.65</v>
      </c>
      <c r="M1494" s="11">
        <v>121.57</v>
      </c>
    </row>
    <row r="1495" spans="1:13" ht="15.75" customHeight="1" x14ac:dyDescent="0.3">
      <c r="A1495" s="4" t="s">
        <v>131</v>
      </c>
      <c r="B1495">
        <f t="shared" si="23"/>
        <v>11</v>
      </c>
      <c r="C1495" s="2" t="s">
        <v>12</v>
      </c>
      <c r="D1495" s="2" t="s">
        <v>606</v>
      </c>
      <c r="E1495" s="7">
        <v>110.62</v>
      </c>
      <c r="F1495" s="2">
        <v>1</v>
      </c>
      <c r="G1495" s="7">
        <v>328.87</v>
      </c>
      <c r="H1495" s="2" t="s">
        <v>1304</v>
      </c>
      <c r="I1495" s="2" t="s">
        <v>15</v>
      </c>
      <c r="J1495" s="2" t="s">
        <v>25</v>
      </c>
      <c r="K1495" s="2" t="s">
        <v>17</v>
      </c>
      <c r="L1495" s="7">
        <f>Table3[[#This Row],[Revenue]]-Table3[[#This Row],[Ad Spend]]</f>
        <v>218.25</v>
      </c>
      <c r="M1495" s="11">
        <v>147.61000000000001</v>
      </c>
    </row>
    <row r="1496" spans="1:13" ht="15.75" customHeight="1" x14ac:dyDescent="0.3">
      <c r="A1496" s="4" t="s">
        <v>649</v>
      </c>
      <c r="B1496">
        <f t="shared" si="23"/>
        <v>1</v>
      </c>
      <c r="C1496" s="2" t="s">
        <v>12</v>
      </c>
      <c r="D1496" s="2" t="s">
        <v>1369</v>
      </c>
      <c r="E1496" s="7">
        <v>145.69999999999999</v>
      </c>
      <c r="F1496" s="2">
        <v>8</v>
      </c>
      <c r="G1496" s="7">
        <v>186.89</v>
      </c>
      <c r="H1496" s="2" t="s">
        <v>1370</v>
      </c>
      <c r="I1496" s="2" t="s">
        <v>29</v>
      </c>
      <c r="J1496" s="2" t="s">
        <v>25</v>
      </c>
      <c r="K1496" s="2" t="s">
        <v>17</v>
      </c>
      <c r="L1496" s="7">
        <f>Table3[[#This Row],[Revenue]]-Table3[[#This Row],[Ad Spend]]</f>
        <v>41.19</v>
      </c>
      <c r="M1496" s="11">
        <v>99.27</v>
      </c>
    </row>
    <row r="1497" spans="1:13" ht="15.75" customHeight="1" x14ac:dyDescent="0.3">
      <c r="A1497" s="4" t="s">
        <v>258</v>
      </c>
      <c r="B1497">
        <f t="shared" si="23"/>
        <v>2</v>
      </c>
      <c r="C1497" s="2" t="s">
        <v>63</v>
      </c>
      <c r="D1497" s="2" t="s">
        <v>473</v>
      </c>
      <c r="E1497" s="7">
        <v>24.14</v>
      </c>
      <c r="F1497" s="2">
        <v>8</v>
      </c>
      <c r="G1497" s="7">
        <v>452.79</v>
      </c>
      <c r="H1497" s="2" t="s">
        <v>1371</v>
      </c>
      <c r="I1497" s="2" t="s">
        <v>29</v>
      </c>
      <c r="J1497" s="2" t="s">
        <v>25</v>
      </c>
      <c r="K1497" s="2" t="s">
        <v>17</v>
      </c>
      <c r="L1497" s="7">
        <f>Table3[[#This Row],[Revenue]]-Table3[[#This Row],[Ad Spend]]</f>
        <v>428.65000000000003</v>
      </c>
      <c r="M1497" s="11">
        <v>201.6</v>
      </c>
    </row>
    <row r="1498" spans="1:13" ht="15.75" customHeight="1" x14ac:dyDescent="0.3">
      <c r="A1498" s="4" t="s">
        <v>340</v>
      </c>
      <c r="B1498">
        <f t="shared" si="23"/>
        <v>11</v>
      </c>
      <c r="C1498" s="2" t="s">
        <v>19</v>
      </c>
      <c r="D1498" s="2" t="s">
        <v>1030</v>
      </c>
      <c r="E1498" s="7">
        <v>116.09</v>
      </c>
      <c r="F1498" s="2">
        <v>10</v>
      </c>
      <c r="G1498" s="7">
        <v>155.1</v>
      </c>
      <c r="H1498" s="2" t="s">
        <v>1372</v>
      </c>
      <c r="I1498" s="2" t="s">
        <v>15</v>
      </c>
      <c r="J1498" s="2" t="s">
        <v>25</v>
      </c>
      <c r="K1498" s="2" t="s">
        <v>17</v>
      </c>
      <c r="L1498" s="7">
        <f>Table3[[#This Row],[Revenue]]-Table3[[#This Row],[Ad Spend]]</f>
        <v>39.009999999999991</v>
      </c>
      <c r="M1498" s="11">
        <v>117.27</v>
      </c>
    </row>
    <row r="1499" spans="1:13" ht="15.75" customHeight="1" x14ac:dyDescent="0.3">
      <c r="A1499" s="4" t="s">
        <v>511</v>
      </c>
      <c r="B1499">
        <f t="shared" si="23"/>
        <v>12</v>
      </c>
      <c r="C1499" s="2" t="s">
        <v>63</v>
      </c>
      <c r="D1499" s="2" t="s">
        <v>539</v>
      </c>
      <c r="E1499" s="7">
        <v>128.46</v>
      </c>
      <c r="F1499" s="2">
        <v>7</v>
      </c>
      <c r="G1499" s="7">
        <v>460.16</v>
      </c>
      <c r="H1499" s="2" t="s">
        <v>664</v>
      </c>
      <c r="I1499" s="2" t="s">
        <v>29</v>
      </c>
      <c r="J1499" s="2" t="s">
        <v>25</v>
      </c>
      <c r="K1499" s="2" t="s">
        <v>17</v>
      </c>
      <c r="L1499" s="7">
        <f>Table3[[#This Row],[Revenue]]-Table3[[#This Row],[Ad Spend]]</f>
        <v>331.70000000000005</v>
      </c>
      <c r="M1499" s="11">
        <v>163.41999999999999</v>
      </c>
    </row>
    <row r="1500" spans="1:13" ht="15.75" customHeight="1" x14ac:dyDescent="0.3">
      <c r="A1500" s="4" t="s">
        <v>428</v>
      </c>
      <c r="B1500">
        <f t="shared" si="23"/>
        <v>3</v>
      </c>
      <c r="C1500" s="2" t="s">
        <v>12</v>
      </c>
      <c r="D1500" s="2" t="s">
        <v>390</v>
      </c>
      <c r="E1500" s="7">
        <v>28.12</v>
      </c>
      <c r="F1500" s="2">
        <v>4</v>
      </c>
      <c r="G1500" s="7">
        <v>255.71</v>
      </c>
      <c r="H1500" s="2" t="s">
        <v>52</v>
      </c>
      <c r="I1500" s="2" t="s">
        <v>15</v>
      </c>
      <c r="J1500" s="2" t="s">
        <v>87</v>
      </c>
      <c r="K1500" s="2" t="s">
        <v>17</v>
      </c>
      <c r="L1500" s="7">
        <f>Table3[[#This Row],[Revenue]]-Table3[[#This Row],[Ad Spend]]</f>
        <v>227.59</v>
      </c>
      <c r="M1500" s="11">
        <v>127.51</v>
      </c>
    </row>
    <row r="1501" spans="1:13" ht="15.75" customHeight="1" x14ac:dyDescent="0.3">
      <c r="A1501" s="4" t="s">
        <v>254</v>
      </c>
      <c r="B1501">
        <f t="shared" si="23"/>
        <v>11</v>
      </c>
      <c r="C1501" s="2" t="s">
        <v>63</v>
      </c>
      <c r="D1501" s="2" t="s">
        <v>1302</v>
      </c>
      <c r="E1501" s="7">
        <v>9.34</v>
      </c>
      <c r="F1501" s="2">
        <v>0</v>
      </c>
      <c r="G1501" s="7">
        <v>269.88</v>
      </c>
      <c r="H1501" s="2" t="s">
        <v>401</v>
      </c>
      <c r="I1501" s="2" t="s">
        <v>29</v>
      </c>
      <c r="J1501" s="2" t="s">
        <v>30</v>
      </c>
      <c r="K1501" s="2" t="s">
        <v>46</v>
      </c>
      <c r="L1501" s="7">
        <f>Table3[[#This Row],[Revenue]]-Table3[[#This Row],[Ad Spend]]</f>
        <v>260.54000000000002</v>
      </c>
      <c r="M1501" s="11">
        <v>135.97999999999999</v>
      </c>
    </row>
    <row r="1502" spans="1:13" ht="15.75" customHeight="1" x14ac:dyDescent="0.3">
      <c r="A1502" s="4" t="s">
        <v>875</v>
      </c>
      <c r="B1502">
        <f t="shared" si="23"/>
        <v>12</v>
      </c>
      <c r="C1502" s="2" t="s">
        <v>19</v>
      </c>
      <c r="D1502" s="2" t="s">
        <v>305</v>
      </c>
      <c r="E1502" s="7">
        <v>83.19</v>
      </c>
      <c r="F1502" s="2">
        <v>7</v>
      </c>
      <c r="G1502" s="7">
        <v>336.86</v>
      </c>
      <c r="H1502" s="2" t="s">
        <v>1373</v>
      </c>
      <c r="I1502" s="2" t="s">
        <v>29</v>
      </c>
      <c r="J1502" s="2" t="s">
        <v>25</v>
      </c>
      <c r="K1502" s="2" t="s">
        <v>17</v>
      </c>
      <c r="L1502" s="7">
        <f>Table3[[#This Row],[Revenue]]-Table3[[#This Row],[Ad Spend]]</f>
        <v>253.67000000000002</v>
      </c>
      <c r="M1502" s="11">
        <v>152.86000000000001</v>
      </c>
    </row>
    <row r="1503" spans="1:13" ht="15.75" customHeight="1" x14ac:dyDescent="0.3">
      <c r="A1503" s="4" t="s">
        <v>421</v>
      </c>
      <c r="B1503">
        <f t="shared" si="23"/>
        <v>11</v>
      </c>
      <c r="C1503" s="2" t="s">
        <v>19</v>
      </c>
      <c r="D1503" s="2" t="s">
        <v>826</v>
      </c>
      <c r="E1503" s="7">
        <v>146.86000000000001</v>
      </c>
      <c r="F1503" s="2">
        <v>2</v>
      </c>
      <c r="G1503" s="7">
        <v>463.69</v>
      </c>
      <c r="H1503" s="2" t="s">
        <v>301</v>
      </c>
      <c r="I1503" s="2" t="s">
        <v>35</v>
      </c>
      <c r="J1503" s="2" t="s">
        <v>87</v>
      </c>
      <c r="K1503" s="2" t="s">
        <v>17</v>
      </c>
      <c r="L1503" s="7">
        <f>Table3[[#This Row],[Revenue]]-Table3[[#This Row],[Ad Spend]]</f>
        <v>316.83</v>
      </c>
      <c r="M1503" s="11">
        <v>145.04</v>
      </c>
    </row>
    <row r="1504" spans="1:13" ht="15.75" customHeight="1" x14ac:dyDescent="0.3">
      <c r="A1504" s="4" t="s">
        <v>244</v>
      </c>
      <c r="B1504">
        <f t="shared" si="23"/>
        <v>2</v>
      </c>
      <c r="C1504" s="2" t="s">
        <v>32</v>
      </c>
      <c r="D1504" s="2" t="s">
        <v>1199</v>
      </c>
      <c r="E1504" s="7">
        <v>30.38</v>
      </c>
      <c r="F1504" s="2">
        <v>1</v>
      </c>
      <c r="G1504" s="7">
        <v>173.46</v>
      </c>
      <c r="H1504" s="2" t="s">
        <v>910</v>
      </c>
      <c r="I1504" s="2" t="s">
        <v>29</v>
      </c>
      <c r="J1504" s="2" t="s">
        <v>25</v>
      </c>
      <c r="K1504" s="2" t="s">
        <v>17</v>
      </c>
      <c r="L1504" s="7">
        <f>Table3[[#This Row],[Revenue]]-Table3[[#This Row],[Ad Spend]]</f>
        <v>143.08000000000001</v>
      </c>
      <c r="M1504" s="11">
        <v>124.9</v>
      </c>
    </row>
    <row r="1505" spans="1:13" ht="15.75" customHeight="1" x14ac:dyDescent="0.3">
      <c r="A1505" s="4" t="s">
        <v>252</v>
      </c>
      <c r="B1505">
        <f t="shared" si="23"/>
        <v>11</v>
      </c>
      <c r="C1505" s="2" t="s">
        <v>63</v>
      </c>
      <c r="D1505" s="2" t="s">
        <v>1374</v>
      </c>
      <c r="E1505" s="7">
        <v>24.14</v>
      </c>
      <c r="F1505" s="2">
        <v>1</v>
      </c>
      <c r="G1505" s="7">
        <v>435.99</v>
      </c>
      <c r="H1505" s="2" t="s">
        <v>1096</v>
      </c>
      <c r="I1505" s="2" t="s">
        <v>15</v>
      </c>
      <c r="J1505" s="2" t="s">
        <v>53</v>
      </c>
      <c r="K1505" s="2" t="s">
        <v>17</v>
      </c>
      <c r="L1505" s="7">
        <f>Table3[[#This Row],[Revenue]]-Table3[[#This Row],[Ad Spend]]</f>
        <v>411.85</v>
      </c>
      <c r="M1505" s="11">
        <v>93.59</v>
      </c>
    </row>
    <row r="1506" spans="1:13" ht="15.75" customHeight="1" x14ac:dyDescent="0.3">
      <c r="A1506" s="4" t="s">
        <v>247</v>
      </c>
      <c r="B1506">
        <f t="shared" si="23"/>
        <v>3</v>
      </c>
      <c r="C1506" s="2" t="s">
        <v>63</v>
      </c>
      <c r="D1506" s="2" t="s">
        <v>868</v>
      </c>
      <c r="E1506" s="7">
        <v>111.35</v>
      </c>
      <c r="F1506" s="2">
        <v>1</v>
      </c>
      <c r="G1506" s="7">
        <v>279.75</v>
      </c>
      <c r="H1506" s="2" t="s">
        <v>1375</v>
      </c>
      <c r="I1506" s="2" t="s">
        <v>15</v>
      </c>
      <c r="J1506" s="2" t="s">
        <v>36</v>
      </c>
      <c r="K1506" s="2" t="s">
        <v>17</v>
      </c>
      <c r="L1506" s="7">
        <f>Table3[[#This Row],[Revenue]]-Table3[[#This Row],[Ad Spend]]</f>
        <v>168.4</v>
      </c>
      <c r="M1506" s="11">
        <v>130.25</v>
      </c>
    </row>
    <row r="1507" spans="1:13" ht="15.75" customHeight="1" x14ac:dyDescent="0.3">
      <c r="A1507" s="4" t="s">
        <v>723</v>
      </c>
      <c r="B1507">
        <f t="shared" si="23"/>
        <v>12</v>
      </c>
      <c r="C1507" s="2" t="s">
        <v>32</v>
      </c>
      <c r="D1507" s="2" t="s">
        <v>1218</v>
      </c>
      <c r="E1507" s="7">
        <v>38.07</v>
      </c>
      <c r="F1507" s="2">
        <v>9</v>
      </c>
      <c r="G1507" s="7">
        <v>66.94</v>
      </c>
      <c r="H1507" s="2" t="s">
        <v>174</v>
      </c>
      <c r="I1507" s="2" t="s">
        <v>15</v>
      </c>
      <c r="J1507" s="2" t="s">
        <v>16</v>
      </c>
      <c r="K1507" s="2" t="s">
        <v>17</v>
      </c>
      <c r="L1507" s="7">
        <f>Table3[[#This Row],[Revenue]]-Table3[[#This Row],[Ad Spend]]</f>
        <v>28.869999999999997</v>
      </c>
      <c r="M1507" s="11">
        <v>107.85</v>
      </c>
    </row>
    <row r="1508" spans="1:13" ht="15.75" customHeight="1" x14ac:dyDescent="0.3">
      <c r="A1508" s="4" t="s">
        <v>94</v>
      </c>
      <c r="B1508">
        <f t="shared" si="23"/>
        <v>1</v>
      </c>
      <c r="C1508" s="2" t="s">
        <v>12</v>
      </c>
      <c r="D1508" s="2" t="s">
        <v>396</v>
      </c>
      <c r="E1508" s="7">
        <v>149.38</v>
      </c>
      <c r="F1508" s="2">
        <v>6</v>
      </c>
      <c r="G1508" s="7">
        <v>149.22999999999999</v>
      </c>
      <c r="H1508" s="2" t="s">
        <v>14</v>
      </c>
      <c r="I1508" s="2" t="s">
        <v>35</v>
      </c>
      <c r="J1508" s="2" t="s">
        <v>30</v>
      </c>
      <c r="K1508" s="2" t="s">
        <v>17</v>
      </c>
      <c r="L1508" s="7">
        <f>Table3[[#This Row],[Revenue]]-Table3[[#This Row],[Ad Spend]]</f>
        <v>-0.15000000000000568</v>
      </c>
      <c r="M1508" s="11">
        <v>111.39</v>
      </c>
    </row>
    <row r="1509" spans="1:13" ht="15.75" customHeight="1" x14ac:dyDescent="0.3">
      <c r="A1509" s="4" t="s">
        <v>164</v>
      </c>
      <c r="B1509">
        <f t="shared" si="23"/>
        <v>2</v>
      </c>
      <c r="C1509" s="2" t="s">
        <v>63</v>
      </c>
      <c r="D1509" s="2" t="s">
        <v>1376</v>
      </c>
      <c r="E1509" s="7">
        <v>91.73</v>
      </c>
      <c r="F1509" s="2">
        <v>7</v>
      </c>
      <c r="G1509" s="7">
        <v>80.37</v>
      </c>
      <c r="H1509" s="2" t="s">
        <v>235</v>
      </c>
      <c r="I1509" s="2" t="s">
        <v>35</v>
      </c>
      <c r="J1509" s="2" t="s">
        <v>30</v>
      </c>
      <c r="K1509" s="2" t="s">
        <v>17</v>
      </c>
      <c r="L1509" s="7">
        <f>Table3[[#This Row],[Revenue]]-Table3[[#This Row],[Ad Spend]]</f>
        <v>-11.36</v>
      </c>
      <c r="M1509" s="11">
        <v>124.61</v>
      </c>
    </row>
    <row r="1510" spans="1:13" ht="15.75" customHeight="1" x14ac:dyDescent="0.3">
      <c r="A1510" s="4" t="s">
        <v>610</v>
      </c>
      <c r="B1510">
        <f t="shared" si="23"/>
        <v>11</v>
      </c>
      <c r="C1510" s="2" t="s">
        <v>19</v>
      </c>
      <c r="D1510" s="2" t="s">
        <v>41</v>
      </c>
      <c r="E1510" s="7">
        <v>121.62</v>
      </c>
      <c r="F1510" s="2">
        <v>10</v>
      </c>
      <c r="G1510" s="7">
        <v>57.75</v>
      </c>
      <c r="H1510" s="2" t="s">
        <v>744</v>
      </c>
      <c r="I1510" s="2" t="s">
        <v>15</v>
      </c>
      <c r="J1510" s="2" t="s">
        <v>25</v>
      </c>
      <c r="K1510" s="2" t="s">
        <v>17</v>
      </c>
      <c r="L1510" s="7">
        <f>Table3[[#This Row],[Revenue]]-Table3[[#This Row],[Ad Spend]]</f>
        <v>-63.870000000000005</v>
      </c>
      <c r="M1510" s="11">
        <v>126.24</v>
      </c>
    </row>
    <row r="1511" spans="1:13" ht="15.75" customHeight="1" x14ac:dyDescent="0.3">
      <c r="A1511" s="4" t="s">
        <v>592</v>
      </c>
      <c r="B1511">
        <f t="shared" si="23"/>
        <v>1</v>
      </c>
      <c r="C1511" s="2" t="s">
        <v>32</v>
      </c>
      <c r="D1511" s="2" t="s">
        <v>1025</v>
      </c>
      <c r="E1511" s="7">
        <v>139.31</v>
      </c>
      <c r="F1511" s="2">
        <v>3</v>
      </c>
      <c r="G1511" s="7">
        <v>207.84</v>
      </c>
      <c r="H1511" s="2" t="s">
        <v>168</v>
      </c>
      <c r="I1511" s="2" t="s">
        <v>29</v>
      </c>
      <c r="J1511" s="2" t="s">
        <v>25</v>
      </c>
      <c r="K1511" s="2" t="s">
        <v>17</v>
      </c>
      <c r="L1511" s="7">
        <f>Table3[[#This Row],[Revenue]]-Table3[[#This Row],[Ad Spend]]</f>
        <v>68.53</v>
      </c>
      <c r="M1511" s="11">
        <v>140.44999999999999</v>
      </c>
    </row>
    <row r="1512" spans="1:13" ht="15.75" customHeight="1" x14ac:dyDescent="0.3">
      <c r="A1512" s="4" t="s">
        <v>238</v>
      </c>
      <c r="B1512">
        <f t="shared" si="23"/>
        <v>3</v>
      </c>
      <c r="C1512" s="2" t="s">
        <v>12</v>
      </c>
      <c r="D1512" s="2" t="s">
        <v>1377</v>
      </c>
      <c r="E1512" s="7">
        <v>142.69</v>
      </c>
      <c r="F1512" s="2">
        <v>0</v>
      </c>
      <c r="G1512" s="7">
        <v>95.87</v>
      </c>
      <c r="H1512" s="2" t="s">
        <v>297</v>
      </c>
      <c r="I1512" s="2" t="s">
        <v>35</v>
      </c>
      <c r="J1512" s="2" t="s">
        <v>36</v>
      </c>
      <c r="K1512" s="2" t="s">
        <v>46</v>
      </c>
      <c r="L1512" s="7">
        <f>Table3[[#This Row],[Revenue]]-Table3[[#This Row],[Ad Spend]]</f>
        <v>-46.819999999999993</v>
      </c>
      <c r="M1512" s="11">
        <v>137.26</v>
      </c>
    </row>
    <row r="1513" spans="1:13" ht="15.75" customHeight="1" x14ac:dyDescent="0.3">
      <c r="A1513" s="4" t="s">
        <v>619</v>
      </c>
      <c r="B1513">
        <f t="shared" si="23"/>
        <v>1</v>
      </c>
      <c r="C1513" s="2" t="s">
        <v>19</v>
      </c>
      <c r="D1513" s="2" t="s">
        <v>1378</v>
      </c>
      <c r="E1513" s="7">
        <v>51.82</v>
      </c>
      <c r="F1513" s="2">
        <v>2</v>
      </c>
      <c r="G1513" s="7">
        <v>151.19</v>
      </c>
      <c r="H1513" s="2" t="s">
        <v>246</v>
      </c>
      <c r="I1513" s="2" t="s">
        <v>29</v>
      </c>
      <c r="J1513" s="2" t="s">
        <v>87</v>
      </c>
      <c r="K1513" s="2" t="s">
        <v>17</v>
      </c>
      <c r="L1513" s="7">
        <f>Table3[[#This Row],[Revenue]]-Table3[[#This Row],[Ad Spend]]</f>
        <v>99.37</v>
      </c>
      <c r="M1513" s="11">
        <v>112.52</v>
      </c>
    </row>
    <row r="1514" spans="1:13" ht="15.75" customHeight="1" x14ac:dyDescent="0.3">
      <c r="A1514" s="4" t="s">
        <v>623</v>
      </c>
      <c r="B1514">
        <f t="shared" si="23"/>
        <v>1</v>
      </c>
      <c r="C1514" s="2" t="s">
        <v>63</v>
      </c>
      <c r="D1514" s="2" t="s">
        <v>964</v>
      </c>
      <c r="E1514" s="7">
        <v>46.04</v>
      </c>
      <c r="F1514" s="2">
        <v>7</v>
      </c>
      <c r="G1514" s="7">
        <v>142.79</v>
      </c>
      <c r="H1514" s="2" t="s">
        <v>225</v>
      </c>
      <c r="I1514" s="2" t="s">
        <v>35</v>
      </c>
      <c r="J1514" s="2" t="s">
        <v>36</v>
      </c>
      <c r="K1514" s="2" t="s">
        <v>17</v>
      </c>
      <c r="L1514" s="7">
        <f>Table3[[#This Row],[Revenue]]-Table3[[#This Row],[Ad Spend]]</f>
        <v>96.75</v>
      </c>
      <c r="M1514" s="11">
        <v>124.91</v>
      </c>
    </row>
    <row r="1515" spans="1:13" ht="15.75" customHeight="1" x14ac:dyDescent="0.3">
      <c r="A1515" s="4" t="s">
        <v>673</v>
      </c>
      <c r="B1515">
        <f t="shared" si="23"/>
        <v>12</v>
      </c>
      <c r="C1515" s="2" t="s">
        <v>19</v>
      </c>
      <c r="D1515" s="2" t="s">
        <v>1379</v>
      </c>
      <c r="E1515" s="7">
        <v>140.22</v>
      </c>
      <c r="F1515" s="2">
        <v>0</v>
      </c>
      <c r="G1515" s="7">
        <v>24.35</v>
      </c>
      <c r="H1515" s="2" t="s">
        <v>672</v>
      </c>
      <c r="I1515" s="2" t="s">
        <v>35</v>
      </c>
      <c r="J1515" s="2" t="s">
        <v>87</v>
      </c>
      <c r="K1515" s="2" t="s">
        <v>46</v>
      </c>
      <c r="L1515" s="7">
        <f>Table3[[#This Row],[Revenue]]-Table3[[#This Row],[Ad Spend]]</f>
        <v>-115.87</v>
      </c>
      <c r="M1515" s="11">
        <v>112.03</v>
      </c>
    </row>
    <row r="1516" spans="1:13" ht="15.75" customHeight="1" x14ac:dyDescent="0.3">
      <c r="A1516" s="4" t="s">
        <v>252</v>
      </c>
      <c r="B1516">
        <f t="shared" si="23"/>
        <v>11</v>
      </c>
      <c r="C1516" s="2" t="s">
        <v>32</v>
      </c>
      <c r="D1516" s="2" t="s">
        <v>1380</v>
      </c>
      <c r="E1516" s="7">
        <v>44.92</v>
      </c>
      <c r="F1516" s="2">
        <v>6</v>
      </c>
      <c r="G1516" s="7">
        <v>278.04000000000002</v>
      </c>
      <c r="H1516" s="2" t="s">
        <v>427</v>
      </c>
      <c r="I1516" s="2" t="s">
        <v>29</v>
      </c>
      <c r="J1516" s="2" t="s">
        <v>87</v>
      </c>
      <c r="K1516" s="2" t="s">
        <v>17</v>
      </c>
      <c r="L1516" s="7">
        <f>Table3[[#This Row],[Revenue]]-Table3[[#This Row],[Ad Spend]]</f>
        <v>233.12</v>
      </c>
      <c r="M1516" s="11">
        <v>138.36000000000001</v>
      </c>
    </row>
    <row r="1517" spans="1:13" ht="15.75" customHeight="1" x14ac:dyDescent="0.3">
      <c r="A1517" s="4" t="s">
        <v>459</v>
      </c>
      <c r="B1517">
        <f t="shared" si="23"/>
        <v>4</v>
      </c>
      <c r="C1517" s="2" t="s">
        <v>12</v>
      </c>
      <c r="D1517" s="2" t="s">
        <v>771</v>
      </c>
      <c r="E1517" s="7">
        <v>129.32</v>
      </c>
      <c r="F1517" s="2">
        <v>9</v>
      </c>
      <c r="G1517" s="7">
        <v>33.619999999999997</v>
      </c>
      <c r="H1517" s="2" t="s">
        <v>695</v>
      </c>
      <c r="I1517" s="2" t="s">
        <v>35</v>
      </c>
      <c r="J1517" s="2" t="s">
        <v>30</v>
      </c>
      <c r="K1517" s="2" t="s">
        <v>17</v>
      </c>
      <c r="L1517" s="7">
        <f>Table3[[#This Row],[Revenue]]-Table3[[#This Row],[Ad Spend]]</f>
        <v>-95.699999999999989</v>
      </c>
      <c r="M1517" s="11">
        <v>123.96</v>
      </c>
    </row>
    <row r="1518" spans="1:13" ht="15.75" customHeight="1" x14ac:dyDescent="0.3">
      <c r="A1518" s="4" t="s">
        <v>647</v>
      </c>
      <c r="B1518">
        <f t="shared" si="23"/>
        <v>11</v>
      </c>
      <c r="C1518" s="2" t="s">
        <v>63</v>
      </c>
      <c r="D1518" s="2" t="s">
        <v>1037</v>
      </c>
      <c r="E1518" s="7">
        <v>106.4</v>
      </c>
      <c r="F1518" s="2">
        <v>10</v>
      </c>
      <c r="G1518" s="7">
        <v>369.76</v>
      </c>
      <c r="H1518" s="2" t="s">
        <v>1362</v>
      </c>
      <c r="I1518" s="2" t="s">
        <v>15</v>
      </c>
      <c r="J1518" s="2" t="s">
        <v>30</v>
      </c>
      <c r="K1518" s="2" t="s">
        <v>17</v>
      </c>
      <c r="L1518" s="7">
        <f>Table3[[#This Row],[Revenue]]-Table3[[#This Row],[Ad Spend]]</f>
        <v>263.36</v>
      </c>
      <c r="M1518" s="11">
        <v>151.93</v>
      </c>
    </row>
    <row r="1519" spans="1:13" ht="15.75" customHeight="1" x14ac:dyDescent="0.3">
      <c r="A1519" s="4" t="s">
        <v>356</v>
      </c>
      <c r="B1519">
        <f t="shared" si="23"/>
        <v>3</v>
      </c>
      <c r="C1519" s="2" t="s">
        <v>32</v>
      </c>
      <c r="D1519" s="2" t="s">
        <v>1381</v>
      </c>
      <c r="E1519" s="7">
        <v>17.98</v>
      </c>
      <c r="F1519" s="2">
        <v>4</v>
      </c>
      <c r="G1519" s="7">
        <v>277.61</v>
      </c>
      <c r="H1519" s="2" t="s">
        <v>876</v>
      </c>
      <c r="I1519" s="2" t="s">
        <v>29</v>
      </c>
      <c r="J1519" s="2" t="s">
        <v>16</v>
      </c>
      <c r="K1519" s="2" t="s">
        <v>17</v>
      </c>
      <c r="L1519" s="7">
        <f>Table3[[#This Row],[Revenue]]-Table3[[#This Row],[Ad Spend]]</f>
        <v>259.63</v>
      </c>
      <c r="M1519" s="11">
        <v>125.1</v>
      </c>
    </row>
    <row r="1520" spans="1:13" ht="15.75" customHeight="1" x14ac:dyDescent="0.3">
      <c r="A1520" s="4" t="s">
        <v>415</v>
      </c>
      <c r="B1520">
        <f t="shared" si="23"/>
        <v>4</v>
      </c>
      <c r="C1520" s="2" t="s">
        <v>19</v>
      </c>
      <c r="D1520" s="2" t="s">
        <v>221</v>
      </c>
      <c r="E1520" s="7">
        <v>128.38</v>
      </c>
      <c r="F1520" s="2">
        <v>6</v>
      </c>
      <c r="G1520" s="7">
        <v>299.18</v>
      </c>
      <c r="H1520" s="2" t="s">
        <v>781</v>
      </c>
      <c r="I1520" s="2" t="s">
        <v>29</v>
      </c>
      <c r="J1520" s="2" t="s">
        <v>53</v>
      </c>
      <c r="K1520" s="2" t="s">
        <v>17</v>
      </c>
      <c r="L1520" s="7">
        <f>Table3[[#This Row],[Revenue]]-Table3[[#This Row],[Ad Spend]]</f>
        <v>170.8</v>
      </c>
      <c r="M1520" s="11">
        <v>118.42</v>
      </c>
    </row>
    <row r="1521" spans="1:13" ht="15.75" customHeight="1" x14ac:dyDescent="0.3">
      <c r="A1521" s="4" t="s">
        <v>656</v>
      </c>
      <c r="B1521">
        <f t="shared" si="23"/>
        <v>4</v>
      </c>
      <c r="C1521" s="2" t="s">
        <v>32</v>
      </c>
      <c r="D1521" s="2" t="s">
        <v>1382</v>
      </c>
      <c r="E1521" s="7">
        <v>88.33</v>
      </c>
      <c r="F1521" s="2">
        <v>5</v>
      </c>
      <c r="G1521" s="7">
        <v>463.54</v>
      </c>
      <c r="H1521" s="2" t="s">
        <v>24</v>
      </c>
      <c r="I1521" s="2" t="s">
        <v>15</v>
      </c>
      <c r="J1521" s="2" t="s">
        <v>25</v>
      </c>
      <c r="K1521" s="2" t="s">
        <v>17</v>
      </c>
      <c r="L1521" s="7">
        <f>Table3[[#This Row],[Revenue]]-Table3[[#This Row],[Ad Spend]]</f>
        <v>375.21000000000004</v>
      </c>
      <c r="M1521" s="11">
        <v>143.09</v>
      </c>
    </row>
    <row r="1522" spans="1:13" ht="15.75" customHeight="1" x14ac:dyDescent="0.3">
      <c r="A1522" s="4" t="s">
        <v>293</v>
      </c>
      <c r="B1522">
        <f t="shared" si="23"/>
        <v>11</v>
      </c>
      <c r="C1522" s="2" t="s">
        <v>12</v>
      </c>
      <c r="D1522" s="2" t="s">
        <v>772</v>
      </c>
      <c r="E1522" s="7">
        <v>148.5</v>
      </c>
      <c r="F1522" s="2">
        <v>10</v>
      </c>
      <c r="G1522" s="7">
        <v>330.58</v>
      </c>
      <c r="H1522" s="2" t="s">
        <v>364</v>
      </c>
      <c r="I1522" s="2" t="s">
        <v>35</v>
      </c>
      <c r="J1522" s="2" t="s">
        <v>16</v>
      </c>
      <c r="K1522" s="2" t="s">
        <v>17</v>
      </c>
      <c r="L1522" s="7">
        <f>Table3[[#This Row],[Revenue]]-Table3[[#This Row],[Ad Spend]]</f>
        <v>182.07999999999998</v>
      </c>
      <c r="M1522" s="11">
        <v>127.29</v>
      </c>
    </row>
    <row r="1523" spans="1:13" ht="15.75" customHeight="1" x14ac:dyDescent="0.3">
      <c r="A1523" s="4" t="s">
        <v>169</v>
      </c>
      <c r="B1523">
        <f t="shared" si="23"/>
        <v>2</v>
      </c>
      <c r="C1523" s="2" t="s">
        <v>63</v>
      </c>
      <c r="D1523" s="2" t="s">
        <v>444</v>
      </c>
      <c r="E1523" s="7">
        <v>69.8</v>
      </c>
      <c r="F1523" s="2">
        <v>3</v>
      </c>
      <c r="G1523" s="7">
        <v>336.26</v>
      </c>
      <c r="H1523" s="2" t="s">
        <v>818</v>
      </c>
      <c r="I1523" s="2" t="s">
        <v>15</v>
      </c>
      <c r="J1523" s="2" t="s">
        <v>30</v>
      </c>
      <c r="K1523" s="2" t="s">
        <v>17</v>
      </c>
      <c r="L1523" s="7">
        <f>Table3[[#This Row],[Revenue]]-Table3[[#This Row],[Ad Spend]]</f>
        <v>266.45999999999998</v>
      </c>
      <c r="M1523" s="11">
        <v>144.80000000000001</v>
      </c>
    </row>
    <row r="1524" spans="1:13" ht="15.75" customHeight="1" x14ac:dyDescent="0.3">
      <c r="A1524" s="4" t="s">
        <v>105</v>
      </c>
      <c r="B1524">
        <f t="shared" si="23"/>
        <v>1</v>
      </c>
      <c r="C1524" s="2" t="s">
        <v>63</v>
      </c>
      <c r="D1524" s="2" t="s">
        <v>434</v>
      </c>
      <c r="E1524" s="7">
        <v>76.3</v>
      </c>
      <c r="F1524" s="2">
        <v>9</v>
      </c>
      <c r="G1524" s="7">
        <v>201.13</v>
      </c>
      <c r="H1524" s="2" t="s">
        <v>198</v>
      </c>
      <c r="I1524" s="2" t="s">
        <v>35</v>
      </c>
      <c r="J1524" s="2" t="s">
        <v>25</v>
      </c>
      <c r="K1524" s="2" t="s">
        <v>17</v>
      </c>
      <c r="L1524" s="7">
        <f>Table3[[#This Row],[Revenue]]-Table3[[#This Row],[Ad Spend]]</f>
        <v>124.83</v>
      </c>
      <c r="M1524" s="11">
        <v>116.42</v>
      </c>
    </row>
    <row r="1525" spans="1:13" ht="15.75" customHeight="1" x14ac:dyDescent="0.3">
      <c r="A1525" s="4" t="s">
        <v>409</v>
      </c>
      <c r="B1525">
        <f t="shared" si="23"/>
        <v>11</v>
      </c>
      <c r="C1525" s="2" t="s">
        <v>12</v>
      </c>
      <c r="D1525" s="2" t="s">
        <v>1258</v>
      </c>
      <c r="E1525" s="7">
        <v>79.430000000000007</v>
      </c>
      <c r="F1525" s="2">
        <v>1</v>
      </c>
      <c r="G1525" s="7">
        <v>294.58</v>
      </c>
      <c r="H1525" s="2" t="s">
        <v>664</v>
      </c>
      <c r="I1525" s="2" t="s">
        <v>15</v>
      </c>
      <c r="J1525" s="2" t="s">
        <v>30</v>
      </c>
      <c r="K1525" s="2" t="s">
        <v>17</v>
      </c>
      <c r="L1525" s="7">
        <f>Table3[[#This Row],[Revenue]]-Table3[[#This Row],[Ad Spend]]</f>
        <v>215.14999999999998</v>
      </c>
      <c r="M1525" s="11">
        <v>165.26</v>
      </c>
    </row>
    <row r="1526" spans="1:13" ht="15.75" customHeight="1" x14ac:dyDescent="0.3">
      <c r="A1526" s="4" t="s">
        <v>153</v>
      </c>
      <c r="B1526">
        <f t="shared" si="23"/>
        <v>1</v>
      </c>
      <c r="C1526" s="2" t="s">
        <v>12</v>
      </c>
      <c r="D1526" s="2" t="s">
        <v>509</v>
      </c>
      <c r="E1526" s="7">
        <v>21.81</v>
      </c>
      <c r="F1526" s="2">
        <v>7</v>
      </c>
      <c r="G1526" s="7">
        <v>468.23</v>
      </c>
      <c r="H1526" s="2" t="s">
        <v>395</v>
      </c>
      <c r="I1526" s="2" t="s">
        <v>15</v>
      </c>
      <c r="J1526" s="2" t="s">
        <v>36</v>
      </c>
      <c r="K1526" s="2" t="s">
        <v>17</v>
      </c>
      <c r="L1526" s="7">
        <f>Table3[[#This Row],[Revenue]]-Table3[[#This Row],[Ad Spend]]</f>
        <v>446.42</v>
      </c>
      <c r="M1526" s="11">
        <v>146.93</v>
      </c>
    </row>
    <row r="1527" spans="1:13" ht="15.75" customHeight="1" x14ac:dyDescent="0.3">
      <c r="A1527" s="4" t="s">
        <v>43</v>
      </c>
      <c r="B1527">
        <f t="shared" si="23"/>
        <v>11</v>
      </c>
      <c r="C1527" s="2" t="s">
        <v>32</v>
      </c>
      <c r="D1527" s="2" t="s">
        <v>655</v>
      </c>
      <c r="E1527" s="7">
        <v>50.54</v>
      </c>
      <c r="F1527" s="2">
        <v>0</v>
      </c>
      <c r="G1527" s="7">
        <v>499.37</v>
      </c>
      <c r="H1527" s="2" t="s">
        <v>104</v>
      </c>
      <c r="I1527" s="2" t="s">
        <v>15</v>
      </c>
      <c r="J1527" s="2" t="s">
        <v>25</v>
      </c>
      <c r="K1527" s="2" t="s">
        <v>46</v>
      </c>
      <c r="L1527" s="7">
        <f>Table3[[#This Row],[Revenue]]-Table3[[#This Row],[Ad Spend]]</f>
        <v>448.83</v>
      </c>
      <c r="M1527" s="11">
        <v>114.62</v>
      </c>
    </row>
    <row r="1528" spans="1:13" ht="15.75" customHeight="1" x14ac:dyDescent="0.3">
      <c r="A1528" s="4" t="s">
        <v>59</v>
      </c>
      <c r="B1528">
        <f t="shared" si="23"/>
        <v>3</v>
      </c>
      <c r="C1528" s="2" t="s">
        <v>12</v>
      </c>
      <c r="D1528" s="2" t="s">
        <v>719</v>
      </c>
      <c r="E1528" s="7">
        <v>104.88</v>
      </c>
      <c r="F1528" s="2">
        <v>2</v>
      </c>
      <c r="G1528" s="7">
        <v>355.72</v>
      </c>
      <c r="H1528" s="2" t="s">
        <v>168</v>
      </c>
      <c r="I1528" s="2" t="s">
        <v>29</v>
      </c>
      <c r="J1528" s="2" t="s">
        <v>30</v>
      </c>
      <c r="K1528" s="2" t="s">
        <v>17</v>
      </c>
      <c r="L1528" s="7">
        <f>Table3[[#This Row],[Revenue]]-Table3[[#This Row],[Ad Spend]]</f>
        <v>250.84000000000003</v>
      </c>
      <c r="M1528" s="11">
        <v>140.41999999999999</v>
      </c>
    </row>
    <row r="1529" spans="1:13" ht="15.75" customHeight="1" x14ac:dyDescent="0.3">
      <c r="A1529" s="4" t="s">
        <v>322</v>
      </c>
      <c r="B1529">
        <f t="shared" si="23"/>
        <v>11</v>
      </c>
      <c r="C1529" s="2" t="s">
        <v>12</v>
      </c>
      <c r="D1529" s="2" t="s">
        <v>715</v>
      </c>
      <c r="E1529" s="7">
        <v>138.9</v>
      </c>
      <c r="F1529" s="2">
        <v>3</v>
      </c>
      <c r="G1529" s="7">
        <v>447.74</v>
      </c>
      <c r="H1529" s="2" t="s">
        <v>78</v>
      </c>
      <c r="I1529" s="2" t="s">
        <v>15</v>
      </c>
      <c r="J1529" s="2" t="s">
        <v>30</v>
      </c>
      <c r="K1529" s="2" t="s">
        <v>17</v>
      </c>
      <c r="L1529" s="7">
        <f>Table3[[#This Row],[Revenue]]-Table3[[#This Row],[Ad Spend]]</f>
        <v>308.84000000000003</v>
      </c>
      <c r="M1529" s="11">
        <v>150</v>
      </c>
    </row>
    <row r="1530" spans="1:13" ht="15.75" customHeight="1" x14ac:dyDescent="0.3">
      <c r="A1530" s="4" t="s">
        <v>273</v>
      </c>
      <c r="B1530">
        <f t="shared" si="23"/>
        <v>11</v>
      </c>
      <c r="C1530" s="2" t="s">
        <v>12</v>
      </c>
      <c r="D1530" s="2" t="s">
        <v>969</v>
      </c>
      <c r="E1530" s="7">
        <v>89.52</v>
      </c>
      <c r="F1530" s="2">
        <v>9</v>
      </c>
      <c r="G1530" s="7">
        <v>486.67</v>
      </c>
      <c r="H1530" s="2" t="s">
        <v>347</v>
      </c>
      <c r="I1530" s="2" t="s">
        <v>15</v>
      </c>
      <c r="J1530" s="2" t="s">
        <v>25</v>
      </c>
      <c r="K1530" s="2" t="s">
        <v>17</v>
      </c>
      <c r="L1530" s="7">
        <f>Table3[[#This Row],[Revenue]]-Table3[[#This Row],[Ad Spend]]</f>
        <v>397.15000000000003</v>
      </c>
      <c r="M1530" s="11">
        <v>120.26</v>
      </c>
    </row>
    <row r="1531" spans="1:13" ht="15.75" customHeight="1" x14ac:dyDescent="0.3">
      <c r="A1531" s="4" t="s">
        <v>131</v>
      </c>
      <c r="B1531">
        <f t="shared" si="23"/>
        <v>11</v>
      </c>
      <c r="C1531" s="2" t="s">
        <v>63</v>
      </c>
      <c r="D1531" s="2" t="s">
        <v>1383</v>
      </c>
      <c r="E1531" s="7">
        <v>77.959999999999994</v>
      </c>
      <c r="F1531" s="2">
        <v>1</v>
      </c>
      <c r="G1531" s="7">
        <v>357.96</v>
      </c>
      <c r="H1531" s="2" t="s">
        <v>310</v>
      </c>
      <c r="I1531" s="2" t="s">
        <v>15</v>
      </c>
      <c r="J1531" s="2" t="s">
        <v>16</v>
      </c>
      <c r="K1531" s="2" t="s">
        <v>17</v>
      </c>
      <c r="L1531" s="7">
        <f>Table3[[#This Row],[Revenue]]-Table3[[#This Row],[Ad Spend]]</f>
        <v>280</v>
      </c>
      <c r="M1531" s="11">
        <v>107.14</v>
      </c>
    </row>
    <row r="1532" spans="1:13" ht="15.75" customHeight="1" x14ac:dyDescent="0.3">
      <c r="A1532" s="4" t="s">
        <v>129</v>
      </c>
      <c r="B1532">
        <f t="shared" si="23"/>
        <v>1</v>
      </c>
      <c r="C1532" s="2" t="s">
        <v>12</v>
      </c>
      <c r="D1532" s="2" t="s">
        <v>1079</v>
      </c>
      <c r="E1532" s="7">
        <v>34.39</v>
      </c>
      <c r="F1532" s="2">
        <v>0</v>
      </c>
      <c r="G1532" s="7">
        <v>295.18</v>
      </c>
      <c r="H1532" s="2" t="s">
        <v>1331</v>
      </c>
      <c r="I1532" s="2" t="s">
        <v>15</v>
      </c>
      <c r="J1532" s="2" t="s">
        <v>25</v>
      </c>
      <c r="K1532" s="2" t="s">
        <v>46</v>
      </c>
      <c r="L1532" s="7">
        <f>Table3[[#This Row],[Revenue]]-Table3[[#This Row],[Ad Spend]]</f>
        <v>260.79000000000002</v>
      </c>
      <c r="M1532" s="11">
        <v>126.04</v>
      </c>
    </row>
    <row r="1533" spans="1:13" ht="15.75" customHeight="1" x14ac:dyDescent="0.3">
      <c r="A1533" s="4" t="s">
        <v>753</v>
      </c>
      <c r="B1533">
        <f t="shared" si="23"/>
        <v>11</v>
      </c>
      <c r="C1533" s="2" t="s">
        <v>19</v>
      </c>
      <c r="D1533" s="2" t="s">
        <v>548</v>
      </c>
      <c r="E1533" s="7">
        <v>67.34</v>
      </c>
      <c r="F1533" s="2">
        <v>7</v>
      </c>
      <c r="G1533" s="7">
        <v>238.2</v>
      </c>
      <c r="H1533" s="2" t="s">
        <v>24</v>
      </c>
      <c r="I1533" s="2" t="s">
        <v>29</v>
      </c>
      <c r="J1533" s="2" t="s">
        <v>30</v>
      </c>
      <c r="K1533" s="2" t="s">
        <v>17</v>
      </c>
      <c r="L1533" s="7">
        <f>Table3[[#This Row],[Revenue]]-Table3[[#This Row],[Ad Spend]]</f>
        <v>170.85999999999999</v>
      </c>
      <c r="M1533" s="11">
        <v>136.29</v>
      </c>
    </row>
    <row r="1534" spans="1:13" ht="15.75" customHeight="1" x14ac:dyDescent="0.3">
      <c r="A1534" s="4" t="s">
        <v>247</v>
      </c>
      <c r="B1534">
        <f t="shared" si="23"/>
        <v>3</v>
      </c>
      <c r="C1534" s="2" t="s">
        <v>32</v>
      </c>
      <c r="D1534" s="2" t="s">
        <v>578</v>
      </c>
      <c r="E1534" s="7">
        <v>134.72999999999999</v>
      </c>
      <c r="F1534" s="2">
        <v>3</v>
      </c>
      <c r="G1534" s="7">
        <v>303.48</v>
      </c>
      <c r="H1534" s="2" t="s">
        <v>52</v>
      </c>
      <c r="I1534" s="2" t="s">
        <v>15</v>
      </c>
      <c r="J1534" s="2" t="s">
        <v>16</v>
      </c>
      <c r="K1534" s="2" t="s">
        <v>17</v>
      </c>
      <c r="L1534" s="7">
        <f>Table3[[#This Row],[Revenue]]-Table3[[#This Row],[Ad Spend]]</f>
        <v>168.75000000000003</v>
      </c>
      <c r="M1534" s="11">
        <v>123.61</v>
      </c>
    </row>
    <row r="1535" spans="1:13" ht="15.75" customHeight="1" x14ac:dyDescent="0.3">
      <c r="A1535" s="4" t="s">
        <v>475</v>
      </c>
      <c r="B1535">
        <f t="shared" si="23"/>
        <v>3</v>
      </c>
      <c r="C1535" s="2" t="s">
        <v>19</v>
      </c>
      <c r="D1535" s="2" t="s">
        <v>434</v>
      </c>
      <c r="E1535" s="7">
        <v>106.15</v>
      </c>
      <c r="F1535" s="2">
        <v>6</v>
      </c>
      <c r="G1535" s="7">
        <v>292.92</v>
      </c>
      <c r="H1535" s="2" t="s">
        <v>936</v>
      </c>
      <c r="I1535" s="2" t="s">
        <v>15</v>
      </c>
      <c r="J1535" s="2" t="s">
        <v>16</v>
      </c>
      <c r="K1535" s="2" t="s">
        <v>17</v>
      </c>
      <c r="L1535" s="7">
        <f>Table3[[#This Row],[Revenue]]-Table3[[#This Row],[Ad Spend]]</f>
        <v>186.77</v>
      </c>
      <c r="M1535" s="11">
        <v>167.03</v>
      </c>
    </row>
    <row r="1536" spans="1:13" ht="15.75" customHeight="1" x14ac:dyDescent="0.3">
      <c r="A1536" s="4" t="s">
        <v>834</v>
      </c>
      <c r="B1536">
        <f t="shared" si="23"/>
        <v>11</v>
      </c>
      <c r="C1536" s="2" t="s">
        <v>63</v>
      </c>
      <c r="D1536" s="2" t="s">
        <v>908</v>
      </c>
      <c r="E1536" s="7">
        <v>13.44</v>
      </c>
      <c r="F1536" s="2">
        <v>0</v>
      </c>
      <c r="G1536" s="7">
        <v>322.29000000000002</v>
      </c>
      <c r="H1536" s="2" t="s">
        <v>763</v>
      </c>
      <c r="I1536" s="2" t="s">
        <v>29</v>
      </c>
      <c r="J1536" s="2" t="s">
        <v>16</v>
      </c>
      <c r="K1536" s="2" t="s">
        <v>46</v>
      </c>
      <c r="L1536" s="7">
        <f>Table3[[#This Row],[Revenue]]-Table3[[#This Row],[Ad Spend]]</f>
        <v>308.85000000000002</v>
      </c>
      <c r="M1536" s="11">
        <v>145.91999999999999</v>
      </c>
    </row>
    <row r="1537" spans="1:13" ht="15.75" customHeight="1" x14ac:dyDescent="0.3">
      <c r="A1537" s="4" t="s">
        <v>918</v>
      </c>
      <c r="B1537">
        <f t="shared" si="23"/>
        <v>2</v>
      </c>
      <c r="C1537" s="2" t="s">
        <v>32</v>
      </c>
      <c r="D1537" s="2" t="s">
        <v>1384</v>
      </c>
      <c r="E1537" s="7">
        <v>116.07</v>
      </c>
      <c r="F1537" s="2">
        <v>2</v>
      </c>
      <c r="G1537" s="7">
        <v>482.68</v>
      </c>
      <c r="H1537" s="2" t="s">
        <v>1385</v>
      </c>
      <c r="I1537" s="2" t="s">
        <v>29</v>
      </c>
      <c r="J1537" s="2" t="s">
        <v>36</v>
      </c>
      <c r="K1537" s="2" t="s">
        <v>17</v>
      </c>
      <c r="L1537" s="7">
        <f>Table3[[#This Row],[Revenue]]-Table3[[#This Row],[Ad Spend]]</f>
        <v>366.61</v>
      </c>
      <c r="M1537" s="11">
        <v>151.03</v>
      </c>
    </row>
    <row r="1538" spans="1:13" ht="15.75" customHeight="1" x14ac:dyDescent="0.3">
      <c r="A1538" s="4" t="s">
        <v>502</v>
      </c>
      <c r="B1538">
        <f t="shared" si="23"/>
        <v>12</v>
      </c>
      <c r="C1538" s="2" t="s">
        <v>12</v>
      </c>
      <c r="D1538" s="2" t="s">
        <v>1285</v>
      </c>
      <c r="E1538" s="7">
        <v>91.25</v>
      </c>
      <c r="F1538" s="2">
        <v>2</v>
      </c>
      <c r="G1538" s="7">
        <v>452.12</v>
      </c>
      <c r="H1538" s="2" t="s">
        <v>1014</v>
      </c>
      <c r="I1538" s="2" t="s">
        <v>15</v>
      </c>
      <c r="J1538" s="2" t="s">
        <v>16</v>
      </c>
      <c r="K1538" s="2" t="s">
        <v>17</v>
      </c>
      <c r="L1538" s="7">
        <f>Table3[[#This Row],[Revenue]]-Table3[[#This Row],[Ad Spend]]</f>
        <v>360.87</v>
      </c>
      <c r="M1538" s="11">
        <v>152.04</v>
      </c>
    </row>
    <row r="1539" spans="1:13" ht="15.75" customHeight="1" x14ac:dyDescent="0.3">
      <c r="A1539" s="4" t="s">
        <v>230</v>
      </c>
      <c r="B1539">
        <f t="shared" ref="B1539:B1602" si="24">MONTH(A1539)</f>
        <v>1</v>
      </c>
      <c r="C1539" s="2" t="s">
        <v>19</v>
      </c>
      <c r="D1539" s="2" t="s">
        <v>635</v>
      </c>
      <c r="E1539" s="7">
        <v>50.51</v>
      </c>
      <c r="F1539" s="2">
        <v>7</v>
      </c>
      <c r="G1539" s="7">
        <v>176.07</v>
      </c>
      <c r="H1539" s="2" t="s">
        <v>24</v>
      </c>
      <c r="I1539" s="2" t="s">
        <v>35</v>
      </c>
      <c r="J1539" s="2" t="s">
        <v>30</v>
      </c>
      <c r="K1539" s="2" t="s">
        <v>17</v>
      </c>
      <c r="L1539" s="7">
        <f>Table3[[#This Row],[Revenue]]-Table3[[#This Row],[Ad Spend]]</f>
        <v>125.56</v>
      </c>
      <c r="M1539" s="11">
        <v>139.83000000000001</v>
      </c>
    </row>
    <row r="1540" spans="1:13" ht="15.75" customHeight="1" x14ac:dyDescent="0.3">
      <c r="A1540" s="4" t="s">
        <v>56</v>
      </c>
      <c r="B1540">
        <f t="shared" si="24"/>
        <v>12</v>
      </c>
      <c r="C1540" s="2" t="s">
        <v>12</v>
      </c>
      <c r="D1540" s="2" t="s">
        <v>1386</v>
      </c>
      <c r="E1540" s="7">
        <v>13.99</v>
      </c>
      <c r="F1540" s="2">
        <v>4</v>
      </c>
      <c r="G1540" s="7">
        <v>129.28</v>
      </c>
      <c r="H1540" s="2" t="s">
        <v>529</v>
      </c>
      <c r="I1540" s="2" t="s">
        <v>35</v>
      </c>
      <c r="J1540" s="2" t="s">
        <v>53</v>
      </c>
      <c r="K1540" s="2" t="s">
        <v>17</v>
      </c>
      <c r="L1540" s="7">
        <f>Table3[[#This Row],[Revenue]]-Table3[[#This Row],[Ad Spend]]</f>
        <v>115.29</v>
      </c>
      <c r="M1540" s="11">
        <v>141.5</v>
      </c>
    </row>
    <row r="1541" spans="1:13" ht="15.75" customHeight="1" x14ac:dyDescent="0.3">
      <c r="A1541" s="4" t="s">
        <v>335</v>
      </c>
      <c r="B1541">
        <f t="shared" si="24"/>
        <v>11</v>
      </c>
      <c r="C1541" s="2" t="s">
        <v>19</v>
      </c>
      <c r="D1541" s="2" t="s">
        <v>1387</v>
      </c>
      <c r="E1541" s="7">
        <v>113.51</v>
      </c>
      <c r="F1541" s="2">
        <v>6</v>
      </c>
      <c r="G1541" s="7">
        <v>455.85</v>
      </c>
      <c r="H1541" s="2" t="s">
        <v>372</v>
      </c>
      <c r="I1541" s="2" t="s">
        <v>15</v>
      </c>
      <c r="J1541" s="2" t="s">
        <v>36</v>
      </c>
      <c r="K1541" s="2" t="s">
        <v>17</v>
      </c>
      <c r="L1541" s="7">
        <f>Table3[[#This Row],[Revenue]]-Table3[[#This Row],[Ad Spend]]</f>
        <v>342.34000000000003</v>
      </c>
      <c r="M1541" s="11">
        <v>122.03</v>
      </c>
    </row>
    <row r="1542" spans="1:13" ht="15.75" customHeight="1" x14ac:dyDescent="0.3">
      <c r="A1542" s="4" t="s">
        <v>283</v>
      </c>
      <c r="B1542">
        <f t="shared" si="24"/>
        <v>11</v>
      </c>
      <c r="C1542" s="2" t="s">
        <v>63</v>
      </c>
      <c r="D1542" s="2" t="s">
        <v>1388</v>
      </c>
      <c r="E1542" s="7">
        <v>126.36</v>
      </c>
      <c r="F1542" s="2">
        <v>3</v>
      </c>
      <c r="G1542" s="7">
        <v>361.02</v>
      </c>
      <c r="H1542" s="2" t="s">
        <v>422</v>
      </c>
      <c r="I1542" s="2" t="s">
        <v>29</v>
      </c>
      <c r="J1542" s="2" t="s">
        <v>30</v>
      </c>
      <c r="K1542" s="2" t="s">
        <v>17</v>
      </c>
      <c r="L1542" s="7">
        <f>Table3[[#This Row],[Revenue]]-Table3[[#This Row],[Ad Spend]]</f>
        <v>234.65999999999997</v>
      </c>
      <c r="M1542" s="11">
        <v>140.66</v>
      </c>
    </row>
    <row r="1543" spans="1:13" ht="15.75" customHeight="1" x14ac:dyDescent="0.3">
      <c r="A1543" s="4" t="s">
        <v>527</v>
      </c>
      <c r="B1543">
        <f t="shared" si="24"/>
        <v>1</v>
      </c>
      <c r="C1543" s="2" t="s">
        <v>12</v>
      </c>
      <c r="D1543" s="2" t="s">
        <v>1271</v>
      </c>
      <c r="E1543" s="7">
        <v>16.670000000000002</v>
      </c>
      <c r="F1543" s="2">
        <v>3</v>
      </c>
      <c r="G1543" s="7">
        <v>336.7</v>
      </c>
      <c r="H1543" s="2" t="s">
        <v>313</v>
      </c>
      <c r="I1543" s="2" t="s">
        <v>29</v>
      </c>
      <c r="J1543" s="2" t="s">
        <v>30</v>
      </c>
      <c r="K1543" s="2" t="s">
        <v>17</v>
      </c>
      <c r="L1543" s="7">
        <f>Table3[[#This Row],[Revenue]]-Table3[[#This Row],[Ad Spend]]</f>
        <v>320.02999999999997</v>
      </c>
      <c r="M1543" s="11">
        <v>122.87</v>
      </c>
    </row>
    <row r="1544" spans="1:13" ht="15.75" customHeight="1" x14ac:dyDescent="0.3">
      <c r="A1544" s="4" t="s">
        <v>54</v>
      </c>
      <c r="B1544">
        <f t="shared" si="24"/>
        <v>2</v>
      </c>
      <c r="C1544" s="2" t="s">
        <v>32</v>
      </c>
      <c r="D1544" s="2" t="s">
        <v>841</v>
      </c>
      <c r="E1544" s="7">
        <v>125.23</v>
      </c>
      <c r="F1544" s="2">
        <v>10</v>
      </c>
      <c r="G1544" s="7">
        <v>239.91</v>
      </c>
      <c r="H1544" s="2" t="s">
        <v>147</v>
      </c>
      <c r="I1544" s="2" t="s">
        <v>15</v>
      </c>
      <c r="J1544" s="2" t="s">
        <v>25</v>
      </c>
      <c r="K1544" s="2" t="s">
        <v>17</v>
      </c>
      <c r="L1544" s="7">
        <f>Table3[[#This Row],[Revenue]]-Table3[[#This Row],[Ad Spend]]</f>
        <v>114.67999999999999</v>
      </c>
      <c r="M1544" s="11">
        <v>142.78</v>
      </c>
    </row>
    <row r="1545" spans="1:13" ht="15.75" customHeight="1" x14ac:dyDescent="0.3">
      <c r="A1545" s="4" t="s">
        <v>356</v>
      </c>
      <c r="B1545">
        <f t="shared" si="24"/>
        <v>3</v>
      </c>
      <c r="C1545" s="2" t="s">
        <v>19</v>
      </c>
      <c r="D1545" s="2" t="s">
        <v>680</v>
      </c>
      <c r="E1545" s="7">
        <v>65.63</v>
      </c>
      <c r="F1545" s="2">
        <v>1</v>
      </c>
      <c r="G1545" s="7">
        <v>225.47</v>
      </c>
      <c r="H1545" s="2" t="s">
        <v>1389</v>
      </c>
      <c r="I1545" s="2" t="s">
        <v>35</v>
      </c>
      <c r="J1545" s="2" t="s">
        <v>53</v>
      </c>
      <c r="K1545" s="2" t="s">
        <v>17</v>
      </c>
      <c r="L1545" s="7">
        <f>Table3[[#This Row],[Revenue]]-Table3[[#This Row],[Ad Spend]]</f>
        <v>159.84</v>
      </c>
      <c r="M1545" s="11">
        <v>111.67</v>
      </c>
    </row>
    <row r="1546" spans="1:13" ht="15.75" customHeight="1" x14ac:dyDescent="0.3">
      <c r="A1546" s="4" t="s">
        <v>812</v>
      </c>
      <c r="B1546">
        <f t="shared" si="24"/>
        <v>12</v>
      </c>
      <c r="C1546" s="2" t="s">
        <v>32</v>
      </c>
      <c r="D1546" s="2" t="s">
        <v>604</v>
      </c>
      <c r="E1546" s="7">
        <v>107.68</v>
      </c>
      <c r="F1546" s="2">
        <v>10</v>
      </c>
      <c r="G1546" s="7">
        <v>183.58</v>
      </c>
      <c r="H1546" s="2" t="s">
        <v>751</v>
      </c>
      <c r="I1546" s="2" t="s">
        <v>15</v>
      </c>
      <c r="J1546" s="2" t="s">
        <v>30</v>
      </c>
      <c r="K1546" s="2" t="s">
        <v>17</v>
      </c>
      <c r="L1546" s="7">
        <f>Table3[[#This Row],[Revenue]]-Table3[[#This Row],[Ad Spend]]</f>
        <v>75.900000000000006</v>
      </c>
      <c r="M1546" s="11">
        <v>114.69</v>
      </c>
    </row>
    <row r="1547" spans="1:13" ht="15.75" customHeight="1" x14ac:dyDescent="0.3">
      <c r="A1547" s="4" t="s">
        <v>233</v>
      </c>
      <c r="B1547">
        <f t="shared" si="24"/>
        <v>3</v>
      </c>
      <c r="C1547" s="2" t="s">
        <v>63</v>
      </c>
      <c r="D1547" s="2" t="s">
        <v>968</v>
      </c>
      <c r="E1547" s="7">
        <v>139.12</v>
      </c>
      <c r="F1547" s="2">
        <v>2</v>
      </c>
      <c r="G1547" s="7">
        <v>290.02999999999997</v>
      </c>
      <c r="H1547" s="2" t="s">
        <v>166</v>
      </c>
      <c r="I1547" s="2" t="s">
        <v>35</v>
      </c>
      <c r="J1547" s="2" t="s">
        <v>36</v>
      </c>
      <c r="K1547" s="2" t="s">
        <v>17</v>
      </c>
      <c r="L1547" s="7">
        <f>Table3[[#This Row],[Revenue]]-Table3[[#This Row],[Ad Spend]]</f>
        <v>150.90999999999997</v>
      </c>
      <c r="M1547" s="11">
        <v>135.18</v>
      </c>
    </row>
    <row r="1548" spans="1:13" ht="15.75" customHeight="1" x14ac:dyDescent="0.3">
      <c r="A1548" s="4" t="s">
        <v>126</v>
      </c>
      <c r="B1548">
        <f t="shared" si="24"/>
        <v>11</v>
      </c>
      <c r="C1548" s="2" t="s">
        <v>19</v>
      </c>
      <c r="D1548" s="2" t="s">
        <v>1203</v>
      </c>
      <c r="E1548" s="7">
        <v>109.57</v>
      </c>
      <c r="F1548" s="2">
        <v>4</v>
      </c>
      <c r="G1548" s="7">
        <v>327.45</v>
      </c>
      <c r="H1548" s="2" t="s">
        <v>222</v>
      </c>
      <c r="I1548" s="2" t="s">
        <v>29</v>
      </c>
      <c r="J1548" s="2" t="s">
        <v>87</v>
      </c>
      <c r="K1548" s="2" t="s">
        <v>17</v>
      </c>
      <c r="L1548" s="7">
        <f>Table3[[#This Row],[Revenue]]-Table3[[#This Row],[Ad Spend]]</f>
        <v>217.88</v>
      </c>
      <c r="M1548" s="11">
        <v>142.41999999999999</v>
      </c>
    </row>
    <row r="1549" spans="1:13" ht="15.75" customHeight="1" x14ac:dyDescent="0.3">
      <c r="A1549" s="4" t="s">
        <v>142</v>
      </c>
      <c r="B1549">
        <f t="shared" si="24"/>
        <v>12</v>
      </c>
      <c r="C1549" s="2" t="s">
        <v>63</v>
      </c>
      <c r="D1549" s="2" t="s">
        <v>1077</v>
      </c>
      <c r="E1549" s="7">
        <v>126.49</v>
      </c>
      <c r="F1549" s="2">
        <v>6</v>
      </c>
      <c r="G1549" s="7">
        <v>76.66</v>
      </c>
      <c r="H1549" s="2" t="s">
        <v>174</v>
      </c>
      <c r="I1549" s="2" t="s">
        <v>15</v>
      </c>
      <c r="J1549" s="2" t="s">
        <v>87</v>
      </c>
      <c r="K1549" s="2" t="s">
        <v>17</v>
      </c>
      <c r="L1549" s="7">
        <f>Table3[[#This Row],[Revenue]]-Table3[[#This Row],[Ad Spend]]</f>
        <v>-49.83</v>
      </c>
      <c r="M1549" s="11">
        <v>108.18</v>
      </c>
    </row>
    <row r="1550" spans="1:13" ht="15.75" customHeight="1" x14ac:dyDescent="0.3">
      <c r="A1550" s="4" t="s">
        <v>342</v>
      </c>
      <c r="B1550">
        <f t="shared" si="24"/>
        <v>3</v>
      </c>
      <c r="C1550" s="2" t="s">
        <v>19</v>
      </c>
      <c r="D1550" s="2" t="s">
        <v>1390</v>
      </c>
      <c r="E1550" s="7">
        <v>74.16</v>
      </c>
      <c r="F1550" s="2">
        <v>8</v>
      </c>
      <c r="G1550" s="7">
        <v>103.16</v>
      </c>
      <c r="H1550" s="2" t="s">
        <v>267</v>
      </c>
      <c r="I1550" s="2" t="s">
        <v>15</v>
      </c>
      <c r="J1550" s="2" t="s">
        <v>25</v>
      </c>
      <c r="K1550" s="2" t="s">
        <v>17</v>
      </c>
      <c r="L1550" s="7">
        <f>Table3[[#This Row],[Revenue]]-Table3[[#This Row],[Ad Spend]]</f>
        <v>29</v>
      </c>
      <c r="M1550" s="11">
        <v>120.63</v>
      </c>
    </row>
    <row r="1551" spans="1:13" ht="15.75" customHeight="1" x14ac:dyDescent="0.3">
      <c r="A1551" s="4" t="s">
        <v>184</v>
      </c>
      <c r="B1551">
        <f t="shared" si="24"/>
        <v>3</v>
      </c>
      <c r="C1551" s="2" t="s">
        <v>32</v>
      </c>
      <c r="D1551" s="2" t="s">
        <v>658</v>
      </c>
      <c r="E1551" s="7">
        <v>45.97</v>
      </c>
      <c r="F1551" s="2">
        <v>0</v>
      </c>
      <c r="G1551" s="7">
        <v>264.75</v>
      </c>
      <c r="H1551" s="2" t="s">
        <v>101</v>
      </c>
      <c r="I1551" s="2" t="s">
        <v>35</v>
      </c>
      <c r="J1551" s="2" t="s">
        <v>25</v>
      </c>
      <c r="K1551" s="2" t="s">
        <v>46</v>
      </c>
      <c r="L1551" s="7">
        <f>Table3[[#This Row],[Revenue]]-Table3[[#This Row],[Ad Spend]]</f>
        <v>218.78</v>
      </c>
      <c r="M1551" s="11">
        <v>127.13</v>
      </c>
    </row>
    <row r="1552" spans="1:13" ht="15.75" customHeight="1" x14ac:dyDescent="0.3">
      <c r="A1552" s="4" t="s">
        <v>511</v>
      </c>
      <c r="B1552">
        <f t="shared" si="24"/>
        <v>12</v>
      </c>
      <c r="C1552" s="2" t="s">
        <v>32</v>
      </c>
      <c r="D1552" s="2" t="s">
        <v>382</v>
      </c>
      <c r="E1552" s="7">
        <v>125.68</v>
      </c>
      <c r="F1552" s="2">
        <v>10</v>
      </c>
      <c r="G1552" s="7">
        <v>229.67</v>
      </c>
      <c r="H1552" s="2" t="s">
        <v>634</v>
      </c>
      <c r="I1552" s="2" t="s">
        <v>35</v>
      </c>
      <c r="J1552" s="2" t="s">
        <v>25</v>
      </c>
      <c r="K1552" s="2" t="s">
        <v>17</v>
      </c>
      <c r="L1552" s="7">
        <f>Table3[[#This Row],[Revenue]]-Table3[[#This Row],[Ad Spend]]</f>
        <v>103.98999999999998</v>
      </c>
      <c r="M1552" s="11">
        <v>123.55</v>
      </c>
    </row>
    <row r="1553" spans="1:13" ht="15.75" customHeight="1" x14ac:dyDescent="0.3">
      <c r="A1553" s="4" t="s">
        <v>543</v>
      </c>
      <c r="B1553">
        <f t="shared" si="24"/>
        <v>4</v>
      </c>
      <c r="C1553" s="2" t="s">
        <v>12</v>
      </c>
      <c r="D1553" s="2" t="s">
        <v>305</v>
      </c>
      <c r="E1553" s="7">
        <v>22.88</v>
      </c>
      <c r="F1553" s="2">
        <v>10</v>
      </c>
      <c r="G1553" s="7">
        <v>298.23</v>
      </c>
      <c r="H1553" s="2" t="s">
        <v>1391</v>
      </c>
      <c r="I1553" s="2" t="s">
        <v>15</v>
      </c>
      <c r="J1553" s="2" t="s">
        <v>30</v>
      </c>
      <c r="K1553" s="2" t="s">
        <v>17</v>
      </c>
      <c r="L1553" s="7">
        <f>Table3[[#This Row],[Revenue]]-Table3[[#This Row],[Ad Spend]]</f>
        <v>275.35000000000002</v>
      </c>
      <c r="M1553" s="11">
        <v>182.25</v>
      </c>
    </row>
    <row r="1554" spans="1:13" ht="15.75" customHeight="1" x14ac:dyDescent="0.3">
      <c r="A1554" s="4" t="s">
        <v>216</v>
      </c>
      <c r="B1554">
        <f t="shared" si="24"/>
        <v>2</v>
      </c>
      <c r="C1554" s="2" t="s">
        <v>63</v>
      </c>
      <c r="D1554" s="2" t="s">
        <v>1392</v>
      </c>
      <c r="E1554" s="7">
        <v>127.5</v>
      </c>
      <c r="F1554" s="2">
        <v>2</v>
      </c>
      <c r="G1554" s="7">
        <v>117.63</v>
      </c>
      <c r="H1554" s="2" t="s">
        <v>570</v>
      </c>
      <c r="I1554" s="2" t="s">
        <v>35</v>
      </c>
      <c r="J1554" s="2" t="s">
        <v>30</v>
      </c>
      <c r="K1554" s="2" t="s">
        <v>17</v>
      </c>
      <c r="L1554" s="7">
        <f>Table3[[#This Row],[Revenue]]-Table3[[#This Row],[Ad Spend]]</f>
        <v>-9.8700000000000045</v>
      </c>
      <c r="M1554" s="11">
        <v>110.09</v>
      </c>
    </row>
    <row r="1555" spans="1:13" ht="15.75" customHeight="1" x14ac:dyDescent="0.3">
      <c r="A1555" s="4" t="s">
        <v>91</v>
      </c>
      <c r="B1555">
        <f t="shared" si="24"/>
        <v>3</v>
      </c>
      <c r="C1555" s="2" t="s">
        <v>12</v>
      </c>
      <c r="D1555" s="2" t="s">
        <v>1393</v>
      </c>
      <c r="E1555" s="7">
        <v>35.15</v>
      </c>
      <c r="F1555" s="2">
        <v>3</v>
      </c>
      <c r="G1555" s="7">
        <v>170.46</v>
      </c>
      <c r="H1555" s="2" t="s">
        <v>1394</v>
      </c>
      <c r="I1555" s="2" t="s">
        <v>29</v>
      </c>
      <c r="J1555" s="2" t="s">
        <v>53</v>
      </c>
      <c r="K1555" s="2" t="s">
        <v>17</v>
      </c>
      <c r="L1555" s="7">
        <f>Table3[[#This Row],[Revenue]]-Table3[[#This Row],[Ad Spend]]</f>
        <v>135.31</v>
      </c>
      <c r="M1555" s="11">
        <v>97.16</v>
      </c>
    </row>
    <row r="1556" spans="1:13" ht="15.75" customHeight="1" x14ac:dyDescent="0.3">
      <c r="A1556" s="4" t="s">
        <v>283</v>
      </c>
      <c r="B1556">
        <f t="shared" si="24"/>
        <v>11</v>
      </c>
      <c r="C1556" s="2" t="s">
        <v>12</v>
      </c>
      <c r="D1556" s="2" t="s">
        <v>1230</v>
      </c>
      <c r="E1556" s="7">
        <v>84.45</v>
      </c>
      <c r="F1556" s="2">
        <v>3</v>
      </c>
      <c r="G1556" s="7">
        <v>320.23</v>
      </c>
      <c r="H1556" s="2" t="s">
        <v>104</v>
      </c>
      <c r="I1556" s="2" t="s">
        <v>35</v>
      </c>
      <c r="J1556" s="2" t="s">
        <v>25</v>
      </c>
      <c r="K1556" s="2" t="s">
        <v>17</v>
      </c>
      <c r="L1556" s="7">
        <f>Table3[[#This Row],[Revenue]]-Table3[[#This Row],[Ad Spend]]</f>
        <v>235.78000000000003</v>
      </c>
      <c r="M1556" s="11">
        <v>123.88</v>
      </c>
    </row>
    <row r="1557" spans="1:13" ht="15.75" customHeight="1" x14ac:dyDescent="0.3">
      <c r="A1557" s="4" t="s">
        <v>113</v>
      </c>
      <c r="B1557">
        <f t="shared" si="24"/>
        <v>3</v>
      </c>
      <c r="C1557" s="2" t="s">
        <v>12</v>
      </c>
      <c r="D1557" s="2" t="s">
        <v>1349</v>
      </c>
      <c r="E1557" s="7">
        <v>105.6</v>
      </c>
      <c r="F1557" s="2">
        <v>10</v>
      </c>
      <c r="G1557" s="7">
        <v>193.33</v>
      </c>
      <c r="H1557" s="2" t="s">
        <v>330</v>
      </c>
      <c r="I1557" s="2" t="s">
        <v>15</v>
      </c>
      <c r="J1557" s="2" t="s">
        <v>25</v>
      </c>
      <c r="K1557" s="2" t="s">
        <v>17</v>
      </c>
      <c r="L1557" s="7">
        <f>Table3[[#This Row],[Revenue]]-Table3[[#This Row],[Ad Spend]]</f>
        <v>87.730000000000018</v>
      </c>
      <c r="M1557" s="11">
        <v>131.65</v>
      </c>
    </row>
    <row r="1558" spans="1:13" ht="15.75" customHeight="1" x14ac:dyDescent="0.3">
      <c r="A1558" s="4" t="s">
        <v>376</v>
      </c>
      <c r="B1558">
        <f t="shared" si="24"/>
        <v>4</v>
      </c>
      <c r="C1558" s="2" t="s">
        <v>63</v>
      </c>
      <c r="D1558" s="2" t="s">
        <v>1040</v>
      </c>
      <c r="E1558" s="7">
        <v>88.87</v>
      </c>
      <c r="F1558" s="2">
        <v>3</v>
      </c>
      <c r="G1558" s="7">
        <v>421.6</v>
      </c>
      <c r="H1558" s="2" t="s">
        <v>1117</v>
      </c>
      <c r="I1558" s="2" t="s">
        <v>35</v>
      </c>
      <c r="J1558" s="2" t="s">
        <v>16</v>
      </c>
      <c r="K1558" s="2" t="s">
        <v>17</v>
      </c>
      <c r="L1558" s="7">
        <f>Table3[[#This Row],[Revenue]]-Table3[[#This Row],[Ad Spend]]</f>
        <v>332.73</v>
      </c>
      <c r="M1558" s="11">
        <v>121.67</v>
      </c>
    </row>
    <row r="1559" spans="1:13" ht="15.75" customHeight="1" x14ac:dyDescent="0.3">
      <c r="A1559" s="4" t="s">
        <v>31</v>
      </c>
      <c r="B1559">
        <f t="shared" si="24"/>
        <v>1</v>
      </c>
      <c r="C1559" s="2" t="s">
        <v>12</v>
      </c>
      <c r="D1559" s="2" t="s">
        <v>805</v>
      </c>
      <c r="E1559" s="7">
        <v>33.880000000000003</v>
      </c>
      <c r="F1559" s="2">
        <v>8</v>
      </c>
      <c r="G1559" s="7">
        <v>217.34</v>
      </c>
      <c r="H1559" s="2" t="s">
        <v>973</v>
      </c>
      <c r="I1559" s="2" t="s">
        <v>29</v>
      </c>
      <c r="J1559" s="2" t="s">
        <v>16</v>
      </c>
      <c r="K1559" s="2" t="s">
        <v>17</v>
      </c>
      <c r="L1559" s="7">
        <f>Table3[[#This Row],[Revenue]]-Table3[[#This Row],[Ad Spend]]</f>
        <v>183.46</v>
      </c>
      <c r="M1559" s="11">
        <v>157.5</v>
      </c>
    </row>
    <row r="1560" spans="1:13" ht="15.75" customHeight="1" x14ac:dyDescent="0.3">
      <c r="A1560" s="4" t="s">
        <v>459</v>
      </c>
      <c r="B1560">
        <f t="shared" si="24"/>
        <v>4</v>
      </c>
      <c r="C1560" s="2" t="s">
        <v>19</v>
      </c>
      <c r="D1560" s="2" t="s">
        <v>407</v>
      </c>
      <c r="E1560" s="7">
        <v>79.95</v>
      </c>
      <c r="F1560" s="2">
        <v>3</v>
      </c>
      <c r="G1560" s="7">
        <v>222.49</v>
      </c>
      <c r="H1560" s="2" t="s">
        <v>225</v>
      </c>
      <c r="I1560" s="2" t="s">
        <v>15</v>
      </c>
      <c r="J1560" s="2" t="s">
        <v>53</v>
      </c>
      <c r="K1560" s="2" t="s">
        <v>17</v>
      </c>
      <c r="L1560" s="7">
        <f>Table3[[#This Row],[Revenue]]-Table3[[#This Row],[Ad Spend]]</f>
        <v>142.54000000000002</v>
      </c>
      <c r="M1560" s="11">
        <v>119.95</v>
      </c>
    </row>
    <row r="1561" spans="1:13" ht="15.75" customHeight="1" x14ac:dyDescent="0.3">
      <c r="A1561" s="4" t="s">
        <v>459</v>
      </c>
      <c r="B1561">
        <f t="shared" si="24"/>
        <v>4</v>
      </c>
      <c r="C1561" s="2" t="s">
        <v>63</v>
      </c>
      <c r="D1561" s="2" t="s">
        <v>927</v>
      </c>
      <c r="E1561" s="7">
        <v>31.89</v>
      </c>
      <c r="F1561" s="2">
        <v>8</v>
      </c>
      <c r="G1561" s="7">
        <v>43.55</v>
      </c>
      <c r="H1561" s="2" t="s">
        <v>34</v>
      </c>
      <c r="I1561" s="2" t="s">
        <v>15</v>
      </c>
      <c r="J1561" s="2" t="s">
        <v>36</v>
      </c>
      <c r="K1561" s="2" t="s">
        <v>17</v>
      </c>
      <c r="L1561" s="7">
        <f>Table3[[#This Row],[Revenue]]-Table3[[#This Row],[Ad Spend]]</f>
        <v>11.659999999999997</v>
      </c>
      <c r="M1561" s="11">
        <v>122.16</v>
      </c>
    </row>
    <row r="1562" spans="1:13" ht="15.75" customHeight="1" x14ac:dyDescent="0.3">
      <c r="A1562" s="4" t="s">
        <v>448</v>
      </c>
      <c r="B1562">
        <f t="shared" si="24"/>
        <v>12</v>
      </c>
      <c r="C1562" s="2" t="s">
        <v>19</v>
      </c>
      <c r="D1562" s="2" t="s">
        <v>1242</v>
      </c>
      <c r="E1562" s="7">
        <v>67.56</v>
      </c>
      <c r="F1562" s="2">
        <v>2</v>
      </c>
      <c r="G1562" s="7">
        <v>358.79</v>
      </c>
      <c r="H1562" s="2" t="s">
        <v>279</v>
      </c>
      <c r="I1562" s="2" t="s">
        <v>15</v>
      </c>
      <c r="J1562" s="2" t="s">
        <v>87</v>
      </c>
      <c r="K1562" s="2" t="s">
        <v>17</v>
      </c>
      <c r="L1562" s="7">
        <f>Table3[[#This Row],[Revenue]]-Table3[[#This Row],[Ad Spend]]</f>
        <v>291.23</v>
      </c>
      <c r="M1562" s="11">
        <v>137</v>
      </c>
    </row>
    <row r="1563" spans="1:13" ht="15.75" customHeight="1" x14ac:dyDescent="0.3">
      <c r="A1563" s="4" t="s">
        <v>656</v>
      </c>
      <c r="B1563">
        <f t="shared" si="24"/>
        <v>4</v>
      </c>
      <c r="C1563" s="2" t="s">
        <v>19</v>
      </c>
      <c r="D1563" s="2" t="s">
        <v>248</v>
      </c>
      <c r="E1563" s="7">
        <v>46.54</v>
      </c>
      <c r="F1563" s="2">
        <v>7</v>
      </c>
      <c r="G1563" s="7">
        <v>429.84</v>
      </c>
      <c r="H1563" s="2" t="s">
        <v>1272</v>
      </c>
      <c r="I1563" s="2" t="s">
        <v>15</v>
      </c>
      <c r="J1563" s="2" t="s">
        <v>53</v>
      </c>
      <c r="K1563" s="2" t="s">
        <v>17</v>
      </c>
      <c r="L1563" s="7">
        <f>Table3[[#This Row],[Revenue]]-Table3[[#This Row],[Ad Spend]]</f>
        <v>383.29999999999995</v>
      </c>
      <c r="M1563" s="11">
        <v>141.96</v>
      </c>
    </row>
    <row r="1564" spans="1:13" ht="15.75" customHeight="1" x14ac:dyDescent="0.3">
      <c r="A1564" s="4" t="s">
        <v>409</v>
      </c>
      <c r="B1564">
        <f t="shared" si="24"/>
        <v>11</v>
      </c>
      <c r="C1564" s="2" t="s">
        <v>63</v>
      </c>
      <c r="D1564" s="2" t="s">
        <v>285</v>
      </c>
      <c r="E1564" s="7">
        <v>128.59</v>
      </c>
      <c r="F1564" s="2">
        <v>5</v>
      </c>
      <c r="G1564" s="7">
        <v>100.8</v>
      </c>
      <c r="H1564" s="2" t="s">
        <v>725</v>
      </c>
      <c r="I1564" s="2" t="s">
        <v>15</v>
      </c>
      <c r="J1564" s="2" t="s">
        <v>25</v>
      </c>
      <c r="K1564" s="2" t="s">
        <v>17</v>
      </c>
      <c r="L1564" s="7">
        <f>Table3[[#This Row],[Revenue]]-Table3[[#This Row],[Ad Spend]]</f>
        <v>-27.790000000000006</v>
      </c>
      <c r="M1564" s="11">
        <v>137.57</v>
      </c>
    </row>
    <row r="1565" spans="1:13" ht="15.75" customHeight="1" x14ac:dyDescent="0.3">
      <c r="A1565" s="4" t="s">
        <v>133</v>
      </c>
      <c r="B1565">
        <f t="shared" si="24"/>
        <v>3</v>
      </c>
      <c r="C1565" s="2" t="s">
        <v>12</v>
      </c>
      <c r="D1565" s="2" t="s">
        <v>935</v>
      </c>
      <c r="E1565" s="7">
        <v>61.53</v>
      </c>
      <c r="F1565" s="2">
        <v>4</v>
      </c>
      <c r="G1565" s="7">
        <v>185.31</v>
      </c>
      <c r="H1565" s="2" t="s">
        <v>135</v>
      </c>
      <c r="I1565" s="2" t="s">
        <v>15</v>
      </c>
      <c r="J1565" s="2" t="s">
        <v>30</v>
      </c>
      <c r="K1565" s="2" t="s">
        <v>17</v>
      </c>
      <c r="L1565" s="7">
        <f>Table3[[#This Row],[Revenue]]-Table3[[#This Row],[Ad Spend]]</f>
        <v>123.78</v>
      </c>
      <c r="M1565" s="11">
        <v>157</v>
      </c>
    </row>
    <row r="1566" spans="1:13" ht="15.75" customHeight="1" x14ac:dyDescent="0.3">
      <c r="A1566" s="4" t="s">
        <v>643</v>
      </c>
      <c r="B1566">
        <f t="shared" si="24"/>
        <v>2</v>
      </c>
      <c r="C1566" s="2" t="s">
        <v>19</v>
      </c>
      <c r="D1566" s="2" t="s">
        <v>736</v>
      </c>
      <c r="E1566" s="7">
        <v>140.86000000000001</v>
      </c>
      <c r="F1566" s="2">
        <v>6</v>
      </c>
      <c r="G1566" s="7">
        <v>236.44</v>
      </c>
      <c r="H1566" s="2" t="s">
        <v>328</v>
      </c>
      <c r="I1566" s="2" t="s">
        <v>35</v>
      </c>
      <c r="J1566" s="2" t="s">
        <v>30</v>
      </c>
      <c r="K1566" s="2" t="s">
        <v>17</v>
      </c>
      <c r="L1566" s="7">
        <f>Table3[[#This Row],[Revenue]]-Table3[[#This Row],[Ad Spend]]</f>
        <v>95.579999999999984</v>
      </c>
      <c r="M1566" s="11">
        <v>131.99</v>
      </c>
    </row>
    <row r="1567" spans="1:13" ht="15.75" customHeight="1" x14ac:dyDescent="0.3">
      <c r="A1567" s="4" t="s">
        <v>287</v>
      </c>
      <c r="B1567">
        <f t="shared" si="24"/>
        <v>2</v>
      </c>
      <c r="C1567" s="2" t="s">
        <v>12</v>
      </c>
      <c r="D1567" s="2" t="s">
        <v>1329</v>
      </c>
      <c r="E1567" s="7">
        <v>146.79</v>
      </c>
      <c r="F1567" s="2">
        <v>7</v>
      </c>
      <c r="G1567" s="7">
        <v>260.86</v>
      </c>
      <c r="H1567" s="2" t="s">
        <v>1322</v>
      </c>
      <c r="I1567" s="2" t="s">
        <v>35</v>
      </c>
      <c r="J1567" s="2" t="s">
        <v>30</v>
      </c>
      <c r="K1567" s="2" t="s">
        <v>17</v>
      </c>
      <c r="L1567" s="7">
        <f>Table3[[#This Row],[Revenue]]-Table3[[#This Row],[Ad Spend]]</f>
        <v>114.07000000000002</v>
      </c>
      <c r="M1567" s="11">
        <v>160.61000000000001</v>
      </c>
    </row>
    <row r="1568" spans="1:13" ht="15.75" customHeight="1" x14ac:dyDescent="0.3">
      <c r="A1568" s="4" t="s">
        <v>136</v>
      </c>
      <c r="B1568">
        <f t="shared" si="24"/>
        <v>2</v>
      </c>
      <c r="C1568" s="2" t="s">
        <v>32</v>
      </c>
      <c r="D1568" s="2" t="s">
        <v>720</v>
      </c>
      <c r="E1568" s="7">
        <v>96.95</v>
      </c>
      <c r="F1568" s="2">
        <v>7</v>
      </c>
      <c r="G1568" s="7">
        <v>230.56</v>
      </c>
      <c r="H1568" s="2" t="s">
        <v>1160</v>
      </c>
      <c r="I1568" s="2" t="s">
        <v>35</v>
      </c>
      <c r="J1568" s="2" t="s">
        <v>30</v>
      </c>
      <c r="K1568" s="2" t="s">
        <v>17</v>
      </c>
      <c r="L1568" s="7">
        <f>Table3[[#This Row],[Revenue]]-Table3[[#This Row],[Ad Spend]]</f>
        <v>133.61000000000001</v>
      </c>
      <c r="M1568" s="11">
        <v>118.7</v>
      </c>
    </row>
    <row r="1569" spans="1:13" ht="15.75" customHeight="1" x14ac:dyDescent="0.3">
      <c r="A1569" s="4" t="s">
        <v>812</v>
      </c>
      <c r="B1569">
        <f t="shared" si="24"/>
        <v>12</v>
      </c>
      <c r="C1569" s="2" t="s">
        <v>12</v>
      </c>
      <c r="D1569" s="2" t="s">
        <v>823</v>
      </c>
      <c r="E1569" s="7">
        <v>122.75</v>
      </c>
      <c r="F1569" s="2">
        <v>5</v>
      </c>
      <c r="G1569" s="7">
        <v>57.51</v>
      </c>
      <c r="H1569" s="2" t="s">
        <v>1395</v>
      </c>
      <c r="I1569" s="2" t="s">
        <v>35</v>
      </c>
      <c r="J1569" s="2" t="s">
        <v>87</v>
      </c>
      <c r="K1569" s="2" t="s">
        <v>17</v>
      </c>
      <c r="L1569" s="7">
        <f>Table3[[#This Row],[Revenue]]-Table3[[#This Row],[Ad Spend]]</f>
        <v>-65.240000000000009</v>
      </c>
      <c r="M1569" s="11">
        <v>48.08</v>
      </c>
    </row>
    <row r="1570" spans="1:13" ht="15.75" customHeight="1" x14ac:dyDescent="0.3">
      <c r="A1570" s="4" t="s">
        <v>504</v>
      </c>
      <c r="B1570">
        <f t="shared" si="24"/>
        <v>12</v>
      </c>
      <c r="C1570" s="2" t="s">
        <v>63</v>
      </c>
      <c r="D1570" s="2" t="s">
        <v>697</v>
      </c>
      <c r="E1570" s="7">
        <v>67.78</v>
      </c>
      <c r="F1570" s="2">
        <v>2</v>
      </c>
      <c r="G1570" s="7">
        <v>318.95</v>
      </c>
      <c r="H1570" s="2" t="s">
        <v>820</v>
      </c>
      <c r="I1570" s="2" t="s">
        <v>29</v>
      </c>
      <c r="J1570" s="2" t="s">
        <v>25</v>
      </c>
      <c r="K1570" s="2" t="s">
        <v>17</v>
      </c>
      <c r="L1570" s="7">
        <f>Table3[[#This Row],[Revenue]]-Table3[[#This Row],[Ad Spend]]</f>
        <v>251.17</v>
      </c>
      <c r="M1570" s="11">
        <v>124.88</v>
      </c>
    </row>
    <row r="1571" spans="1:13" ht="15.75" customHeight="1" x14ac:dyDescent="0.3">
      <c r="A1571" s="4" t="s">
        <v>527</v>
      </c>
      <c r="B1571">
        <f t="shared" si="24"/>
        <v>1</v>
      </c>
      <c r="C1571" s="2" t="s">
        <v>63</v>
      </c>
      <c r="D1571" s="2" t="s">
        <v>1145</v>
      </c>
      <c r="E1571" s="7">
        <v>22.84</v>
      </c>
      <c r="F1571" s="2">
        <v>0</v>
      </c>
      <c r="G1571" s="7">
        <v>29.1</v>
      </c>
      <c r="H1571" s="2" t="s">
        <v>967</v>
      </c>
      <c r="I1571" s="2" t="s">
        <v>15</v>
      </c>
      <c r="J1571" s="2" t="s">
        <v>30</v>
      </c>
      <c r="K1571" s="2" t="s">
        <v>46</v>
      </c>
      <c r="L1571" s="7">
        <f>Table3[[#This Row],[Revenue]]-Table3[[#This Row],[Ad Spend]]</f>
        <v>6.2600000000000016</v>
      </c>
      <c r="M1571" s="11">
        <v>102.94</v>
      </c>
    </row>
    <row r="1572" spans="1:13" ht="15.75" customHeight="1" x14ac:dyDescent="0.3">
      <c r="A1572" s="4" t="s">
        <v>123</v>
      </c>
      <c r="B1572">
        <f t="shared" si="24"/>
        <v>4</v>
      </c>
      <c r="C1572" s="2" t="s">
        <v>63</v>
      </c>
      <c r="D1572" s="2" t="s">
        <v>919</v>
      </c>
      <c r="E1572" s="7">
        <v>115.23</v>
      </c>
      <c r="F1572" s="2">
        <v>8</v>
      </c>
      <c r="G1572" s="7">
        <v>294.18</v>
      </c>
      <c r="H1572" s="2" t="s">
        <v>1312</v>
      </c>
      <c r="I1572" s="2" t="s">
        <v>35</v>
      </c>
      <c r="J1572" s="2" t="s">
        <v>25</v>
      </c>
      <c r="K1572" s="2" t="s">
        <v>17</v>
      </c>
      <c r="L1572" s="7">
        <f>Table3[[#This Row],[Revenue]]-Table3[[#This Row],[Ad Spend]]</f>
        <v>178.95</v>
      </c>
      <c r="M1572" s="11">
        <v>162.12</v>
      </c>
    </row>
    <row r="1573" spans="1:13" ht="15.75" customHeight="1" x14ac:dyDescent="0.3">
      <c r="A1573" s="4" t="s">
        <v>472</v>
      </c>
      <c r="B1573">
        <f t="shared" si="24"/>
        <v>4</v>
      </c>
      <c r="C1573" s="2" t="s">
        <v>12</v>
      </c>
      <c r="D1573" s="2" t="s">
        <v>1396</v>
      </c>
      <c r="E1573" s="7">
        <v>94.43</v>
      </c>
      <c r="F1573" s="2">
        <v>1</v>
      </c>
      <c r="G1573" s="7">
        <v>338.31</v>
      </c>
      <c r="H1573" s="2" t="s">
        <v>612</v>
      </c>
      <c r="I1573" s="2" t="s">
        <v>15</v>
      </c>
      <c r="J1573" s="2" t="s">
        <v>25</v>
      </c>
      <c r="K1573" s="2" t="s">
        <v>17</v>
      </c>
      <c r="L1573" s="7">
        <f>Table3[[#This Row],[Revenue]]-Table3[[#This Row],[Ad Spend]]</f>
        <v>243.88</v>
      </c>
      <c r="M1573" s="11">
        <v>168.48</v>
      </c>
    </row>
    <row r="1574" spans="1:13" ht="15.75" customHeight="1" x14ac:dyDescent="0.3">
      <c r="A1574" s="4" t="s">
        <v>82</v>
      </c>
      <c r="B1574">
        <f t="shared" si="24"/>
        <v>4</v>
      </c>
      <c r="C1574" s="2" t="s">
        <v>32</v>
      </c>
      <c r="D1574" s="2" t="s">
        <v>1071</v>
      </c>
      <c r="E1574" s="7">
        <v>98.1</v>
      </c>
      <c r="F1574" s="2">
        <v>7</v>
      </c>
      <c r="G1574" s="7">
        <v>103.35</v>
      </c>
      <c r="H1574" s="2" t="s">
        <v>1336</v>
      </c>
      <c r="I1574" s="2" t="s">
        <v>15</v>
      </c>
      <c r="J1574" s="2" t="s">
        <v>30</v>
      </c>
      <c r="K1574" s="2" t="s">
        <v>17</v>
      </c>
      <c r="L1574" s="7">
        <f>Table3[[#This Row],[Revenue]]-Table3[[#This Row],[Ad Spend]]</f>
        <v>5.25</v>
      </c>
      <c r="M1574" s="11">
        <v>82.81</v>
      </c>
    </row>
    <row r="1575" spans="1:13" ht="15.75" customHeight="1" x14ac:dyDescent="0.3">
      <c r="A1575" s="4" t="s">
        <v>433</v>
      </c>
      <c r="B1575">
        <f t="shared" si="24"/>
        <v>1</v>
      </c>
      <c r="C1575" s="2" t="s">
        <v>12</v>
      </c>
      <c r="D1575" s="2" t="s">
        <v>265</v>
      </c>
      <c r="E1575" s="7">
        <v>34.21</v>
      </c>
      <c r="F1575" s="2">
        <v>2</v>
      </c>
      <c r="G1575" s="7">
        <v>477.13</v>
      </c>
      <c r="H1575" s="2" t="s">
        <v>529</v>
      </c>
      <c r="I1575" s="2" t="s">
        <v>35</v>
      </c>
      <c r="J1575" s="2" t="s">
        <v>16</v>
      </c>
      <c r="K1575" s="2" t="s">
        <v>17</v>
      </c>
      <c r="L1575" s="7">
        <f>Table3[[#This Row],[Revenue]]-Table3[[#This Row],[Ad Spend]]</f>
        <v>442.92</v>
      </c>
      <c r="M1575" s="11">
        <v>143.91999999999999</v>
      </c>
    </row>
    <row r="1576" spans="1:13" ht="15.75" customHeight="1" x14ac:dyDescent="0.3">
      <c r="A1576" s="4" t="s">
        <v>11</v>
      </c>
      <c r="B1576">
        <f t="shared" si="24"/>
        <v>1</v>
      </c>
      <c r="C1576" s="2" t="s">
        <v>32</v>
      </c>
      <c r="D1576" s="2" t="s">
        <v>1334</v>
      </c>
      <c r="E1576" s="7">
        <v>144.09</v>
      </c>
      <c r="F1576" s="2">
        <v>9</v>
      </c>
      <c r="G1576" s="7">
        <v>431.83</v>
      </c>
      <c r="H1576" s="2" t="s">
        <v>24</v>
      </c>
      <c r="I1576" s="2" t="s">
        <v>29</v>
      </c>
      <c r="J1576" s="2" t="s">
        <v>53</v>
      </c>
      <c r="K1576" s="2" t="s">
        <v>17</v>
      </c>
      <c r="L1576" s="7">
        <f>Table3[[#This Row],[Revenue]]-Table3[[#This Row],[Ad Spend]]</f>
        <v>287.74</v>
      </c>
      <c r="M1576" s="11">
        <v>137.30000000000001</v>
      </c>
    </row>
    <row r="1577" spans="1:13" ht="15.75" customHeight="1" x14ac:dyDescent="0.3">
      <c r="A1577" s="4" t="s">
        <v>226</v>
      </c>
      <c r="B1577">
        <f t="shared" si="24"/>
        <v>2</v>
      </c>
      <c r="C1577" s="2" t="s">
        <v>63</v>
      </c>
      <c r="D1577" s="2" t="s">
        <v>1329</v>
      </c>
      <c r="E1577" s="7">
        <v>95.23</v>
      </c>
      <c r="F1577" s="2">
        <v>9</v>
      </c>
      <c r="G1577" s="7">
        <v>57</v>
      </c>
      <c r="H1577" s="2" t="s">
        <v>1397</v>
      </c>
      <c r="I1577" s="2" t="s">
        <v>15</v>
      </c>
      <c r="J1577" s="2" t="s">
        <v>25</v>
      </c>
      <c r="K1577" s="2" t="s">
        <v>17</v>
      </c>
      <c r="L1577" s="7">
        <f>Table3[[#This Row],[Revenue]]-Table3[[#This Row],[Ad Spend]]</f>
        <v>-38.230000000000004</v>
      </c>
      <c r="M1577" s="11">
        <v>58.24</v>
      </c>
    </row>
    <row r="1578" spans="1:13" ht="15.75" customHeight="1" x14ac:dyDescent="0.3">
      <c r="A1578" s="4" t="s">
        <v>271</v>
      </c>
      <c r="B1578">
        <f t="shared" si="24"/>
        <v>1</v>
      </c>
      <c r="C1578" s="2" t="s">
        <v>12</v>
      </c>
      <c r="D1578" s="2" t="s">
        <v>137</v>
      </c>
      <c r="E1578" s="7">
        <v>149.62</v>
      </c>
      <c r="F1578" s="2">
        <v>0</v>
      </c>
      <c r="G1578" s="7">
        <v>156.4</v>
      </c>
      <c r="H1578" s="2" t="s">
        <v>822</v>
      </c>
      <c r="I1578" s="2" t="s">
        <v>35</v>
      </c>
      <c r="J1578" s="2" t="s">
        <v>30</v>
      </c>
      <c r="K1578" s="2" t="s">
        <v>46</v>
      </c>
      <c r="L1578" s="7">
        <f>Table3[[#This Row],[Revenue]]-Table3[[#This Row],[Ad Spend]]</f>
        <v>6.7800000000000011</v>
      </c>
      <c r="M1578" s="11">
        <v>117.59</v>
      </c>
    </row>
    <row r="1579" spans="1:13" ht="15.75" customHeight="1" x14ac:dyDescent="0.3">
      <c r="A1579" s="4" t="s">
        <v>415</v>
      </c>
      <c r="B1579">
        <f t="shared" si="24"/>
        <v>4</v>
      </c>
      <c r="C1579" s="2" t="s">
        <v>63</v>
      </c>
      <c r="D1579" s="2" t="s">
        <v>980</v>
      </c>
      <c r="E1579" s="7">
        <v>116.83</v>
      </c>
      <c r="F1579" s="2">
        <v>4</v>
      </c>
      <c r="G1579" s="7">
        <v>294.06</v>
      </c>
      <c r="H1579" s="2" t="s">
        <v>681</v>
      </c>
      <c r="I1579" s="2" t="s">
        <v>35</v>
      </c>
      <c r="J1579" s="2" t="s">
        <v>30</v>
      </c>
      <c r="K1579" s="2" t="s">
        <v>17</v>
      </c>
      <c r="L1579" s="7">
        <f>Table3[[#This Row],[Revenue]]-Table3[[#This Row],[Ad Spend]]</f>
        <v>177.23000000000002</v>
      </c>
      <c r="M1579" s="11">
        <v>148.87</v>
      </c>
    </row>
    <row r="1580" spans="1:13" ht="15.75" customHeight="1" x14ac:dyDescent="0.3">
      <c r="A1580" s="4" t="s">
        <v>31</v>
      </c>
      <c r="B1580">
        <f t="shared" si="24"/>
        <v>1</v>
      </c>
      <c r="C1580" s="2" t="s">
        <v>19</v>
      </c>
      <c r="D1580" s="2" t="s">
        <v>1048</v>
      </c>
      <c r="E1580" s="7">
        <v>44.62</v>
      </c>
      <c r="F1580" s="2">
        <v>8</v>
      </c>
      <c r="G1580" s="7">
        <v>231.98</v>
      </c>
      <c r="H1580" s="2" t="s">
        <v>461</v>
      </c>
      <c r="I1580" s="2" t="s">
        <v>29</v>
      </c>
      <c r="J1580" s="2" t="s">
        <v>30</v>
      </c>
      <c r="K1580" s="2" t="s">
        <v>17</v>
      </c>
      <c r="L1580" s="7">
        <f>Table3[[#This Row],[Revenue]]-Table3[[#This Row],[Ad Spend]]</f>
        <v>187.35999999999999</v>
      </c>
      <c r="M1580" s="11">
        <v>144.41</v>
      </c>
    </row>
    <row r="1581" spans="1:13" ht="15.75" customHeight="1" x14ac:dyDescent="0.3">
      <c r="A1581" s="4" t="s">
        <v>475</v>
      </c>
      <c r="B1581">
        <f t="shared" si="24"/>
        <v>3</v>
      </c>
      <c r="C1581" s="2" t="s">
        <v>19</v>
      </c>
      <c r="D1581" s="2" t="s">
        <v>426</v>
      </c>
      <c r="E1581" s="7">
        <v>96.79</v>
      </c>
      <c r="F1581" s="2">
        <v>9</v>
      </c>
      <c r="G1581" s="7">
        <v>149.77000000000001</v>
      </c>
      <c r="H1581" s="2" t="s">
        <v>213</v>
      </c>
      <c r="I1581" s="2" t="s">
        <v>15</v>
      </c>
      <c r="J1581" s="2" t="s">
        <v>25</v>
      </c>
      <c r="K1581" s="2" t="s">
        <v>17</v>
      </c>
      <c r="L1581" s="7">
        <f>Table3[[#This Row],[Revenue]]-Table3[[#This Row],[Ad Spend]]</f>
        <v>52.980000000000004</v>
      </c>
      <c r="M1581" s="11">
        <v>114.73</v>
      </c>
    </row>
    <row r="1582" spans="1:13" ht="15.75" customHeight="1" x14ac:dyDescent="0.3">
      <c r="A1582" s="4" t="s">
        <v>850</v>
      </c>
      <c r="B1582">
        <f t="shared" si="24"/>
        <v>11</v>
      </c>
      <c r="C1582" s="2" t="s">
        <v>19</v>
      </c>
      <c r="D1582" s="2" t="s">
        <v>537</v>
      </c>
      <c r="E1582" s="7">
        <v>96.44</v>
      </c>
      <c r="F1582" s="2">
        <v>3</v>
      </c>
      <c r="G1582" s="7">
        <v>171.74</v>
      </c>
      <c r="H1582" s="2" t="s">
        <v>995</v>
      </c>
      <c r="I1582" s="2" t="s">
        <v>35</v>
      </c>
      <c r="J1582" s="2" t="s">
        <v>30</v>
      </c>
      <c r="K1582" s="2" t="s">
        <v>17</v>
      </c>
      <c r="L1582" s="7">
        <f>Table3[[#This Row],[Revenue]]-Table3[[#This Row],[Ad Spend]]</f>
        <v>75.300000000000011</v>
      </c>
      <c r="M1582" s="11">
        <v>69.98</v>
      </c>
    </row>
    <row r="1583" spans="1:13" ht="15.75" customHeight="1" x14ac:dyDescent="0.3">
      <c r="A1583" s="4" t="s">
        <v>162</v>
      </c>
      <c r="B1583">
        <f t="shared" si="24"/>
        <v>4</v>
      </c>
      <c r="C1583" s="2" t="s">
        <v>12</v>
      </c>
      <c r="D1583" s="2" t="s">
        <v>606</v>
      </c>
      <c r="E1583" s="7">
        <v>122.97</v>
      </c>
      <c r="F1583" s="2">
        <v>4</v>
      </c>
      <c r="G1583" s="7">
        <v>449.16</v>
      </c>
      <c r="H1583" s="2" t="s">
        <v>28</v>
      </c>
      <c r="I1583" s="2" t="s">
        <v>35</v>
      </c>
      <c r="J1583" s="2" t="s">
        <v>87</v>
      </c>
      <c r="K1583" s="2" t="s">
        <v>17</v>
      </c>
      <c r="L1583" s="7">
        <f>Table3[[#This Row],[Revenue]]-Table3[[#This Row],[Ad Spend]]</f>
        <v>326.19000000000005</v>
      </c>
      <c r="M1583" s="11">
        <v>139.18</v>
      </c>
    </row>
    <row r="1584" spans="1:13" ht="15.75" customHeight="1" x14ac:dyDescent="0.3">
      <c r="A1584" s="4" t="s">
        <v>194</v>
      </c>
      <c r="B1584">
        <f t="shared" si="24"/>
        <v>11</v>
      </c>
      <c r="C1584" s="2" t="s">
        <v>19</v>
      </c>
      <c r="D1584" s="2" t="s">
        <v>1265</v>
      </c>
      <c r="E1584" s="7">
        <v>6.82</v>
      </c>
      <c r="F1584" s="2">
        <v>6</v>
      </c>
      <c r="G1584" s="7">
        <v>343.02</v>
      </c>
      <c r="H1584" s="2" t="s">
        <v>49</v>
      </c>
      <c r="I1584" s="2" t="s">
        <v>29</v>
      </c>
      <c r="J1584" s="2" t="s">
        <v>30</v>
      </c>
      <c r="K1584" s="2" t="s">
        <v>17</v>
      </c>
      <c r="L1584" s="7">
        <f>Table3[[#This Row],[Revenue]]-Table3[[#This Row],[Ad Spend]]</f>
        <v>336.2</v>
      </c>
      <c r="M1584" s="11">
        <v>120.77</v>
      </c>
    </row>
    <row r="1585" spans="1:13" ht="15.75" customHeight="1" x14ac:dyDescent="0.3">
      <c r="A1585" s="4" t="s">
        <v>43</v>
      </c>
      <c r="B1585">
        <f t="shared" si="24"/>
        <v>11</v>
      </c>
      <c r="C1585" s="2" t="s">
        <v>12</v>
      </c>
      <c r="D1585" s="2" t="s">
        <v>1033</v>
      </c>
      <c r="E1585" s="7">
        <v>61.51</v>
      </c>
      <c r="F1585" s="2">
        <v>5</v>
      </c>
      <c r="G1585" s="7">
        <v>452.65</v>
      </c>
      <c r="H1585" s="2" t="s">
        <v>372</v>
      </c>
      <c r="I1585" s="2" t="s">
        <v>29</v>
      </c>
      <c r="J1585" s="2" t="s">
        <v>53</v>
      </c>
      <c r="K1585" s="2" t="s">
        <v>17</v>
      </c>
      <c r="L1585" s="7">
        <f>Table3[[#This Row],[Revenue]]-Table3[[#This Row],[Ad Spend]]</f>
        <v>391.14</v>
      </c>
      <c r="M1585" s="11">
        <v>118.3</v>
      </c>
    </row>
    <row r="1586" spans="1:13" ht="15.75" customHeight="1" x14ac:dyDescent="0.3">
      <c r="A1586" s="4" t="s">
        <v>214</v>
      </c>
      <c r="B1586">
        <f t="shared" si="24"/>
        <v>3</v>
      </c>
      <c r="C1586" s="2" t="s">
        <v>19</v>
      </c>
      <c r="D1586" s="2" t="s">
        <v>1398</v>
      </c>
      <c r="E1586" s="7">
        <v>67.239999999999995</v>
      </c>
      <c r="F1586" s="2">
        <v>1</v>
      </c>
      <c r="G1586" s="7">
        <v>388.12</v>
      </c>
      <c r="H1586" s="2" t="s">
        <v>681</v>
      </c>
      <c r="I1586" s="2" t="s">
        <v>15</v>
      </c>
      <c r="J1586" s="2" t="s">
        <v>25</v>
      </c>
      <c r="K1586" s="2" t="s">
        <v>17</v>
      </c>
      <c r="L1586" s="7">
        <f>Table3[[#This Row],[Revenue]]-Table3[[#This Row],[Ad Spend]]</f>
        <v>320.88</v>
      </c>
      <c r="M1586" s="11">
        <v>155.03</v>
      </c>
    </row>
    <row r="1587" spans="1:13" ht="15.75" customHeight="1" x14ac:dyDescent="0.3">
      <c r="A1587" s="4" t="s">
        <v>94</v>
      </c>
      <c r="B1587">
        <f t="shared" si="24"/>
        <v>1</v>
      </c>
      <c r="C1587" s="2" t="s">
        <v>32</v>
      </c>
      <c r="D1587" s="2" t="s">
        <v>507</v>
      </c>
      <c r="E1587" s="7">
        <v>24.1</v>
      </c>
      <c r="F1587" s="2">
        <v>9</v>
      </c>
      <c r="G1587" s="7">
        <v>296.91000000000003</v>
      </c>
      <c r="H1587" s="2" t="s">
        <v>781</v>
      </c>
      <c r="I1587" s="2" t="s">
        <v>29</v>
      </c>
      <c r="J1587" s="2" t="s">
        <v>25</v>
      </c>
      <c r="K1587" s="2" t="s">
        <v>17</v>
      </c>
      <c r="L1587" s="7">
        <f>Table3[[#This Row],[Revenue]]-Table3[[#This Row],[Ad Spend]]</f>
        <v>272.81</v>
      </c>
      <c r="M1587" s="11">
        <v>108.61</v>
      </c>
    </row>
    <row r="1588" spans="1:13" ht="15.75" customHeight="1" x14ac:dyDescent="0.3">
      <c r="A1588" s="4" t="s">
        <v>280</v>
      </c>
      <c r="B1588">
        <f t="shared" si="24"/>
        <v>2</v>
      </c>
      <c r="C1588" s="2" t="s">
        <v>19</v>
      </c>
      <c r="D1588" s="2" t="s">
        <v>305</v>
      </c>
      <c r="E1588" s="7">
        <v>134.59</v>
      </c>
      <c r="F1588" s="2">
        <v>10</v>
      </c>
      <c r="G1588" s="7">
        <v>96.15</v>
      </c>
      <c r="H1588" s="2" t="s">
        <v>961</v>
      </c>
      <c r="I1588" s="2" t="s">
        <v>29</v>
      </c>
      <c r="J1588" s="2" t="s">
        <v>25</v>
      </c>
      <c r="K1588" s="2" t="s">
        <v>17</v>
      </c>
      <c r="L1588" s="7">
        <f>Table3[[#This Row],[Revenue]]-Table3[[#This Row],[Ad Spend]]</f>
        <v>-38.44</v>
      </c>
      <c r="M1588" s="11">
        <v>62.51</v>
      </c>
    </row>
    <row r="1589" spans="1:13" ht="15.75" customHeight="1" x14ac:dyDescent="0.3">
      <c r="A1589" s="4" t="s">
        <v>22</v>
      </c>
      <c r="B1589">
        <f t="shared" si="24"/>
        <v>4</v>
      </c>
      <c r="C1589" s="2" t="s">
        <v>19</v>
      </c>
      <c r="D1589" s="2" t="s">
        <v>1399</v>
      </c>
      <c r="E1589" s="7">
        <v>65.11</v>
      </c>
      <c r="F1589" s="2">
        <v>10</v>
      </c>
      <c r="G1589" s="7">
        <v>397.09</v>
      </c>
      <c r="H1589" s="2" t="s">
        <v>225</v>
      </c>
      <c r="I1589" s="2" t="s">
        <v>29</v>
      </c>
      <c r="J1589" s="2" t="s">
        <v>25</v>
      </c>
      <c r="K1589" s="2" t="s">
        <v>17</v>
      </c>
      <c r="L1589" s="7">
        <f>Table3[[#This Row],[Revenue]]-Table3[[#This Row],[Ad Spend]]</f>
        <v>331.97999999999996</v>
      </c>
      <c r="M1589" s="11">
        <v>119.37</v>
      </c>
    </row>
    <row r="1590" spans="1:13" ht="15.75" customHeight="1" x14ac:dyDescent="0.3">
      <c r="A1590" s="4" t="s">
        <v>274</v>
      </c>
      <c r="B1590">
        <f t="shared" si="24"/>
        <v>12</v>
      </c>
      <c r="C1590" s="2" t="s">
        <v>32</v>
      </c>
      <c r="D1590" s="2" t="s">
        <v>1400</v>
      </c>
      <c r="E1590" s="7">
        <v>133.46</v>
      </c>
      <c r="F1590" s="2">
        <v>3</v>
      </c>
      <c r="G1590" s="7">
        <v>271.33</v>
      </c>
      <c r="H1590" s="2" t="s">
        <v>558</v>
      </c>
      <c r="I1590" s="2" t="s">
        <v>29</v>
      </c>
      <c r="J1590" s="2" t="s">
        <v>30</v>
      </c>
      <c r="K1590" s="2" t="s">
        <v>17</v>
      </c>
      <c r="L1590" s="7">
        <f>Table3[[#This Row],[Revenue]]-Table3[[#This Row],[Ad Spend]]</f>
        <v>137.86999999999998</v>
      </c>
      <c r="M1590" s="11">
        <v>118.6</v>
      </c>
    </row>
    <row r="1591" spans="1:13" ht="15.75" customHeight="1" x14ac:dyDescent="0.3">
      <c r="A1591" s="4" t="s">
        <v>380</v>
      </c>
      <c r="B1591">
        <f t="shared" si="24"/>
        <v>2</v>
      </c>
      <c r="C1591" s="2" t="s">
        <v>32</v>
      </c>
      <c r="D1591" s="2" t="s">
        <v>992</v>
      </c>
      <c r="E1591" s="7">
        <v>68.16</v>
      </c>
      <c r="F1591" s="2">
        <v>2</v>
      </c>
      <c r="G1591" s="7">
        <v>109.77</v>
      </c>
      <c r="H1591" s="2" t="s">
        <v>1125</v>
      </c>
      <c r="I1591" s="2" t="s">
        <v>35</v>
      </c>
      <c r="J1591" s="2" t="s">
        <v>25</v>
      </c>
      <c r="K1591" s="2" t="s">
        <v>17</v>
      </c>
      <c r="L1591" s="7">
        <f>Table3[[#This Row],[Revenue]]-Table3[[#This Row],[Ad Spend]]</f>
        <v>41.61</v>
      </c>
      <c r="M1591" s="11">
        <v>83.91</v>
      </c>
    </row>
    <row r="1592" spans="1:13" ht="15.75" customHeight="1" x14ac:dyDescent="0.3">
      <c r="A1592" s="4" t="s">
        <v>84</v>
      </c>
      <c r="B1592">
        <f t="shared" si="24"/>
        <v>10</v>
      </c>
      <c r="C1592" s="2" t="s">
        <v>32</v>
      </c>
      <c r="D1592" s="2" t="s">
        <v>341</v>
      </c>
      <c r="E1592" s="7">
        <v>91.55</v>
      </c>
      <c r="F1592" s="2">
        <v>9</v>
      </c>
      <c r="G1592" s="7">
        <v>58.51</v>
      </c>
      <c r="H1592" s="2" t="s">
        <v>310</v>
      </c>
      <c r="I1592" s="2" t="s">
        <v>15</v>
      </c>
      <c r="J1592" s="2" t="s">
        <v>30</v>
      </c>
      <c r="K1592" s="2" t="s">
        <v>17</v>
      </c>
      <c r="L1592" s="7">
        <f>Table3[[#This Row],[Revenue]]-Table3[[#This Row],[Ad Spend]]</f>
        <v>-33.04</v>
      </c>
      <c r="M1592" s="11">
        <v>98.38</v>
      </c>
    </row>
    <row r="1593" spans="1:13" ht="15.75" customHeight="1" x14ac:dyDescent="0.3">
      <c r="A1593" s="4" t="s">
        <v>918</v>
      </c>
      <c r="B1593">
        <f t="shared" si="24"/>
        <v>2</v>
      </c>
      <c r="C1593" s="2" t="s">
        <v>19</v>
      </c>
      <c r="D1593" s="2" t="s">
        <v>1166</v>
      </c>
      <c r="E1593" s="7">
        <v>30.31</v>
      </c>
      <c r="F1593" s="2">
        <v>1</v>
      </c>
      <c r="G1593" s="7">
        <v>378.51</v>
      </c>
      <c r="H1593" s="2" t="s">
        <v>1172</v>
      </c>
      <c r="I1593" s="2" t="s">
        <v>15</v>
      </c>
      <c r="J1593" s="2" t="s">
        <v>25</v>
      </c>
      <c r="K1593" s="2" t="s">
        <v>17</v>
      </c>
      <c r="L1593" s="7">
        <f>Table3[[#This Row],[Revenue]]-Table3[[#This Row],[Ad Spend]]</f>
        <v>348.2</v>
      </c>
      <c r="M1593" s="11">
        <v>122.03</v>
      </c>
    </row>
    <row r="1594" spans="1:13" ht="15.75" customHeight="1" x14ac:dyDescent="0.3">
      <c r="A1594" s="4" t="s">
        <v>472</v>
      </c>
      <c r="B1594">
        <f t="shared" si="24"/>
        <v>4</v>
      </c>
      <c r="C1594" s="2" t="s">
        <v>19</v>
      </c>
      <c r="D1594" s="2" t="s">
        <v>867</v>
      </c>
      <c r="E1594" s="7">
        <v>27.36</v>
      </c>
      <c r="F1594" s="2">
        <v>1</v>
      </c>
      <c r="G1594" s="7">
        <v>149.32</v>
      </c>
      <c r="H1594" s="2" t="s">
        <v>1401</v>
      </c>
      <c r="I1594" s="2" t="s">
        <v>29</v>
      </c>
      <c r="J1594" s="2" t="s">
        <v>87</v>
      </c>
      <c r="K1594" s="2" t="s">
        <v>17</v>
      </c>
      <c r="L1594" s="7">
        <f>Table3[[#This Row],[Revenue]]-Table3[[#This Row],[Ad Spend]]</f>
        <v>121.96</v>
      </c>
      <c r="M1594" s="11">
        <v>87.63</v>
      </c>
    </row>
    <row r="1595" spans="1:13" ht="15.75" customHeight="1" x14ac:dyDescent="0.3">
      <c r="A1595" s="4" t="s">
        <v>273</v>
      </c>
      <c r="B1595">
        <f t="shared" si="24"/>
        <v>11</v>
      </c>
      <c r="C1595" s="2" t="s">
        <v>32</v>
      </c>
      <c r="D1595" s="2" t="s">
        <v>808</v>
      </c>
      <c r="E1595" s="7">
        <v>50.7</v>
      </c>
      <c r="F1595" s="2">
        <v>2</v>
      </c>
      <c r="G1595" s="7">
        <v>73.930000000000007</v>
      </c>
      <c r="H1595" s="2" t="s">
        <v>158</v>
      </c>
      <c r="I1595" s="2" t="s">
        <v>15</v>
      </c>
      <c r="J1595" s="2" t="s">
        <v>30</v>
      </c>
      <c r="K1595" s="2" t="s">
        <v>17</v>
      </c>
      <c r="L1595" s="7">
        <f>Table3[[#This Row],[Revenue]]-Table3[[#This Row],[Ad Spend]]</f>
        <v>23.230000000000004</v>
      </c>
      <c r="M1595" s="11">
        <v>125</v>
      </c>
    </row>
    <row r="1596" spans="1:13" ht="15.75" customHeight="1" x14ac:dyDescent="0.3">
      <c r="A1596" s="4" t="s">
        <v>220</v>
      </c>
      <c r="B1596">
        <f t="shared" si="24"/>
        <v>12</v>
      </c>
      <c r="C1596" s="2" t="s">
        <v>32</v>
      </c>
      <c r="D1596" s="2" t="s">
        <v>663</v>
      </c>
      <c r="E1596" s="7">
        <v>53.63</v>
      </c>
      <c r="F1596" s="2">
        <v>7</v>
      </c>
      <c r="G1596" s="7">
        <v>457.24</v>
      </c>
      <c r="H1596" s="2" t="s">
        <v>1090</v>
      </c>
      <c r="I1596" s="2" t="s">
        <v>35</v>
      </c>
      <c r="J1596" s="2" t="s">
        <v>30</v>
      </c>
      <c r="K1596" s="2" t="s">
        <v>17</v>
      </c>
      <c r="L1596" s="7">
        <f>Table3[[#This Row],[Revenue]]-Table3[[#This Row],[Ad Spend]]</f>
        <v>403.61</v>
      </c>
      <c r="M1596" s="11">
        <v>169.67</v>
      </c>
    </row>
    <row r="1597" spans="1:13" ht="15.75" customHeight="1" x14ac:dyDescent="0.3">
      <c r="A1597" s="4" t="s">
        <v>280</v>
      </c>
      <c r="B1597">
        <f t="shared" si="24"/>
        <v>2</v>
      </c>
      <c r="C1597" s="2" t="s">
        <v>19</v>
      </c>
      <c r="D1597" s="2" t="s">
        <v>873</v>
      </c>
      <c r="E1597" s="7">
        <v>144.35</v>
      </c>
      <c r="F1597" s="2">
        <v>8</v>
      </c>
      <c r="G1597" s="7">
        <v>191.47</v>
      </c>
      <c r="H1597" s="2" t="s">
        <v>52</v>
      </c>
      <c r="I1597" s="2" t="s">
        <v>29</v>
      </c>
      <c r="J1597" s="2" t="s">
        <v>36</v>
      </c>
      <c r="K1597" s="2" t="s">
        <v>17</v>
      </c>
      <c r="L1597" s="7">
        <f>Table3[[#This Row],[Revenue]]-Table3[[#This Row],[Ad Spend]]</f>
        <v>47.120000000000005</v>
      </c>
      <c r="M1597" s="11">
        <v>117.5</v>
      </c>
    </row>
    <row r="1598" spans="1:13" ht="15.75" customHeight="1" x14ac:dyDescent="0.3">
      <c r="A1598" s="4" t="s">
        <v>283</v>
      </c>
      <c r="B1598">
        <f t="shared" si="24"/>
        <v>11</v>
      </c>
      <c r="C1598" s="2" t="s">
        <v>63</v>
      </c>
      <c r="D1598" s="2" t="s">
        <v>895</v>
      </c>
      <c r="E1598" s="7">
        <v>137.88</v>
      </c>
      <c r="F1598" s="2">
        <v>3</v>
      </c>
      <c r="G1598" s="7">
        <v>273.43</v>
      </c>
      <c r="H1598" s="2" t="s">
        <v>24</v>
      </c>
      <c r="I1598" s="2" t="s">
        <v>29</v>
      </c>
      <c r="J1598" s="2" t="s">
        <v>16</v>
      </c>
      <c r="K1598" s="2" t="s">
        <v>17</v>
      </c>
      <c r="L1598" s="7">
        <f>Table3[[#This Row],[Revenue]]-Table3[[#This Row],[Ad Spend]]</f>
        <v>135.55000000000001</v>
      </c>
      <c r="M1598" s="11">
        <v>135.91</v>
      </c>
    </row>
    <row r="1599" spans="1:13" ht="15.75" customHeight="1" x14ac:dyDescent="0.3">
      <c r="A1599" s="4" t="s">
        <v>91</v>
      </c>
      <c r="B1599">
        <f t="shared" si="24"/>
        <v>3</v>
      </c>
      <c r="C1599" s="2" t="s">
        <v>63</v>
      </c>
      <c r="D1599" s="2" t="s">
        <v>1402</v>
      </c>
      <c r="E1599" s="7">
        <v>57.32</v>
      </c>
      <c r="F1599" s="2">
        <v>9</v>
      </c>
      <c r="G1599" s="7">
        <v>304.18</v>
      </c>
      <c r="H1599" s="2" t="s">
        <v>738</v>
      </c>
      <c r="I1599" s="2" t="s">
        <v>29</v>
      </c>
      <c r="J1599" s="2" t="s">
        <v>53</v>
      </c>
      <c r="K1599" s="2" t="s">
        <v>17</v>
      </c>
      <c r="L1599" s="7">
        <f>Table3[[#This Row],[Revenue]]-Table3[[#This Row],[Ad Spend]]</f>
        <v>246.86</v>
      </c>
      <c r="M1599" s="11">
        <v>166.76</v>
      </c>
    </row>
    <row r="1600" spans="1:13" ht="15.75" customHeight="1" x14ac:dyDescent="0.3">
      <c r="A1600" s="4" t="s">
        <v>117</v>
      </c>
      <c r="B1600">
        <f t="shared" si="24"/>
        <v>3</v>
      </c>
      <c r="C1600" s="2" t="s">
        <v>63</v>
      </c>
      <c r="D1600" s="2" t="s">
        <v>1151</v>
      </c>
      <c r="E1600" s="7">
        <v>48.78</v>
      </c>
      <c r="F1600" s="2">
        <v>8</v>
      </c>
      <c r="G1600" s="7">
        <v>35.85</v>
      </c>
      <c r="H1600" s="2" t="s">
        <v>1403</v>
      </c>
      <c r="I1600" s="2" t="s">
        <v>35</v>
      </c>
      <c r="J1600" s="2" t="s">
        <v>30</v>
      </c>
      <c r="K1600" s="2" t="s">
        <v>17</v>
      </c>
      <c r="L1600" s="7">
        <f>Table3[[#This Row],[Revenue]]-Table3[[#This Row],[Ad Spend]]</f>
        <v>-12.93</v>
      </c>
      <c r="M1600" s="11">
        <v>38.909999999999997</v>
      </c>
    </row>
    <row r="1601" spans="1:13" ht="15.75" customHeight="1" x14ac:dyDescent="0.3">
      <c r="A1601" s="4" t="s">
        <v>579</v>
      </c>
      <c r="B1601">
        <f t="shared" si="24"/>
        <v>1</v>
      </c>
      <c r="C1601" s="2" t="s">
        <v>32</v>
      </c>
      <c r="D1601" s="2" t="s">
        <v>632</v>
      </c>
      <c r="E1601" s="7">
        <v>13.55</v>
      </c>
      <c r="F1601" s="2">
        <v>3</v>
      </c>
      <c r="G1601" s="7">
        <v>264.45999999999998</v>
      </c>
      <c r="H1601" s="2" t="s">
        <v>1404</v>
      </c>
      <c r="I1601" s="2" t="s">
        <v>15</v>
      </c>
      <c r="J1601" s="2" t="s">
        <v>30</v>
      </c>
      <c r="K1601" s="2" t="s">
        <v>17</v>
      </c>
      <c r="L1601" s="7">
        <f>Table3[[#This Row],[Revenue]]-Table3[[#This Row],[Ad Spend]]</f>
        <v>250.90999999999997</v>
      </c>
      <c r="M1601" s="11">
        <v>126.59</v>
      </c>
    </row>
    <row r="1602" spans="1:13" ht="15.75" customHeight="1" x14ac:dyDescent="0.3">
      <c r="A1602" s="4" t="s">
        <v>579</v>
      </c>
      <c r="B1602">
        <f t="shared" si="24"/>
        <v>1</v>
      </c>
      <c r="C1602" s="2" t="s">
        <v>63</v>
      </c>
      <c r="D1602" s="2" t="s">
        <v>1050</v>
      </c>
      <c r="E1602" s="7">
        <v>59.01</v>
      </c>
      <c r="F1602" s="2">
        <v>8</v>
      </c>
      <c r="G1602" s="7">
        <v>309.8</v>
      </c>
      <c r="H1602" s="2" t="s">
        <v>394</v>
      </c>
      <c r="I1602" s="2" t="s">
        <v>35</v>
      </c>
      <c r="J1602" s="2" t="s">
        <v>30</v>
      </c>
      <c r="K1602" s="2" t="s">
        <v>17</v>
      </c>
      <c r="L1602" s="7">
        <f>Table3[[#This Row],[Revenue]]-Table3[[#This Row],[Ad Spend]]</f>
        <v>250.79000000000002</v>
      </c>
      <c r="M1602" s="11">
        <v>127.1</v>
      </c>
    </row>
    <row r="1603" spans="1:13" ht="15.75" customHeight="1" x14ac:dyDescent="0.3">
      <c r="A1603" s="4" t="s">
        <v>62</v>
      </c>
      <c r="B1603">
        <f t="shared" ref="B1603:B1666" si="25">MONTH(A1603)</f>
        <v>2</v>
      </c>
      <c r="C1603" s="2" t="s">
        <v>12</v>
      </c>
      <c r="D1603" s="2" t="s">
        <v>1405</v>
      </c>
      <c r="E1603" s="7">
        <v>18.88</v>
      </c>
      <c r="F1603" s="2">
        <v>0</v>
      </c>
      <c r="G1603" s="7">
        <v>245.71</v>
      </c>
      <c r="H1603" s="2" t="s">
        <v>45</v>
      </c>
      <c r="I1603" s="2" t="s">
        <v>15</v>
      </c>
      <c r="J1603" s="2" t="s">
        <v>16</v>
      </c>
      <c r="K1603" s="2" t="s">
        <v>46</v>
      </c>
      <c r="L1603" s="7">
        <f>Table3[[#This Row],[Revenue]]-Table3[[#This Row],[Ad Spend]]</f>
        <v>226.83</v>
      </c>
      <c r="M1603" s="11">
        <v>125.99</v>
      </c>
    </row>
    <row r="1604" spans="1:13" ht="15.75" customHeight="1" x14ac:dyDescent="0.3">
      <c r="A1604" s="4" t="s">
        <v>475</v>
      </c>
      <c r="B1604">
        <f t="shared" si="25"/>
        <v>3</v>
      </c>
      <c r="C1604" s="2" t="s">
        <v>63</v>
      </c>
      <c r="D1604" s="2" t="s">
        <v>622</v>
      </c>
      <c r="E1604" s="7">
        <v>88.39</v>
      </c>
      <c r="F1604" s="2">
        <v>10</v>
      </c>
      <c r="G1604" s="7">
        <v>61.27</v>
      </c>
      <c r="H1604" s="2" t="s">
        <v>14</v>
      </c>
      <c r="I1604" s="2" t="s">
        <v>29</v>
      </c>
      <c r="J1604" s="2" t="s">
        <v>25</v>
      </c>
      <c r="K1604" s="2" t="s">
        <v>17</v>
      </c>
      <c r="L1604" s="7">
        <f>Table3[[#This Row],[Revenue]]-Table3[[#This Row],[Ad Spend]]</f>
        <v>-27.119999999999997</v>
      </c>
      <c r="M1604" s="11">
        <v>120.08</v>
      </c>
    </row>
    <row r="1605" spans="1:13" ht="15.75" customHeight="1" x14ac:dyDescent="0.3">
      <c r="A1605" s="4" t="s">
        <v>918</v>
      </c>
      <c r="B1605">
        <f t="shared" si="25"/>
        <v>2</v>
      </c>
      <c r="C1605" s="2" t="s">
        <v>12</v>
      </c>
      <c r="D1605" s="2" t="s">
        <v>1340</v>
      </c>
      <c r="E1605" s="7">
        <v>38.96</v>
      </c>
      <c r="F1605" s="2">
        <v>6</v>
      </c>
      <c r="G1605" s="7">
        <v>131.80000000000001</v>
      </c>
      <c r="H1605" s="2" t="s">
        <v>42</v>
      </c>
      <c r="I1605" s="2" t="s">
        <v>29</v>
      </c>
      <c r="J1605" s="2" t="s">
        <v>87</v>
      </c>
      <c r="K1605" s="2" t="s">
        <v>17</v>
      </c>
      <c r="L1605" s="7">
        <f>Table3[[#This Row],[Revenue]]-Table3[[#This Row],[Ad Spend]]</f>
        <v>92.84</v>
      </c>
      <c r="M1605" s="11">
        <v>114.7</v>
      </c>
    </row>
    <row r="1606" spans="1:13" ht="15.75" customHeight="1" x14ac:dyDescent="0.3">
      <c r="A1606" s="4" t="s">
        <v>79</v>
      </c>
      <c r="B1606">
        <f t="shared" si="25"/>
        <v>11</v>
      </c>
      <c r="C1606" s="2" t="s">
        <v>63</v>
      </c>
      <c r="D1606" s="2" t="s">
        <v>622</v>
      </c>
      <c r="E1606" s="7">
        <v>146.38</v>
      </c>
      <c r="F1606" s="2">
        <v>5</v>
      </c>
      <c r="G1606" s="7">
        <v>104.01</v>
      </c>
      <c r="H1606" s="2" t="s">
        <v>441</v>
      </c>
      <c r="I1606" s="2" t="s">
        <v>35</v>
      </c>
      <c r="J1606" s="2" t="s">
        <v>30</v>
      </c>
      <c r="K1606" s="2" t="s">
        <v>17</v>
      </c>
      <c r="L1606" s="7">
        <f>Table3[[#This Row],[Revenue]]-Table3[[#This Row],[Ad Spend]]</f>
        <v>-42.36999999999999</v>
      </c>
      <c r="M1606" s="11">
        <v>109.99</v>
      </c>
    </row>
    <row r="1607" spans="1:13" ht="15.75" customHeight="1" x14ac:dyDescent="0.3">
      <c r="A1607" s="4" t="s">
        <v>415</v>
      </c>
      <c r="B1607">
        <f t="shared" si="25"/>
        <v>4</v>
      </c>
      <c r="C1607" s="2" t="s">
        <v>12</v>
      </c>
      <c r="D1607" s="2" t="s">
        <v>1406</v>
      </c>
      <c r="E1607" s="7">
        <v>54.99</v>
      </c>
      <c r="F1607" s="2">
        <v>9</v>
      </c>
      <c r="G1607" s="7">
        <v>495.69</v>
      </c>
      <c r="H1607" s="2" t="s">
        <v>427</v>
      </c>
      <c r="I1607" s="2" t="s">
        <v>15</v>
      </c>
      <c r="J1607" s="2" t="s">
        <v>16</v>
      </c>
      <c r="K1607" s="2" t="s">
        <v>17</v>
      </c>
      <c r="L1607" s="7">
        <f>Table3[[#This Row],[Revenue]]-Table3[[#This Row],[Ad Spend]]</f>
        <v>440.7</v>
      </c>
      <c r="M1607" s="11">
        <v>134.11000000000001</v>
      </c>
    </row>
    <row r="1608" spans="1:13" ht="15.75" customHeight="1" x14ac:dyDescent="0.3">
      <c r="A1608" s="4" t="s">
        <v>351</v>
      </c>
      <c r="B1608">
        <f t="shared" si="25"/>
        <v>4</v>
      </c>
      <c r="C1608" s="2" t="s">
        <v>12</v>
      </c>
      <c r="D1608" s="2" t="s">
        <v>1244</v>
      </c>
      <c r="E1608" s="7">
        <v>87.93</v>
      </c>
      <c r="F1608" s="2">
        <v>3</v>
      </c>
      <c r="G1608" s="7">
        <v>294.87</v>
      </c>
      <c r="H1608" s="2" t="s">
        <v>138</v>
      </c>
      <c r="I1608" s="2" t="s">
        <v>35</v>
      </c>
      <c r="J1608" s="2" t="s">
        <v>36</v>
      </c>
      <c r="K1608" s="2" t="s">
        <v>17</v>
      </c>
      <c r="L1608" s="7">
        <f>Table3[[#This Row],[Revenue]]-Table3[[#This Row],[Ad Spend]]</f>
        <v>206.94</v>
      </c>
      <c r="M1608" s="11">
        <v>132.26</v>
      </c>
    </row>
    <row r="1609" spans="1:13" ht="15.75" customHeight="1" x14ac:dyDescent="0.3">
      <c r="A1609" s="4" t="s">
        <v>40</v>
      </c>
      <c r="B1609">
        <f t="shared" si="25"/>
        <v>3</v>
      </c>
      <c r="C1609" s="2" t="s">
        <v>19</v>
      </c>
      <c r="D1609" s="2" t="s">
        <v>1177</v>
      </c>
      <c r="E1609" s="7">
        <v>42.01</v>
      </c>
      <c r="F1609" s="2">
        <v>3</v>
      </c>
      <c r="G1609" s="7">
        <v>450.18</v>
      </c>
      <c r="H1609" s="2" t="s">
        <v>21</v>
      </c>
      <c r="I1609" s="2" t="s">
        <v>29</v>
      </c>
      <c r="J1609" s="2" t="s">
        <v>25</v>
      </c>
      <c r="K1609" s="2" t="s">
        <v>17</v>
      </c>
      <c r="L1609" s="7">
        <f>Table3[[#This Row],[Revenue]]-Table3[[#This Row],[Ad Spend]]</f>
        <v>408.17</v>
      </c>
      <c r="M1609" s="11">
        <v>175.28</v>
      </c>
    </row>
    <row r="1610" spans="1:13" ht="15.75" customHeight="1" x14ac:dyDescent="0.3">
      <c r="A1610" s="4" t="s">
        <v>338</v>
      </c>
      <c r="B1610">
        <f t="shared" si="25"/>
        <v>4</v>
      </c>
      <c r="C1610" s="2" t="s">
        <v>19</v>
      </c>
      <c r="D1610" s="2" t="s">
        <v>452</v>
      </c>
      <c r="E1610" s="7">
        <v>46.33</v>
      </c>
      <c r="F1610" s="2">
        <v>9</v>
      </c>
      <c r="G1610" s="7">
        <v>120</v>
      </c>
      <c r="H1610" s="2" t="s">
        <v>67</v>
      </c>
      <c r="I1610" s="2" t="s">
        <v>35</v>
      </c>
      <c r="J1610" s="2" t="s">
        <v>16</v>
      </c>
      <c r="K1610" s="2" t="s">
        <v>17</v>
      </c>
      <c r="L1610" s="7">
        <f>Table3[[#This Row],[Revenue]]-Table3[[#This Row],[Ad Spend]]</f>
        <v>73.67</v>
      </c>
      <c r="M1610" s="11">
        <v>99.34</v>
      </c>
    </row>
    <row r="1611" spans="1:13" ht="15.75" customHeight="1" x14ac:dyDescent="0.3">
      <c r="A1611" s="4" t="s">
        <v>37</v>
      </c>
      <c r="B1611">
        <f t="shared" si="25"/>
        <v>12</v>
      </c>
      <c r="C1611" s="2" t="s">
        <v>19</v>
      </c>
      <c r="D1611" s="2" t="s">
        <v>616</v>
      </c>
      <c r="E1611" s="7">
        <v>19.93</v>
      </c>
      <c r="F1611" s="2">
        <v>8</v>
      </c>
      <c r="G1611" s="7">
        <v>354.46</v>
      </c>
      <c r="H1611" s="2" t="s">
        <v>1278</v>
      </c>
      <c r="I1611" s="2" t="s">
        <v>15</v>
      </c>
      <c r="J1611" s="2" t="s">
        <v>30</v>
      </c>
      <c r="K1611" s="2" t="s">
        <v>17</v>
      </c>
      <c r="L1611" s="7">
        <f>Table3[[#This Row],[Revenue]]-Table3[[#This Row],[Ad Spend]]</f>
        <v>334.53</v>
      </c>
      <c r="M1611" s="11">
        <v>189.57</v>
      </c>
    </row>
    <row r="1612" spans="1:13" ht="15.75" customHeight="1" x14ac:dyDescent="0.3">
      <c r="A1612" s="4" t="s">
        <v>406</v>
      </c>
      <c r="B1612">
        <f t="shared" si="25"/>
        <v>1</v>
      </c>
      <c r="C1612" s="2" t="s">
        <v>32</v>
      </c>
      <c r="D1612" s="2" t="s">
        <v>470</v>
      </c>
      <c r="E1612" s="7">
        <v>22.15</v>
      </c>
      <c r="F1612" s="2">
        <v>7</v>
      </c>
      <c r="G1612" s="7">
        <v>208.32</v>
      </c>
      <c r="H1612" s="2" t="s">
        <v>49</v>
      </c>
      <c r="I1612" s="2" t="s">
        <v>15</v>
      </c>
      <c r="J1612" s="2" t="s">
        <v>25</v>
      </c>
      <c r="K1612" s="2" t="s">
        <v>17</v>
      </c>
      <c r="L1612" s="7">
        <f>Table3[[#This Row],[Revenue]]-Table3[[#This Row],[Ad Spend]]</f>
        <v>186.17</v>
      </c>
      <c r="M1612" s="11">
        <v>127.28</v>
      </c>
    </row>
    <row r="1613" spans="1:13" ht="15.75" customHeight="1" x14ac:dyDescent="0.3">
      <c r="A1613" s="4" t="s">
        <v>74</v>
      </c>
      <c r="B1613">
        <f t="shared" si="25"/>
        <v>11</v>
      </c>
      <c r="C1613" s="2" t="s">
        <v>19</v>
      </c>
      <c r="D1613" s="2" t="s">
        <v>1407</v>
      </c>
      <c r="E1613" s="7">
        <v>47.51</v>
      </c>
      <c r="F1613" s="2">
        <v>8</v>
      </c>
      <c r="G1613" s="7">
        <v>246.56</v>
      </c>
      <c r="H1613" s="2" t="s">
        <v>1408</v>
      </c>
      <c r="I1613" s="2" t="s">
        <v>29</v>
      </c>
      <c r="J1613" s="2" t="s">
        <v>53</v>
      </c>
      <c r="K1613" s="2" t="s">
        <v>17</v>
      </c>
      <c r="L1613" s="7">
        <f>Table3[[#This Row],[Revenue]]-Table3[[#This Row],[Ad Spend]]</f>
        <v>199.05</v>
      </c>
      <c r="M1613" s="11">
        <v>118.51</v>
      </c>
    </row>
    <row r="1614" spans="1:13" ht="15.75" customHeight="1" x14ac:dyDescent="0.3">
      <c r="A1614" s="4" t="s">
        <v>478</v>
      </c>
      <c r="B1614">
        <f t="shared" si="25"/>
        <v>3</v>
      </c>
      <c r="C1614" s="2" t="s">
        <v>12</v>
      </c>
      <c r="D1614" s="2" t="s">
        <v>790</v>
      </c>
      <c r="E1614" s="7">
        <v>51.59</v>
      </c>
      <c r="F1614" s="2">
        <v>6</v>
      </c>
      <c r="G1614" s="7">
        <v>138.63</v>
      </c>
      <c r="H1614" s="2" t="s">
        <v>232</v>
      </c>
      <c r="I1614" s="2" t="s">
        <v>29</v>
      </c>
      <c r="J1614" s="2" t="s">
        <v>16</v>
      </c>
      <c r="K1614" s="2" t="s">
        <v>17</v>
      </c>
      <c r="L1614" s="7">
        <f>Table3[[#This Row],[Revenue]]-Table3[[#This Row],[Ad Spend]]</f>
        <v>87.039999999999992</v>
      </c>
      <c r="M1614" s="11">
        <v>128.72999999999999</v>
      </c>
    </row>
    <row r="1615" spans="1:13" ht="15.75" customHeight="1" x14ac:dyDescent="0.3">
      <c r="A1615" s="4" t="s">
        <v>250</v>
      </c>
      <c r="B1615">
        <f t="shared" si="25"/>
        <v>12</v>
      </c>
      <c r="C1615" s="2" t="s">
        <v>32</v>
      </c>
      <c r="D1615" s="2" t="s">
        <v>1409</v>
      </c>
      <c r="E1615" s="7">
        <v>60.01</v>
      </c>
      <c r="F1615" s="2">
        <v>4</v>
      </c>
      <c r="G1615" s="7">
        <v>84.94</v>
      </c>
      <c r="H1615" s="2" t="s">
        <v>1169</v>
      </c>
      <c r="I1615" s="2" t="s">
        <v>15</v>
      </c>
      <c r="J1615" s="2" t="s">
        <v>36</v>
      </c>
      <c r="K1615" s="2" t="s">
        <v>17</v>
      </c>
      <c r="L1615" s="7">
        <f>Table3[[#This Row],[Revenue]]-Table3[[#This Row],[Ad Spend]]</f>
        <v>24.93</v>
      </c>
      <c r="M1615" s="11">
        <v>134.71</v>
      </c>
    </row>
    <row r="1616" spans="1:13" ht="15.75" customHeight="1" x14ac:dyDescent="0.3">
      <c r="A1616" s="4" t="s">
        <v>202</v>
      </c>
      <c r="B1616">
        <f t="shared" si="25"/>
        <v>3</v>
      </c>
      <c r="C1616" s="2" t="s">
        <v>63</v>
      </c>
      <c r="D1616" s="2" t="s">
        <v>1007</v>
      </c>
      <c r="E1616" s="7">
        <v>76.72</v>
      </c>
      <c r="F1616" s="2">
        <v>6</v>
      </c>
      <c r="G1616" s="7">
        <v>159.49</v>
      </c>
      <c r="H1616" s="2" t="s">
        <v>1385</v>
      </c>
      <c r="I1616" s="2" t="s">
        <v>29</v>
      </c>
      <c r="J1616" s="2" t="s">
        <v>30</v>
      </c>
      <c r="K1616" s="2" t="s">
        <v>17</v>
      </c>
      <c r="L1616" s="7">
        <f>Table3[[#This Row],[Revenue]]-Table3[[#This Row],[Ad Spend]]</f>
        <v>82.77000000000001</v>
      </c>
      <c r="M1616" s="11">
        <v>151.13</v>
      </c>
    </row>
    <row r="1617" spans="1:13" ht="15.75" customHeight="1" x14ac:dyDescent="0.3">
      <c r="A1617" s="4" t="s">
        <v>322</v>
      </c>
      <c r="B1617">
        <f t="shared" si="25"/>
        <v>11</v>
      </c>
      <c r="C1617" s="2" t="s">
        <v>19</v>
      </c>
      <c r="D1617" s="2" t="s">
        <v>1410</v>
      </c>
      <c r="E1617" s="7">
        <v>131.43</v>
      </c>
      <c r="F1617" s="2">
        <v>1</v>
      </c>
      <c r="G1617" s="7">
        <v>490.19</v>
      </c>
      <c r="H1617" s="2" t="s">
        <v>1391</v>
      </c>
      <c r="I1617" s="2" t="s">
        <v>29</v>
      </c>
      <c r="J1617" s="2" t="s">
        <v>30</v>
      </c>
      <c r="K1617" s="2" t="s">
        <v>17</v>
      </c>
      <c r="L1617" s="7">
        <f>Table3[[#This Row],[Revenue]]-Table3[[#This Row],[Ad Spend]]</f>
        <v>358.76</v>
      </c>
      <c r="M1617" s="11">
        <v>177.29</v>
      </c>
    </row>
    <row r="1618" spans="1:13" ht="15.75" customHeight="1" x14ac:dyDescent="0.3">
      <c r="A1618" s="4" t="s">
        <v>117</v>
      </c>
      <c r="B1618">
        <f t="shared" si="25"/>
        <v>3</v>
      </c>
      <c r="C1618" s="2" t="s">
        <v>19</v>
      </c>
      <c r="D1618" s="2" t="s">
        <v>1411</v>
      </c>
      <c r="E1618" s="7">
        <v>75.540000000000006</v>
      </c>
      <c r="F1618" s="2">
        <v>4</v>
      </c>
      <c r="G1618" s="7">
        <v>171.73</v>
      </c>
      <c r="H1618" s="2" t="s">
        <v>652</v>
      </c>
      <c r="I1618" s="2" t="s">
        <v>29</v>
      </c>
      <c r="J1618" s="2" t="s">
        <v>87</v>
      </c>
      <c r="K1618" s="2" t="s">
        <v>17</v>
      </c>
      <c r="L1618" s="7">
        <f>Table3[[#This Row],[Revenue]]-Table3[[#This Row],[Ad Spend]]</f>
        <v>96.189999999999984</v>
      </c>
      <c r="M1618" s="11">
        <v>116.22</v>
      </c>
    </row>
    <row r="1619" spans="1:13" ht="15.75" customHeight="1" x14ac:dyDescent="0.3">
      <c r="A1619" s="4" t="s">
        <v>273</v>
      </c>
      <c r="B1619">
        <f t="shared" si="25"/>
        <v>11</v>
      </c>
      <c r="C1619" s="2" t="s">
        <v>19</v>
      </c>
      <c r="D1619" s="2" t="s">
        <v>203</v>
      </c>
      <c r="E1619" s="7">
        <v>120.54</v>
      </c>
      <c r="F1619" s="2">
        <v>7</v>
      </c>
      <c r="G1619" s="7">
        <v>388.33</v>
      </c>
      <c r="H1619" s="2" t="s">
        <v>61</v>
      </c>
      <c r="I1619" s="2" t="s">
        <v>29</v>
      </c>
      <c r="J1619" s="2" t="s">
        <v>53</v>
      </c>
      <c r="K1619" s="2" t="s">
        <v>17</v>
      </c>
      <c r="L1619" s="7">
        <f>Table3[[#This Row],[Revenue]]-Table3[[#This Row],[Ad Spend]]</f>
        <v>267.78999999999996</v>
      </c>
      <c r="M1619" s="11">
        <v>137.4</v>
      </c>
    </row>
    <row r="1620" spans="1:13" ht="15.75" customHeight="1" x14ac:dyDescent="0.3">
      <c r="A1620" s="4" t="s">
        <v>230</v>
      </c>
      <c r="B1620">
        <f t="shared" si="25"/>
        <v>1</v>
      </c>
      <c r="C1620" s="2" t="s">
        <v>19</v>
      </c>
      <c r="D1620" s="2" t="s">
        <v>445</v>
      </c>
      <c r="E1620" s="7">
        <v>116.4</v>
      </c>
      <c r="F1620" s="2">
        <v>4</v>
      </c>
      <c r="G1620" s="7">
        <v>361.36</v>
      </c>
      <c r="H1620" s="2" t="s">
        <v>705</v>
      </c>
      <c r="I1620" s="2" t="s">
        <v>35</v>
      </c>
      <c r="J1620" s="2" t="s">
        <v>30</v>
      </c>
      <c r="K1620" s="2" t="s">
        <v>17</v>
      </c>
      <c r="L1620" s="7">
        <f>Table3[[#This Row],[Revenue]]-Table3[[#This Row],[Ad Spend]]</f>
        <v>244.96</v>
      </c>
      <c r="M1620" s="11">
        <v>129.63</v>
      </c>
    </row>
    <row r="1621" spans="1:13" ht="15.75" customHeight="1" x14ac:dyDescent="0.3">
      <c r="A1621" s="4" t="s">
        <v>812</v>
      </c>
      <c r="B1621">
        <f t="shared" si="25"/>
        <v>12</v>
      </c>
      <c r="C1621" s="2" t="s">
        <v>19</v>
      </c>
      <c r="D1621" s="2" t="s">
        <v>1182</v>
      </c>
      <c r="E1621" s="7">
        <v>57.65</v>
      </c>
      <c r="F1621" s="2">
        <v>6</v>
      </c>
      <c r="G1621" s="7">
        <v>410.53</v>
      </c>
      <c r="H1621" s="2" t="s">
        <v>529</v>
      </c>
      <c r="I1621" s="2" t="s">
        <v>35</v>
      </c>
      <c r="J1621" s="2" t="s">
        <v>25</v>
      </c>
      <c r="K1621" s="2" t="s">
        <v>17</v>
      </c>
      <c r="L1621" s="7">
        <f>Table3[[#This Row],[Revenue]]-Table3[[#This Row],[Ad Spend]]</f>
        <v>352.88</v>
      </c>
      <c r="M1621" s="11">
        <v>144.41</v>
      </c>
    </row>
    <row r="1622" spans="1:13" ht="15.75" customHeight="1" x14ac:dyDescent="0.3">
      <c r="A1622" s="4" t="s">
        <v>659</v>
      </c>
      <c r="B1622">
        <f t="shared" si="25"/>
        <v>4</v>
      </c>
      <c r="C1622" s="2" t="s">
        <v>63</v>
      </c>
      <c r="D1622" s="2" t="s">
        <v>817</v>
      </c>
      <c r="E1622" s="7">
        <v>57.38</v>
      </c>
      <c r="F1622" s="2">
        <v>2</v>
      </c>
      <c r="G1622" s="7">
        <v>342.56</v>
      </c>
      <c r="H1622" s="2" t="s">
        <v>749</v>
      </c>
      <c r="I1622" s="2" t="s">
        <v>35</v>
      </c>
      <c r="J1622" s="2" t="s">
        <v>30</v>
      </c>
      <c r="K1622" s="2" t="s">
        <v>17</v>
      </c>
      <c r="L1622" s="7">
        <f>Table3[[#This Row],[Revenue]]-Table3[[#This Row],[Ad Spend]]</f>
        <v>285.18</v>
      </c>
      <c r="M1622" s="11">
        <v>134.6</v>
      </c>
    </row>
    <row r="1623" spans="1:13" ht="15.75" customHeight="1" x14ac:dyDescent="0.3">
      <c r="A1623" s="4" t="s">
        <v>335</v>
      </c>
      <c r="B1623">
        <f t="shared" si="25"/>
        <v>11</v>
      </c>
      <c r="C1623" s="2" t="s">
        <v>63</v>
      </c>
      <c r="D1623" s="2" t="s">
        <v>547</v>
      </c>
      <c r="E1623" s="7">
        <v>7.5</v>
      </c>
      <c r="F1623" s="2">
        <v>1</v>
      </c>
      <c r="G1623" s="7">
        <v>241.53</v>
      </c>
      <c r="H1623" s="2" t="s">
        <v>974</v>
      </c>
      <c r="I1623" s="2" t="s">
        <v>29</v>
      </c>
      <c r="J1623" s="2" t="s">
        <v>16</v>
      </c>
      <c r="K1623" s="2" t="s">
        <v>17</v>
      </c>
      <c r="L1623" s="7">
        <f>Table3[[#This Row],[Revenue]]-Table3[[#This Row],[Ad Spend]]</f>
        <v>234.03</v>
      </c>
      <c r="M1623" s="11">
        <v>149.4</v>
      </c>
    </row>
    <row r="1624" spans="1:13" ht="15.75" customHeight="1" x14ac:dyDescent="0.3">
      <c r="A1624" s="4" t="s">
        <v>250</v>
      </c>
      <c r="B1624">
        <f t="shared" si="25"/>
        <v>12</v>
      </c>
      <c r="C1624" s="2" t="s">
        <v>32</v>
      </c>
      <c r="D1624" s="2" t="s">
        <v>1412</v>
      </c>
      <c r="E1624" s="7">
        <v>37.68</v>
      </c>
      <c r="F1624" s="2">
        <v>8</v>
      </c>
      <c r="G1624" s="7">
        <v>453.46</v>
      </c>
      <c r="H1624" s="2" t="s">
        <v>461</v>
      </c>
      <c r="I1624" s="2" t="s">
        <v>15</v>
      </c>
      <c r="J1624" s="2" t="s">
        <v>30</v>
      </c>
      <c r="K1624" s="2" t="s">
        <v>17</v>
      </c>
      <c r="L1624" s="7">
        <f>Table3[[#This Row],[Revenue]]-Table3[[#This Row],[Ad Spend]]</f>
        <v>415.78</v>
      </c>
      <c r="M1624" s="11">
        <v>140.25</v>
      </c>
    </row>
    <row r="1625" spans="1:13" ht="15.75" customHeight="1" x14ac:dyDescent="0.3">
      <c r="A1625" s="4" t="s">
        <v>592</v>
      </c>
      <c r="B1625">
        <f t="shared" si="25"/>
        <v>1</v>
      </c>
      <c r="C1625" s="2" t="s">
        <v>63</v>
      </c>
      <c r="D1625" s="2" t="s">
        <v>278</v>
      </c>
      <c r="E1625" s="7">
        <v>14.02</v>
      </c>
      <c r="F1625" s="2">
        <v>10</v>
      </c>
      <c r="G1625" s="7">
        <v>371.62</v>
      </c>
      <c r="H1625" s="2" t="s">
        <v>577</v>
      </c>
      <c r="I1625" s="2" t="s">
        <v>35</v>
      </c>
      <c r="J1625" s="2" t="s">
        <v>36</v>
      </c>
      <c r="K1625" s="2" t="s">
        <v>17</v>
      </c>
      <c r="L1625" s="7">
        <f>Table3[[#This Row],[Revenue]]-Table3[[#This Row],[Ad Spend]]</f>
        <v>357.6</v>
      </c>
      <c r="M1625" s="11">
        <v>116.86</v>
      </c>
    </row>
    <row r="1626" spans="1:13" ht="15.75" customHeight="1" x14ac:dyDescent="0.3">
      <c r="A1626" s="4" t="s">
        <v>274</v>
      </c>
      <c r="B1626">
        <f t="shared" si="25"/>
        <v>12</v>
      </c>
      <c r="C1626" s="2" t="s">
        <v>12</v>
      </c>
      <c r="D1626" s="2" t="s">
        <v>1222</v>
      </c>
      <c r="E1626" s="7">
        <v>75.94</v>
      </c>
      <c r="F1626" s="2">
        <v>3</v>
      </c>
      <c r="G1626" s="7">
        <v>201.77</v>
      </c>
      <c r="H1626" s="2" t="s">
        <v>1029</v>
      </c>
      <c r="I1626" s="2" t="s">
        <v>29</v>
      </c>
      <c r="J1626" s="2" t="s">
        <v>87</v>
      </c>
      <c r="K1626" s="2" t="s">
        <v>17</v>
      </c>
      <c r="L1626" s="7">
        <f>Table3[[#This Row],[Revenue]]-Table3[[#This Row],[Ad Spend]]</f>
        <v>125.83000000000001</v>
      </c>
      <c r="M1626" s="11">
        <v>99.19</v>
      </c>
    </row>
    <row r="1627" spans="1:13" ht="15.75" customHeight="1" x14ac:dyDescent="0.3">
      <c r="A1627" s="4" t="s">
        <v>783</v>
      </c>
      <c r="B1627">
        <f t="shared" si="25"/>
        <v>1</v>
      </c>
      <c r="C1627" s="2" t="s">
        <v>12</v>
      </c>
      <c r="D1627" s="2" t="s">
        <v>1413</v>
      </c>
      <c r="E1627" s="7">
        <v>83.26</v>
      </c>
      <c r="F1627" s="2">
        <v>6</v>
      </c>
      <c r="G1627" s="7">
        <v>452.77</v>
      </c>
      <c r="H1627" s="2" t="s">
        <v>34</v>
      </c>
      <c r="I1627" s="2" t="s">
        <v>35</v>
      </c>
      <c r="J1627" s="2" t="s">
        <v>16</v>
      </c>
      <c r="K1627" s="2" t="s">
        <v>17</v>
      </c>
      <c r="L1627" s="7">
        <f>Table3[[#This Row],[Revenue]]-Table3[[#This Row],[Ad Spend]]</f>
        <v>369.51</v>
      </c>
      <c r="M1627" s="11">
        <v>129.99</v>
      </c>
    </row>
    <row r="1628" spans="1:13" ht="15.75" customHeight="1" x14ac:dyDescent="0.3">
      <c r="A1628" s="4" t="s">
        <v>368</v>
      </c>
      <c r="B1628">
        <f t="shared" si="25"/>
        <v>3</v>
      </c>
      <c r="C1628" s="2" t="s">
        <v>12</v>
      </c>
      <c r="D1628" s="2" t="s">
        <v>772</v>
      </c>
      <c r="E1628" s="7">
        <v>83.45</v>
      </c>
      <c r="F1628" s="2">
        <v>2</v>
      </c>
      <c r="G1628" s="7">
        <v>374.47</v>
      </c>
      <c r="H1628" s="2" t="s">
        <v>301</v>
      </c>
      <c r="I1628" s="2" t="s">
        <v>35</v>
      </c>
      <c r="J1628" s="2" t="s">
        <v>87</v>
      </c>
      <c r="K1628" s="2" t="s">
        <v>17</v>
      </c>
      <c r="L1628" s="7">
        <f>Table3[[#This Row],[Revenue]]-Table3[[#This Row],[Ad Spend]]</f>
        <v>291.02000000000004</v>
      </c>
      <c r="M1628" s="11">
        <v>153.37</v>
      </c>
    </row>
    <row r="1629" spans="1:13" ht="15.75" customHeight="1" x14ac:dyDescent="0.3">
      <c r="A1629" s="4" t="s">
        <v>194</v>
      </c>
      <c r="B1629">
        <f t="shared" si="25"/>
        <v>11</v>
      </c>
      <c r="C1629" s="2" t="s">
        <v>63</v>
      </c>
      <c r="D1629" s="2" t="s">
        <v>396</v>
      </c>
      <c r="E1629" s="7">
        <v>33.1</v>
      </c>
      <c r="F1629" s="2">
        <v>3</v>
      </c>
      <c r="G1629" s="7">
        <v>481.3</v>
      </c>
      <c r="H1629" s="2" t="s">
        <v>411</v>
      </c>
      <c r="I1629" s="2" t="s">
        <v>15</v>
      </c>
      <c r="J1629" s="2" t="s">
        <v>16</v>
      </c>
      <c r="K1629" s="2" t="s">
        <v>17</v>
      </c>
      <c r="L1629" s="7">
        <f>Table3[[#This Row],[Revenue]]-Table3[[#This Row],[Ad Spend]]</f>
        <v>448.2</v>
      </c>
      <c r="M1629" s="11">
        <v>160.19</v>
      </c>
    </row>
    <row r="1630" spans="1:13" ht="15.75" customHeight="1" x14ac:dyDescent="0.3">
      <c r="A1630" s="4" t="s">
        <v>428</v>
      </c>
      <c r="B1630">
        <f t="shared" si="25"/>
        <v>3</v>
      </c>
      <c r="C1630" s="2" t="s">
        <v>32</v>
      </c>
      <c r="D1630" s="2" t="s">
        <v>507</v>
      </c>
      <c r="E1630" s="7">
        <v>72.63</v>
      </c>
      <c r="F1630" s="2">
        <v>0</v>
      </c>
      <c r="G1630" s="7">
        <v>55.35</v>
      </c>
      <c r="H1630" s="2" t="s">
        <v>1256</v>
      </c>
      <c r="I1630" s="2" t="s">
        <v>35</v>
      </c>
      <c r="J1630" s="2" t="s">
        <v>30</v>
      </c>
      <c r="K1630" s="2" t="s">
        <v>46</v>
      </c>
      <c r="L1630" s="7">
        <f>Table3[[#This Row],[Revenue]]-Table3[[#This Row],[Ad Spend]]</f>
        <v>-17.279999999999994</v>
      </c>
      <c r="M1630" s="11">
        <v>112.25</v>
      </c>
    </row>
    <row r="1631" spans="1:13" ht="15.75" customHeight="1" x14ac:dyDescent="0.3">
      <c r="A1631" s="4" t="s">
        <v>728</v>
      </c>
      <c r="B1631">
        <f t="shared" si="25"/>
        <v>4</v>
      </c>
      <c r="C1631" s="2" t="s">
        <v>12</v>
      </c>
      <c r="D1631" s="2" t="s">
        <v>1414</v>
      </c>
      <c r="E1631" s="7">
        <v>97.53</v>
      </c>
      <c r="F1631" s="2">
        <v>2</v>
      </c>
      <c r="G1631" s="7">
        <v>46.52</v>
      </c>
      <c r="H1631" s="2" t="s">
        <v>749</v>
      </c>
      <c r="I1631" s="2" t="s">
        <v>35</v>
      </c>
      <c r="J1631" s="2" t="s">
        <v>25</v>
      </c>
      <c r="K1631" s="2" t="s">
        <v>17</v>
      </c>
      <c r="L1631" s="7">
        <f>Table3[[#This Row],[Revenue]]-Table3[[#This Row],[Ad Spend]]</f>
        <v>-51.01</v>
      </c>
      <c r="M1631" s="11">
        <v>130.97999999999999</v>
      </c>
    </row>
    <row r="1632" spans="1:13" ht="15.75" customHeight="1" x14ac:dyDescent="0.3">
      <c r="A1632" s="4" t="s">
        <v>799</v>
      </c>
      <c r="B1632">
        <f t="shared" si="25"/>
        <v>1</v>
      </c>
      <c r="C1632" s="2" t="s">
        <v>12</v>
      </c>
      <c r="D1632" s="2" t="s">
        <v>311</v>
      </c>
      <c r="E1632" s="7">
        <v>123.07</v>
      </c>
      <c r="F1632" s="2">
        <v>1</v>
      </c>
      <c r="G1632" s="7">
        <v>438.93</v>
      </c>
      <c r="H1632" s="2" t="s">
        <v>267</v>
      </c>
      <c r="I1632" s="2" t="s">
        <v>35</v>
      </c>
      <c r="J1632" s="2" t="s">
        <v>36</v>
      </c>
      <c r="K1632" s="2" t="s">
        <v>17</v>
      </c>
      <c r="L1632" s="7">
        <f>Table3[[#This Row],[Revenue]]-Table3[[#This Row],[Ad Spend]]</f>
        <v>315.86</v>
      </c>
      <c r="M1632" s="11">
        <v>116.47</v>
      </c>
    </row>
    <row r="1633" spans="1:13" ht="15.75" customHeight="1" x14ac:dyDescent="0.3">
      <c r="A1633" s="4" t="s">
        <v>496</v>
      </c>
      <c r="B1633">
        <f t="shared" si="25"/>
        <v>1</v>
      </c>
      <c r="C1633" s="2" t="s">
        <v>12</v>
      </c>
      <c r="D1633" s="2" t="s">
        <v>505</v>
      </c>
      <c r="E1633" s="7">
        <v>95.83</v>
      </c>
      <c r="F1633" s="2">
        <v>10</v>
      </c>
      <c r="G1633" s="7">
        <v>423.51</v>
      </c>
      <c r="H1633" s="2" t="s">
        <v>570</v>
      </c>
      <c r="I1633" s="2" t="s">
        <v>29</v>
      </c>
      <c r="J1633" s="2" t="s">
        <v>16</v>
      </c>
      <c r="K1633" s="2" t="s">
        <v>17</v>
      </c>
      <c r="L1633" s="7">
        <f>Table3[[#This Row],[Revenue]]-Table3[[#This Row],[Ad Spend]]</f>
        <v>327.68</v>
      </c>
      <c r="M1633" s="11">
        <v>110.89</v>
      </c>
    </row>
    <row r="1634" spans="1:13" ht="15.75" customHeight="1" x14ac:dyDescent="0.3">
      <c r="A1634" s="4" t="s">
        <v>914</v>
      </c>
      <c r="B1634">
        <f t="shared" si="25"/>
        <v>11</v>
      </c>
      <c r="C1634" s="2" t="s">
        <v>19</v>
      </c>
      <c r="D1634" s="2" t="s">
        <v>1015</v>
      </c>
      <c r="E1634" s="7">
        <v>32.229999999999997</v>
      </c>
      <c r="F1634" s="2">
        <v>10</v>
      </c>
      <c r="G1634" s="7">
        <v>495.74</v>
      </c>
      <c r="H1634" s="2" t="s">
        <v>210</v>
      </c>
      <c r="I1634" s="2" t="s">
        <v>15</v>
      </c>
      <c r="J1634" s="2" t="s">
        <v>87</v>
      </c>
      <c r="K1634" s="2" t="s">
        <v>17</v>
      </c>
      <c r="L1634" s="7">
        <f>Table3[[#This Row],[Revenue]]-Table3[[#This Row],[Ad Spend]]</f>
        <v>463.51</v>
      </c>
      <c r="M1634" s="11">
        <v>157.34</v>
      </c>
    </row>
    <row r="1635" spans="1:13" ht="15.75" customHeight="1" x14ac:dyDescent="0.3">
      <c r="A1635" s="4" t="s">
        <v>162</v>
      </c>
      <c r="B1635">
        <f t="shared" si="25"/>
        <v>4</v>
      </c>
      <c r="C1635" s="2" t="s">
        <v>19</v>
      </c>
      <c r="D1635" s="2" t="s">
        <v>300</v>
      </c>
      <c r="E1635" s="7">
        <v>119.1</v>
      </c>
      <c r="F1635" s="2">
        <v>9</v>
      </c>
      <c r="G1635" s="7">
        <v>191.22</v>
      </c>
      <c r="H1635" s="2" t="s">
        <v>827</v>
      </c>
      <c r="I1635" s="2" t="s">
        <v>29</v>
      </c>
      <c r="J1635" s="2" t="s">
        <v>30</v>
      </c>
      <c r="K1635" s="2" t="s">
        <v>17</v>
      </c>
      <c r="L1635" s="7">
        <f>Table3[[#This Row],[Revenue]]-Table3[[#This Row],[Ad Spend]]</f>
        <v>72.12</v>
      </c>
      <c r="M1635" s="11">
        <v>87.17</v>
      </c>
    </row>
    <row r="1636" spans="1:13" ht="15.75" customHeight="1" x14ac:dyDescent="0.3">
      <c r="A1636" s="4" t="s">
        <v>688</v>
      </c>
      <c r="B1636">
        <f t="shared" si="25"/>
        <v>3</v>
      </c>
      <c r="C1636" s="2" t="s">
        <v>63</v>
      </c>
      <c r="D1636" s="2" t="s">
        <v>1182</v>
      </c>
      <c r="E1636" s="7">
        <v>43.05</v>
      </c>
      <c r="F1636" s="2">
        <v>6</v>
      </c>
      <c r="G1636" s="7">
        <v>303.52</v>
      </c>
      <c r="H1636" s="2" t="s">
        <v>52</v>
      </c>
      <c r="I1636" s="2" t="s">
        <v>29</v>
      </c>
      <c r="J1636" s="2" t="s">
        <v>30</v>
      </c>
      <c r="K1636" s="2" t="s">
        <v>17</v>
      </c>
      <c r="L1636" s="7">
        <f>Table3[[#This Row],[Revenue]]-Table3[[#This Row],[Ad Spend]]</f>
        <v>260.46999999999997</v>
      </c>
      <c r="M1636" s="11">
        <v>126.18</v>
      </c>
    </row>
    <row r="1637" spans="1:13" ht="15.75" customHeight="1" x14ac:dyDescent="0.3">
      <c r="A1637" s="4" t="s">
        <v>148</v>
      </c>
      <c r="B1637">
        <f t="shared" si="25"/>
        <v>4</v>
      </c>
      <c r="C1637" s="2" t="s">
        <v>63</v>
      </c>
      <c r="D1637" s="2" t="s">
        <v>403</v>
      </c>
      <c r="E1637" s="7">
        <v>133.37</v>
      </c>
      <c r="F1637" s="2">
        <v>4</v>
      </c>
      <c r="G1637" s="7">
        <v>424.93</v>
      </c>
      <c r="H1637" s="2" t="s">
        <v>960</v>
      </c>
      <c r="I1637" s="2" t="s">
        <v>29</v>
      </c>
      <c r="J1637" s="2" t="s">
        <v>30</v>
      </c>
      <c r="K1637" s="2" t="s">
        <v>17</v>
      </c>
      <c r="L1637" s="7">
        <f>Table3[[#This Row],[Revenue]]-Table3[[#This Row],[Ad Spend]]</f>
        <v>291.56</v>
      </c>
      <c r="M1637" s="11">
        <v>119.53</v>
      </c>
    </row>
    <row r="1638" spans="1:13" ht="15.75" customHeight="1" x14ac:dyDescent="0.3">
      <c r="A1638" s="4" t="s">
        <v>216</v>
      </c>
      <c r="B1638">
        <f t="shared" si="25"/>
        <v>2</v>
      </c>
      <c r="C1638" s="2" t="s">
        <v>19</v>
      </c>
      <c r="D1638" s="2" t="s">
        <v>369</v>
      </c>
      <c r="E1638" s="7">
        <v>103.1</v>
      </c>
      <c r="F1638" s="2">
        <v>6</v>
      </c>
      <c r="G1638" s="7">
        <v>260.55</v>
      </c>
      <c r="H1638" s="2" t="s">
        <v>42</v>
      </c>
      <c r="I1638" s="2" t="s">
        <v>35</v>
      </c>
      <c r="J1638" s="2" t="s">
        <v>30</v>
      </c>
      <c r="K1638" s="2" t="s">
        <v>17</v>
      </c>
      <c r="L1638" s="7">
        <f>Table3[[#This Row],[Revenue]]-Table3[[#This Row],[Ad Spend]]</f>
        <v>157.45000000000002</v>
      </c>
      <c r="M1638" s="11">
        <v>120.55</v>
      </c>
    </row>
    <row r="1639" spans="1:13" ht="15.75" customHeight="1" x14ac:dyDescent="0.3">
      <c r="A1639" s="4" t="s">
        <v>113</v>
      </c>
      <c r="B1639">
        <f t="shared" si="25"/>
        <v>3</v>
      </c>
      <c r="C1639" s="2" t="s">
        <v>19</v>
      </c>
      <c r="D1639" s="2" t="s">
        <v>1315</v>
      </c>
      <c r="E1639" s="7">
        <v>54.39</v>
      </c>
      <c r="F1639" s="2">
        <v>5</v>
      </c>
      <c r="G1639" s="7">
        <v>437.07</v>
      </c>
      <c r="H1639" s="2" t="s">
        <v>52</v>
      </c>
      <c r="I1639" s="2" t="s">
        <v>35</v>
      </c>
      <c r="J1639" s="2" t="s">
        <v>25</v>
      </c>
      <c r="K1639" s="2" t="s">
        <v>17</v>
      </c>
      <c r="L1639" s="7">
        <f>Table3[[#This Row],[Revenue]]-Table3[[#This Row],[Ad Spend]]</f>
        <v>382.68</v>
      </c>
      <c r="M1639" s="11">
        <v>122.3</v>
      </c>
    </row>
    <row r="1640" spans="1:13" ht="15.75" customHeight="1" x14ac:dyDescent="0.3">
      <c r="A1640" s="4" t="s">
        <v>496</v>
      </c>
      <c r="B1640">
        <f t="shared" si="25"/>
        <v>1</v>
      </c>
      <c r="C1640" s="2" t="s">
        <v>63</v>
      </c>
      <c r="D1640" s="2" t="s">
        <v>1415</v>
      </c>
      <c r="E1640" s="7">
        <v>145.84</v>
      </c>
      <c r="F1640" s="2">
        <v>3</v>
      </c>
      <c r="G1640" s="7">
        <v>445.49</v>
      </c>
      <c r="H1640" s="2" t="s">
        <v>884</v>
      </c>
      <c r="I1640" s="2" t="s">
        <v>15</v>
      </c>
      <c r="J1640" s="2" t="s">
        <v>36</v>
      </c>
      <c r="K1640" s="2" t="s">
        <v>17</v>
      </c>
      <c r="L1640" s="7">
        <f>Table3[[#This Row],[Revenue]]-Table3[[#This Row],[Ad Spend]]</f>
        <v>299.64999999999998</v>
      </c>
      <c r="M1640" s="11">
        <v>181.64</v>
      </c>
    </row>
    <row r="1641" spans="1:13" ht="15.75" customHeight="1" x14ac:dyDescent="0.3">
      <c r="A1641" s="4" t="s">
        <v>951</v>
      </c>
      <c r="B1641">
        <f t="shared" si="25"/>
        <v>12</v>
      </c>
      <c r="C1641" s="2" t="s">
        <v>32</v>
      </c>
      <c r="D1641" s="2" t="s">
        <v>679</v>
      </c>
      <c r="E1641" s="7">
        <v>71.069999999999993</v>
      </c>
      <c r="F1641" s="2">
        <v>9</v>
      </c>
      <c r="G1641" s="7">
        <v>165.67</v>
      </c>
      <c r="H1641" s="2" t="s">
        <v>761</v>
      </c>
      <c r="I1641" s="2" t="s">
        <v>35</v>
      </c>
      <c r="J1641" s="2" t="s">
        <v>30</v>
      </c>
      <c r="K1641" s="2" t="s">
        <v>17</v>
      </c>
      <c r="L1641" s="7">
        <f>Table3[[#This Row],[Revenue]]-Table3[[#This Row],[Ad Spend]]</f>
        <v>94.6</v>
      </c>
      <c r="M1641" s="11">
        <v>119.56</v>
      </c>
    </row>
    <row r="1642" spans="1:13" ht="15.75" customHeight="1" x14ac:dyDescent="0.3">
      <c r="A1642" s="4" t="s">
        <v>208</v>
      </c>
      <c r="B1642">
        <f t="shared" si="25"/>
        <v>11</v>
      </c>
      <c r="C1642" s="2" t="s">
        <v>32</v>
      </c>
      <c r="D1642" s="2" t="s">
        <v>1388</v>
      </c>
      <c r="E1642" s="7">
        <v>45.99</v>
      </c>
      <c r="F1642" s="2">
        <v>8</v>
      </c>
      <c r="G1642" s="7">
        <v>459.04</v>
      </c>
      <c r="H1642" s="2" t="s">
        <v>1416</v>
      </c>
      <c r="I1642" s="2" t="s">
        <v>29</v>
      </c>
      <c r="J1642" s="2" t="s">
        <v>87</v>
      </c>
      <c r="K1642" s="2" t="s">
        <v>17</v>
      </c>
      <c r="L1642" s="7">
        <f>Table3[[#This Row],[Revenue]]-Table3[[#This Row],[Ad Spend]]</f>
        <v>413.05</v>
      </c>
      <c r="M1642" s="11">
        <v>206.66</v>
      </c>
    </row>
    <row r="1643" spans="1:13" ht="15.75" customHeight="1" x14ac:dyDescent="0.3">
      <c r="A1643" s="4" t="s">
        <v>353</v>
      </c>
      <c r="B1643">
        <f t="shared" si="25"/>
        <v>1</v>
      </c>
      <c r="C1643" s="2" t="s">
        <v>32</v>
      </c>
      <c r="D1643" s="2" t="s">
        <v>1279</v>
      </c>
      <c r="E1643" s="7">
        <v>9.31</v>
      </c>
      <c r="F1643" s="2">
        <v>8</v>
      </c>
      <c r="G1643" s="7">
        <v>271.18</v>
      </c>
      <c r="H1643" s="2" t="s">
        <v>235</v>
      </c>
      <c r="I1643" s="2" t="s">
        <v>29</v>
      </c>
      <c r="J1643" s="2" t="s">
        <v>30</v>
      </c>
      <c r="K1643" s="2" t="s">
        <v>17</v>
      </c>
      <c r="L1643" s="7">
        <f>Table3[[#This Row],[Revenue]]-Table3[[#This Row],[Ad Spend]]</f>
        <v>261.87</v>
      </c>
      <c r="M1643" s="11">
        <v>123.66</v>
      </c>
    </row>
    <row r="1644" spans="1:13" ht="15.75" customHeight="1" x14ac:dyDescent="0.3">
      <c r="A1644" s="4" t="s">
        <v>485</v>
      </c>
      <c r="B1644">
        <f t="shared" si="25"/>
        <v>12</v>
      </c>
      <c r="C1644" s="2" t="s">
        <v>32</v>
      </c>
      <c r="D1644" s="2" t="s">
        <v>1241</v>
      </c>
      <c r="E1644" s="7">
        <v>102.07</v>
      </c>
      <c r="F1644" s="2">
        <v>0</v>
      </c>
      <c r="G1644" s="7">
        <v>363.14</v>
      </c>
      <c r="H1644" s="2" t="s">
        <v>225</v>
      </c>
      <c r="I1644" s="2" t="s">
        <v>15</v>
      </c>
      <c r="J1644" s="2" t="s">
        <v>25</v>
      </c>
      <c r="K1644" s="2" t="s">
        <v>46</v>
      </c>
      <c r="L1644" s="7">
        <f>Table3[[#This Row],[Revenue]]-Table3[[#This Row],[Ad Spend]]</f>
        <v>261.07</v>
      </c>
      <c r="M1644" s="11">
        <v>119.93</v>
      </c>
    </row>
    <row r="1645" spans="1:13" ht="15.75" customHeight="1" x14ac:dyDescent="0.3">
      <c r="A1645" s="4" t="s">
        <v>108</v>
      </c>
      <c r="B1645">
        <f t="shared" si="25"/>
        <v>3</v>
      </c>
      <c r="C1645" s="2" t="s">
        <v>32</v>
      </c>
      <c r="D1645" s="2" t="s">
        <v>1417</v>
      </c>
      <c r="E1645" s="7">
        <v>120.69</v>
      </c>
      <c r="F1645" s="2">
        <v>6</v>
      </c>
      <c r="G1645" s="7">
        <v>48.68</v>
      </c>
      <c r="H1645" s="2" t="s">
        <v>1096</v>
      </c>
      <c r="I1645" s="2" t="s">
        <v>35</v>
      </c>
      <c r="J1645" s="2" t="s">
        <v>16</v>
      </c>
      <c r="K1645" s="2" t="s">
        <v>17</v>
      </c>
      <c r="L1645" s="7">
        <f>Table3[[#This Row],[Revenue]]-Table3[[#This Row],[Ad Spend]]</f>
        <v>-72.009999999999991</v>
      </c>
      <c r="M1645" s="11">
        <v>99.85</v>
      </c>
    </row>
    <row r="1646" spans="1:13" ht="15.75" customHeight="1" x14ac:dyDescent="0.3">
      <c r="A1646" s="4" t="s">
        <v>295</v>
      </c>
      <c r="B1646">
        <f t="shared" si="25"/>
        <v>12</v>
      </c>
      <c r="C1646" s="2" t="s">
        <v>32</v>
      </c>
      <c r="D1646" s="2" t="s">
        <v>1418</v>
      </c>
      <c r="E1646" s="7">
        <v>80.62</v>
      </c>
      <c r="F1646" s="2">
        <v>4</v>
      </c>
      <c r="G1646" s="7">
        <v>359.75</v>
      </c>
      <c r="H1646" s="2" t="s">
        <v>52</v>
      </c>
      <c r="I1646" s="2" t="s">
        <v>29</v>
      </c>
      <c r="J1646" s="2" t="s">
        <v>25</v>
      </c>
      <c r="K1646" s="2" t="s">
        <v>17</v>
      </c>
      <c r="L1646" s="7">
        <f>Table3[[#This Row],[Revenue]]-Table3[[#This Row],[Ad Spend]]</f>
        <v>279.13</v>
      </c>
      <c r="M1646" s="11">
        <v>128.47999999999999</v>
      </c>
    </row>
    <row r="1647" spans="1:13" ht="15.75" customHeight="1" x14ac:dyDescent="0.3">
      <c r="A1647" s="4" t="s">
        <v>404</v>
      </c>
      <c r="B1647">
        <f t="shared" si="25"/>
        <v>3</v>
      </c>
      <c r="C1647" s="2" t="s">
        <v>12</v>
      </c>
      <c r="D1647" s="2" t="s">
        <v>1071</v>
      </c>
      <c r="E1647" s="7">
        <v>139.1</v>
      </c>
      <c r="F1647" s="2">
        <v>4</v>
      </c>
      <c r="G1647" s="7">
        <v>438.76</v>
      </c>
      <c r="H1647" s="2" t="s">
        <v>921</v>
      </c>
      <c r="I1647" s="2" t="s">
        <v>35</v>
      </c>
      <c r="J1647" s="2" t="s">
        <v>25</v>
      </c>
      <c r="K1647" s="2" t="s">
        <v>17</v>
      </c>
      <c r="L1647" s="7">
        <f>Table3[[#This Row],[Revenue]]-Table3[[#This Row],[Ad Spend]]</f>
        <v>299.65999999999997</v>
      </c>
      <c r="M1647" s="11">
        <v>123.91</v>
      </c>
    </row>
    <row r="1648" spans="1:13" ht="15.75" customHeight="1" x14ac:dyDescent="0.3">
      <c r="A1648" s="4" t="s">
        <v>532</v>
      </c>
      <c r="B1648">
        <f t="shared" si="25"/>
        <v>2</v>
      </c>
      <c r="C1648" s="2" t="s">
        <v>63</v>
      </c>
      <c r="D1648" s="2" t="s">
        <v>12</v>
      </c>
      <c r="E1648" s="7">
        <v>125.52</v>
      </c>
      <c r="F1648" s="2">
        <v>4</v>
      </c>
      <c r="G1648" s="7">
        <v>209.78</v>
      </c>
      <c r="H1648" s="2" t="s">
        <v>820</v>
      </c>
      <c r="I1648" s="2" t="s">
        <v>35</v>
      </c>
      <c r="J1648" s="2" t="s">
        <v>16</v>
      </c>
      <c r="K1648" s="2" t="s">
        <v>17</v>
      </c>
      <c r="L1648" s="7">
        <f>Table3[[#This Row],[Revenue]]-Table3[[#This Row],[Ad Spend]]</f>
        <v>84.26</v>
      </c>
      <c r="M1648" s="11">
        <v>120.04</v>
      </c>
    </row>
    <row r="1649" spans="1:13" ht="15.75" customHeight="1" x14ac:dyDescent="0.3">
      <c r="A1649" s="4" t="s">
        <v>123</v>
      </c>
      <c r="B1649">
        <f t="shared" si="25"/>
        <v>4</v>
      </c>
      <c r="C1649" s="2" t="s">
        <v>63</v>
      </c>
      <c r="D1649" s="2" t="s">
        <v>1419</v>
      </c>
      <c r="E1649" s="7">
        <v>50.66</v>
      </c>
      <c r="F1649" s="2">
        <v>3</v>
      </c>
      <c r="G1649" s="7">
        <v>25.04</v>
      </c>
      <c r="H1649" s="2" t="s">
        <v>310</v>
      </c>
      <c r="I1649" s="2" t="s">
        <v>15</v>
      </c>
      <c r="J1649" s="2" t="s">
        <v>25</v>
      </c>
      <c r="K1649" s="2" t="s">
        <v>17</v>
      </c>
      <c r="L1649" s="7">
        <f>Table3[[#This Row],[Revenue]]-Table3[[#This Row],[Ad Spend]]</f>
        <v>-25.619999999999997</v>
      </c>
      <c r="M1649" s="11">
        <v>109.82</v>
      </c>
    </row>
    <row r="1650" spans="1:13" ht="15.75" customHeight="1" x14ac:dyDescent="0.3">
      <c r="A1650" s="4" t="s">
        <v>504</v>
      </c>
      <c r="B1650">
        <f t="shared" si="25"/>
        <v>12</v>
      </c>
      <c r="C1650" s="2" t="s">
        <v>19</v>
      </c>
      <c r="D1650" s="2" t="s">
        <v>1209</v>
      </c>
      <c r="E1650" s="7">
        <v>83.66</v>
      </c>
      <c r="F1650" s="2">
        <v>2</v>
      </c>
      <c r="G1650" s="7">
        <v>280.73</v>
      </c>
      <c r="H1650" s="2" t="s">
        <v>355</v>
      </c>
      <c r="I1650" s="2" t="s">
        <v>15</v>
      </c>
      <c r="J1650" s="2" t="s">
        <v>87</v>
      </c>
      <c r="K1650" s="2" t="s">
        <v>17</v>
      </c>
      <c r="L1650" s="7">
        <f>Table3[[#This Row],[Revenue]]-Table3[[#This Row],[Ad Spend]]</f>
        <v>197.07000000000002</v>
      </c>
      <c r="M1650" s="11">
        <v>135.15</v>
      </c>
    </row>
    <row r="1651" spans="1:13" ht="15.75" customHeight="1" x14ac:dyDescent="0.3">
      <c r="A1651" s="4" t="s">
        <v>274</v>
      </c>
      <c r="B1651">
        <f t="shared" si="25"/>
        <v>12</v>
      </c>
      <c r="C1651" s="2" t="s">
        <v>19</v>
      </c>
      <c r="D1651" s="2" t="s">
        <v>845</v>
      </c>
      <c r="E1651" s="7">
        <v>47.73</v>
      </c>
      <c r="F1651" s="2">
        <v>5</v>
      </c>
      <c r="G1651" s="7">
        <v>463.45</v>
      </c>
      <c r="H1651" s="2" t="s">
        <v>510</v>
      </c>
      <c r="I1651" s="2" t="s">
        <v>15</v>
      </c>
      <c r="J1651" s="2" t="s">
        <v>87</v>
      </c>
      <c r="K1651" s="2" t="s">
        <v>17</v>
      </c>
      <c r="L1651" s="7">
        <f>Table3[[#This Row],[Revenue]]-Table3[[#This Row],[Ad Spend]]</f>
        <v>415.71999999999997</v>
      </c>
      <c r="M1651" s="11">
        <v>157.09</v>
      </c>
    </row>
    <row r="1652" spans="1:13" ht="15.75" customHeight="1" x14ac:dyDescent="0.3">
      <c r="A1652" s="4" t="s">
        <v>43</v>
      </c>
      <c r="B1652">
        <f t="shared" si="25"/>
        <v>11</v>
      </c>
      <c r="C1652" s="2" t="s">
        <v>19</v>
      </c>
      <c r="D1652" s="2" t="s">
        <v>964</v>
      </c>
      <c r="E1652" s="7">
        <v>21.34</v>
      </c>
      <c r="F1652" s="2">
        <v>2</v>
      </c>
      <c r="G1652" s="7">
        <v>440.46</v>
      </c>
      <c r="H1652" s="2" t="s">
        <v>422</v>
      </c>
      <c r="I1652" s="2" t="s">
        <v>35</v>
      </c>
      <c r="J1652" s="2" t="s">
        <v>87</v>
      </c>
      <c r="K1652" s="2" t="s">
        <v>17</v>
      </c>
      <c r="L1652" s="7">
        <f>Table3[[#This Row],[Revenue]]-Table3[[#This Row],[Ad Spend]]</f>
        <v>419.12</v>
      </c>
      <c r="M1652" s="11">
        <v>140.5</v>
      </c>
    </row>
    <row r="1653" spans="1:13" ht="15.75" customHeight="1" x14ac:dyDescent="0.3">
      <c r="A1653" s="4" t="s">
        <v>102</v>
      </c>
      <c r="B1653">
        <f t="shared" si="25"/>
        <v>3</v>
      </c>
      <c r="C1653" s="2" t="s">
        <v>32</v>
      </c>
      <c r="D1653" s="2" t="s">
        <v>1095</v>
      </c>
      <c r="E1653" s="7">
        <v>93.01</v>
      </c>
      <c r="F1653" s="2">
        <v>0</v>
      </c>
      <c r="G1653" s="7">
        <v>425.07</v>
      </c>
      <c r="H1653" s="2" t="s">
        <v>301</v>
      </c>
      <c r="I1653" s="2" t="s">
        <v>15</v>
      </c>
      <c r="J1653" s="2" t="s">
        <v>30</v>
      </c>
      <c r="K1653" s="2" t="s">
        <v>46</v>
      </c>
      <c r="L1653" s="7">
        <f>Table3[[#This Row],[Revenue]]-Table3[[#This Row],[Ad Spend]]</f>
        <v>332.06</v>
      </c>
      <c r="M1653" s="11">
        <v>152.74</v>
      </c>
    </row>
    <row r="1654" spans="1:13" ht="15.75" customHeight="1" x14ac:dyDescent="0.3">
      <c r="A1654" s="4" t="s">
        <v>115</v>
      </c>
      <c r="B1654">
        <f t="shared" si="25"/>
        <v>2</v>
      </c>
      <c r="C1654" s="2" t="s">
        <v>63</v>
      </c>
      <c r="D1654" s="2" t="s">
        <v>426</v>
      </c>
      <c r="E1654" s="7">
        <v>116.14</v>
      </c>
      <c r="F1654" s="2">
        <v>8</v>
      </c>
      <c r="G1654" s="7">
        <v>329.5</v>
      </c>
      <c r="H1654" s="2" t="s">
        <v>240</v>
      </c>
      <c r="I1654" s="2" t="s">
        <v>29</v>
      </c>
      <c r="J1654" s="2" t="s">
        <v>30</v>
      </c>
      <c r="K1654" s="2" t="s">
        <v>17</v>
      </c>
      <c r="L1654" s="7">
        <f>Table3[[#This Row],[Revenue]]-Table3[[#This Row],[Ad Spend]]</f>
        <v>213.36</v>
      </c>
      <c r="M1654" s="11">
        <v>147.66999999999999</v>
      </c>
    </row>
    <row r="1655" spans="1:13" ht="15.75" customHeight="1" x14ac:dyDescent="0.3">
      <c r="A1655" s="4" t="s">
        <v>71</v>
      </c>
      <c r="B1655">
        <f t="shared" si="25"/>
        <v>12</v>
      </c>
      <c r="C1655" s="2" t="s">
        <v>63</v>
      </c>
      <c r="D1655" s="2" t="s">
        <v>714</v>
      </c>
      <c r="E1655" s="7">
        <v>110.6</v>
      </c>
      <c r="F1655" s="2">
        <v>4</v>
      </c>
      <c r="G1655" s="7">
        <v>216.88</v>
      </c>
      <c r="H1655" s="2" t="s">
        <v>510</v>
      </c>
      <c r="I1655" s="2" t="s">
        <v>15</v>
      </c>
      <c r="J1655" s="2" t="s">
        <v>87</v>
      </c>
      <c r="K1655" s="2" t="s">
        <v>17</v>
      </c>
      <c r="L1655" s="7">
        <f>Table3[[#This Row],[Revenue]]-Table3[[#This Row],[Ad Spend]]</f>
        <v>106.28</v>
      </c>
      <c r="M1655" s="11">
        <v>157.22</v>
      </c>
    </row>
    <row r="1656" spans="1:13" ht="15.75" customHeight="1" x14ac:dyDescent="0.3">
      <c r="A1656" s="4" t="s">
        <v>365</v>
      </c>
      <c r="B1656">
        <f t="shared" si="25"/>
        <v>11</v>
      </c>
      <c r="C1656" s="2" t="s">
        <v>12</v>
      </c>
      <c r="D1656" s="2" t="s">
        <v>228</v>
      </c>
      <c r="E1656" s="7">
        <v>52.35</v>
      </c>
      <c r="F1656" s="2">
        <v>0</v>
      </c>
      <c r="G1656" s="7">
        <v>280.97000000000003</v>
      </c>
      <c r="H1656" s="2" t="s">
        <v>1090</v>
      </c>
      <c r="I1656" s="2" t="s">
        <v>15</v>
      </c>
      <c r="J1656" s="2" t="s">
        <v>30</v>
      </c>
      <c r="K1656" s="2" t="s">
        <v>46</v>
      </c>
      <c r="L1656" s="7">
        <f>Table3[[#This Row],[Revenue]]-Table3[[#This Row],[Ad Spend]]</f>
        <v>228.62000000000003</v>
      </c>
      <c r="M1656" s="11">
        <v>169.03</v>
      </c>
    </row>
    <row r="1657" spans="1:13" ht="15.75" customHeight="1" x14ac:dyDescent="0.3">
      <c r="A1657" s="4" t="s">
        <v>133</v>
      </c>
      <c r="B1657">
        <f t="shared" si="25"/>
        <v>3</v>
      </c>
      <c r="C1657" s="2" t="s">
        <v>19</v>
      </c>
      <c r="D1657" s="2" t="s">
        <v>566</v>
      </c>
      <c r="E1657" s="7">
        <v>93.08</v>
      </c>
      <c r="F1657" s="2">
        <v>10</v>
      </c>
      <c r="G1657" s="7">
        <v>348.67</v>
      </c>
      <c r="H1657" s="2" t="s">
        <v>52</v>
      </c>
      <c r="I1657" s="2" t="s">
        <v>29</v>
      </c>
      <c r="J1657" s="2" t="s">
        <v>53</v>
      </c>
      <c r="K1657" s="2" t="s">
        <v>17</v>
      </c>
      <c r="L1657" s="7">
        <f>Table3[[#This Row],[Revenue]]-Table3[[#This Row],[Ad Spend]]</f>
        <v>255.59000000000003</v>
      </c>
      <c r="M1657" s="11">
        <v>123.6</v>
      </c>
    </row>
    <row r="1658" spans="1:13" ht="15.75" customHeight="1" x14ac:dyDescent="0.3">
      <c r="A1658" s="4" t="s">
        <v>22</v>
      </c>
      <c r="B1658">
        <f t="shared" si="25"/>
        <v>4</v>
      </c>
      <c r="C1658" s="2" t="s">
        <v>63</v>
      </c>
      <c r="D1658" s="2" t="s">
        <v>358</v>
      </c>
      <c r="E1658" s="7">
        <v>110.02</v>
      </c>
      <c r="F1658" s="2">
        <v>5</v>
      </c>
      <c r="G1658" s="7">
        <v>411.15</v>
      </c>
      <c r="H1658" s="2" t="s">
        <v>279</v>
      </c>
      <c r="I1658" s="2" t="s">
        <v>35</v>
      </c>
      <c r="J1658" s="2" t="s">
        <v>25</v>
      </c>
      <c r="K1658" s="2" t="s">
        <v>17</v>
      </c>
      <c r="L1658" s="7">
        <f>Table3[[#This Row],[Revenue]]-Table3[[#This Row],[Ad Spend]]</f>
        <v>301.13</v>
      </c>
      <c r="M1658" s="11">
        <v>138.09</v>
      </c>
    </row>
    <row r="1659" spans="1:13" ht="15.75" customHeight="1" x14ac:dyDescent="0.3">
      <c r="A1659" s="4" t="s">
        <v>406</v>
      </c>
      <c r="B1659">
        <f t="shared" si="25"/>
        <v>1</v>
      </c>
      <c r="C1659" s="2" t="s">
        <v>32</v>
      </c>
      <c r="D1659" s="2" t="s">
        <v>1258</v>
      </c>
      <c r="E1659" s="7">
        <v>35.22</v>
      </c>
      <c r="F1659" s="2">
        <v>1</v>
      </c>
      <c r="G1659" s="7">
        <v>363.41</v>
      </c>
      <c r="H1659" s="2" t="s">
        <v>1351</v>
      </c>
      <c r="I1659" s="2" t="s">
        <v>29</v>
      </c>
      <c r="J1659" s="2" t="s">
        <v>25</v>
      </c>
      <c r="K1659" s="2" t="s">
        <v>17</v>
      </c>
      <c r="L1659" s="7">
        <f>Table3[[#This Row],[Revenue]]-Table3[[#This Row],[Ad Spend]]</f>
        <v>328.19000000000005</v>
      </c>
      <c r="M1659" s="11">
        <v>138.29</v>
      </c>
    </row>
    <row r="1660" spans="1:13" ht="15.75" customHeight="1" x14ac:dyDescent="0.3">
      <c r="A1660" s="4" t="s">
        <v>37</v>
      </c>
      <c r="B1660">
        <f t="shared" si="25"/>
        <v>12</v>
      </c>
      <c r="C1660" s="2" t="s">
        <v>12</v>
      </c>
      <c r="D1660" s="2" t="s">
        <v>1420</v>
      </c>
      <c r="E1660" s="7">
        <v>85.68</v>
      </c>
      <c r="F1660" s="2">
        <v>4</v>
      </c>
      <c r="G1660" s="7">
        <v>118.11</v>
      </c>
      <c r="H1660" s="2" t="s">
        <v>24</v>
      </c>
      <c r="I1660" s="2" t="s">
        <v>29</v>
      </c>
      <c r="J1660" s="2" t="s">
        <v>30</v>
      </c>
      <c r="K1660" s="2" t="s">
        <v>17</v>
      </c>
      <c r="L1660" s="7">
        <f>Table3[[#This Row],[Revenue]]-Table3[[#This Row],[Ad Spend]]</f>
        <v>32.429999999999993</v>
      </c>
      <c r="M1660" s="11">
        <v>140.86000000000001</v>
      </c>
    </row>
    <row r="1661" spans="1:13" ht="15.75" customHeight="1" x14ac:dyDescent="0.3">
      <c r="A1661" s="4" t="s">
        <v>169</v>
      </c>
      <c r="B1661">
        <f t="shared" si="25"/>
        <v>2</v>
      </c>
      <c r="C1661" s="2" t="s">
        <v>12</v>
      </c>
      <c r="D1661" s="2" t="s">
        <v>1239</v>
      </c>
      <c r="E1661" s="7">
        <v>110.23</v>
      </c>
      <c r="F1661" s="2">
        <v>5</v>
      </c>
      <c r="G1661" s="7">
        <v>85.97</v>
      </c>
      <c r="H1661" s="2" t="s">
        <v>166</v>
      </c>
      <c r="I1661" s="2" t="s">
        <v>35</v>
      </c>
      <c r="J1661" s="2" t="s">
        <v>30</v>
      </c>
      <c r="K1661" s="2" t="s">
        <v>17</v>
      </c>
      <c r="L1661" s="7">
        <f>Table3[[#This Row],[Revenue]]-Table3[[#This Row],[Ad Spend]]</f>
        <v>-24.260000000000005</v>
      </c>
      <c r="M1661" s="11">
        <v>136.76</v>
      </c>
    </row>
    <row r="1662" spans="1:13" ht="15.75" customHeight="1" x14ac:dyDescent="0.3">
      <c r="A1662" s="4" t="s">
        <v>88</v>
      </c>
      <c r="B1662">
        <f t="shared" si="25"/>
        <v>11</v>
      </c>
      <c r="C1662" s="2" t="s">
        <v>12</v>
      </c>
      <c r="D1662" s="2" t="s">
        <v>263</v>
      </c>
      <c r="E1662" s="7">
        <v>10.199999999999999</v>
      </c>
      <c r="F1662" s="2">
        <v>2</v>
      </c>
      <c r="G1662" s="7">
        <v>322.26</v>
      </c>
      <c r="H1662" s="2" t="s">
        <v>1421</v>
      </c>
      <c r="I1662" s="2" t="s">
        <v>35</v>
      </c>
      <c r="J1662" s="2" t="s">
        <v>25</v>
      </c>
      <c r="K1662" s="2" t="s">
        <v>17</v>
      </c>
      <c r="L1662" s="7">
        <f>Table3[[#This Row],[Revenue]]-Table3[[#This Row],[Ad Spend]]</f>
        <v>312.06</v>
      </c>
      <c r="M1662" s="11">
        <v>155.63999999999999</v>
      </c>
    </row>
    <row r="1663" spans="1:13" ht="15.75" customHeight="1" x14ac:dyDescent="0.3">
      <c r="A1663" s="4" t="s">
        <v>552</v>
      </c>
      <c r="B1663">
        <f t="shared" si="25"/>
        <v>11</v>
      </c>
      <c r="C1663" s="2" t="s">
        <v>19</v>
      </c>
      <c r="D1663" s="2" t="s">
        <v>1422</v>
      </c>
      <c r="E1663" s="7">
        <v>126.89</v>
      </c>
      <c r="F1663" s="2">
        <v>1</v>
      </c>
      <c r="G1663" s="7">
        <v>179.39</v>
      </c>
      <c r="H1663" s="2" t="s">
        <v>1208</v>
      </c>
      <c r="I1663" s="2" t="s">
        <v>35</v>
      </c>
      <c r="J1663" s="2" t="s">
        <v>30</v>
      </c>
      <c r="K1663" s="2" t="s">
        <v>17</v>
      </c>
      <c r="L1663" s="7">
        <f>Table3[[#This Row],[Revenue]]-Table3[[#This Row],[Ad Spend]]</f>
        <v>52.499999999999986</v>
      </c>
      <c r="M1663" s="11">
        <v>117.69</v>
      </c>
    </row>
    <row r="1664" spans="1:13" ht="15.75" customHeight="1" x14ac:dyDescent="0.3">
      <c r="A1664" s="4" t="s">
        <v>502</v>
      </c>
      <c r="B1664">
        <f t="shared" si="25"/>
        <v>12</v>
      </c>
      <c r="C1664" s="2" t="s">
        <v>12</v>
      </c>
      <c r="D1664" s="2" t="s">
        <v>616</v>
      </c>
      <c r="E1664" s="7">
        <v>8.2899999999999991</v>
      </c>
      <c r="F1664" s="2">
        <v>3</v>
      </c>
      <c r="G1664" s="7">
        <v>332.74</v>
      </c>
      <c r="H1664" s="2" t="s">
        <v>104</v>
      </c>
      <c r="I1664" s="2" t="s">
        <v>29</v>
      </c>
      <c r="J1664" s="2" t="s">
        <v>30</v>
      </c>
      <c r="K1664" s="2" t="s">
        <v>17</v>
      </c>
      <c r="L1664" s="7">
        <f>Table3[[#This Row],[Revenue]]-Table3[[#This Row],[Ad Spend]]</f>
        <v>324.45</v>
      </c>
      <c r="M1664" s="11">
        <v>119.58</v>
      </c>
    </row>
    <row r="1665" spans="1:13" ht="15.75" customHeight="1" x14ac:dyDescent="0.3">
      <c r="A1665" s="4" t="s">
        <v>579</v>
      </c>
      <c r="B1665">
        <f t="shared" si="25"/>
        <v>1</v>
      </c>
      <c r="C1665" s="2" t="s">
        <v>63</v>
      </c>
      <c r="D1665" s="2" t="s">
        <v>1135</v>
      </c>
      <c r="E1665" s="7">
        <v>42.05</v>
      </c>
      <c r="F1665" s="2">
        <v>8</v>
      </c>
      <c r="G1665" s="7">
        <v>324.89</v>
      </c>
      <c r="H1665" s="2" t="s">
        <v>820</v>
      </c>
      <c r="I1665" s="2" t="s">
        <v>29</v>
      </c>
      <c r="J1665" s="2" t="s">
        <v>16</v>
      </c>
      <c r="K1665" s="2" t="s">
        <v>17</v>
      </c>
      <c r="L1665" s="7">
        <f>Table3[[#This Row],[Revenue]]-Table3[[#This Row],[Ad Spend]]</f>
        <v>282.83999999999997</v>
      </c>
      <c r="M1665" s="11">
        <v>116.39</v>
      </c>
    </row>
    <row r="1666" spans="1:13" ht="15.75" customHeight="1" x14ac:dyDescent="0.3">
      <c r="A1666" s="4" t="s">
        <v>324</v>
      </c>
      <c r="B1666">
        <f t="shared" si="25"/>
        <v>3</v>
      </c>
      <c r="C1666" s="2" t="s">
        <v>63</v>
      </c>
      <c r="D1666" s="2" t="s">
        <v>1423</v>
      </c>
      <c r="E1666" s="7">
        <v>89.96</v>
      </c>
      <c r="F1666" s="2">
        <v>9</v>
      </c>
      <c r="G1666" s="7">
        <v>65.63</v>
      </c>
      <c r="H1666" s="2" t="s">
        <v>394</v>
      </c>
      <c r="I1666" s="2" t="s">
        <v>29</v>
      </c>
      <c r="J1666" s="2" t="s">
        <v>87</v>
      </c>
      <c r="K1666" s="2" t="s">
        <v>17</v>
      </c>
      <c r="L1666" s="7">
        <f>Table3[[#This Row],[Revenue]]-Table3[[#This Row],[Ad Spend]]</f>
        <v>-24.33</v>
      </c>
      <c r="M1666" s="11">
        <v>123.86</v>
      </c>
    </row>
    <row r="1667" spans="1:13" ht="15.75" customHeight="1" x14ac:dyDescent="0.3">
      <c r="A1667" s="4" t="s">
        <v>184</v>
      </c>
      <c r="B1667">
        <f t="shared" ref="B1667:B1730" si="26">MONTH(A1667)</f>
        <v>3</v>
      </c>
      <c r="C1667" s="2" t="s">
        <v>63</v>
      </c>
      <c r="D1667" s="2" t="s">
        <v>363</v>
      </c>
      <c r="E1667" s="7">
        <v>54.95</v>
      </c>
      <c r="F1667" s="2">
        <v>2</v>
      </c>
      <c r="G1667" s="7">
        <v>113.59</v>
      </c>
      <c r="H1667" s="2" t="s">
        <v>477</v>
      </c>
      <c r="I1667" s="2" t="s">
        <v>15</v>
      </c>
      <c r="J1667" s="2" t="s">
        <v>30</v>
      </c>
      <c r="K1667" s="2" t="s">
        <v>17</v>
      </c>
      <c r="L1667" s="7">
        <f>Table3[[#This Row],[Revenue]]-Table3[[#This Row],[Ad Spend]]</f>
        <v>58.64</v>
      </c>
      <c r="M1667" s="11">
        <v>137.79</v>
      </c>
    </row>
    <row r="1668" spans="1:13" ht="15.75" customHeight="1" x14ac:dyDescent="0.3">
      <c r="A1668" s="4" t="s">
        <v>129</v>
      </c>
      <c r="B1668">
        <f t="shared" si="26"/>
        <v>1</v>
      </c>
      <c r="C1668" s="2" t="s">
        <v>32</v>
      </c>
      <c r="D1668" s="2" t="s">
        <v>1369</v>
      </c>
      <c r="E1668" s="7">
        <v>143.72999999999999</v>
      </c>
      <c r="F1668" s="2">
        <v>5</v>
      </c>
      <c r="G1668" s="7">
        <v>105.45</v>
      </c>
      <c r="H1668" s="2" t="s">
        <v>52</v>
      </c>
      <c r="I1668" s="2" t="s">
        <v>35</v>
      </c>
      <c r="J1668" s="2" t="s">
        <v>25</v>
      </c>
      <c r="K1668" s="2" t="s">
        <v>17</v>
      </c>
      <c r="L1668" s="7">
        <f>Table3[[#This Row],[Revenue]]-Table3[[#This Row],[Ad Spend]]</f>
        <v>-38.279999999999987</v>
      </c>
      <c r="M1668" s="11">
        <v>118.63</v>
      </c>
    </row>
    <row r="1669" spans="1:13" ht="15.75" customHeight="1" x14ac:dyDescent="0.3">
      <c r="A1669" s="4" t="s">
        <v>258</v>
      </c>
      <c r="B1669">
        <f t="shared" si="26"/>
        <v>2</v>
      </c>
      <c r="C1669" s="2" t="s">
        <v>12</v>
      </c>
      <c r="D1669" s="2" t="s">
        <v>1387</v>
      </c>
      <c r="E1669" s="7">
        <v>138.19999999999999</v>
      </c>
      <c r="F1669" s="2">
        <v>10</v>
      </c>
      <c r="G1669" s="7">
        <v>319.69</v>
      </c>
      <c r="H1669" s="2" t="s">
        <v>664</v>
      </c>
      <c r="I1669" s="2" t="s">
        <v>29</v>
      </c>
      <c r="J1669" s="2" t="s">
        <v>25</v>
      </c>
      <c r="K1669" s="2" t="s">
        <v>17</v>
      </c>
      <c r="L1669" s="7">
        <f>Table3[[#This Row],[Revenue]]-Table3[[#This Row],[Ad Spend]]</f>
        <v>181.49</v>
      </c>
      <c r="M1669" s="11">
        <v>156.25</v>
      </c>
    </row>
    <row r="1670" spans="1:13" ht="15.75" customHeight="1" x14ac:dyDescent="0.3">
      <c r="A1670" s="4" t="s">
        <v>918</v>
      </c>
      <c r="B1670">
        <f t="shared" si="26"/>
        <v>2</v>
      </c>
      <c r="C1670" s="2" t="s">
        <v>32</v>
      </c>
      <c r="D1670" s="2" t="s">
        <v>909</v>
      </c>
      <c r="E1670" s="7">
        <v>72.680000000000007</v>
      </c>
      <c r="F1670" s="2">
        <v>0</v>
      </c>
      <c r="G1670" s="7">
        <v>164.37</v>
      </c>
      <c r="H1670" s="2" t="s">
        <v>161</v>
      </c>
      <c r="I1670" s="2" t="s">
        <v>29</v>
      </c>
      <c r="J1670" s="2" t="s">
        <v>36</v>
      </c>
      <c r="K1670" s="2" t="s">
        <v>46</v>
      </c>
      <c r="L1670" s="7">
        <f>Table3[[#This Row],[Revenue]]-Table3[[#This Row],[Ad Spend]]</f>
        <v>91.69</v>
      </c>
      <c r="M1670" s="11">
        <v>123.29</v>
      </c>
    </row>
    <row r="1671" spans="1:13" ht="15.75" customHeight="1" x14ac:dyDescent="0.3">
      <c r="A1671" s="4" t="s">
        <v>233</v>
      </c>
      <c r="B1671">
        <f t="shared" si="26"/>
        <v>3</v>
      </c>
      <c r="C1671" s="2" t="s">
        <v>32</v>
      </c>
      <c r="D1671" s="2" t="s">
        <v>1424</v>
      </c>
      <c r="E1671" s="7">
        <v>89.9</v>
      </c>
      <c r="F1671" s="2">
        <v>10</v>
      </c>
      <c r="G1671" s="7">
        <v>371.59</v>
      </c>
      <c r="H1671" s="2" t="s">
        <v>222</v>
      </c>
      <c r="I1671" s="2" t="s">
        <v>35</v>
      </c>
      <c r="J1671" s="2" t="s">
        <v>25</v>
      </c>
      <c r="K1671" s="2" t="s">
        <v>17</v>
      </c>
      <c r="L1671" s="7">
        <f>Table3[[#This Row],[Revenue]]-Table3[[#This Row],[Ad Spend]]</f>
        <v>281.68999999999994</v>
      </c>
      <c r="M1671" s="11">
        <v>137.22</v>
      </c>
    </row>
    <row r="1672" spans="1:13" ht="15.75" customHeight="1" x14ac:dyDescent="0.3">
      <c r="A1672" s="4" t="s">
        <v>120</v>
      </c>
      <c r="B1672">
        <f t="shared" si="26"/>
        <v>3</v>
      </c>
      <c r="C1672" s="2" t="s">
        <v>19</v>
      </c>
      <c r="D1672" s="2" t="s">
        <v>938</v>
      </c>
      <c r="E1672" s="7">
        <v>97.92</v>
      </c>
      <c r="F1672" s="2">
        <v>0</v>
      </c>
      <c r="G1672" s="7">
        <v>57.25</v>
      </c>
      <c r="H1672" s="2" t="s">
        <v>469</v>
      </c>
      <c r="I1672" s="2" t="s">
        <v>15</v>
      </c>
      <c r="J1672" s="2" t="s">
        <v>30</v>
      </c>
      <c r="K1672" s="2" t="s">
        <v>46</v>
      </c>
      <c r="L1672" s="7">
        <f>Table3[[#This Row],[Revenue]]-Table3[[#This Row],[Ad Spend]]</f>
        <v>-40.67</v>
      </c>
      <c r="M1672" s="11">
        <v>117.96</v>
      </c>
    </row>
    <row r="1673" spans="1:13" ht="15.75" customHeight="1" x14ac:dyDescent="0.3">
      <c r="A1673" s="4" t="s">
        <v>214</v>
      </c>
      <c r="B1673">
        <f t="shared" si="26"/>
        <v>3</v>
      </c>
      <c r="C1673" s="2" t="s">
        <v>63</v>
      </c>
      <c r="D1673" s="2" t="s">
        <v>366</v>
      </c>
      <c r="E1673" s="7">
        <v>16.739999999999998</v>
      </c>
      <c r="F1673" s="2">
        <v>2</v>
      </c>
      <c r="G1673" s="7">
        <v>107.6</v>
      </c>
      <c r="H1673" s="2" t="s">
        <v>229</v>
      </c>
      <c r="I1673" s="2" t="s">
        <v>29</v>
      </c>
      <c r="J1673" s="2" t="s">
        <v>30</v>
      </c>
      <c r="K1673" s="2" t="s">
        <v>17</v>
      </c>
      <c r="L1673" s="7">
        <f>Table3[[#This Row],[Revenue]]-Table3[[#This Row],[Ad Spend]]</f>
        <v>90.86</v>
      </c>
      <c r="M1673" s="11">
        <v>94.98</v>
      </c>
    </row>
    <row r="1674" spans="1:13" ht="15.75" customHeight="1" x14ac:dyDescent="0.3">
      <c r="A1674" s="4" t="s">
        <v>108</v>
      </c>
      <c r="B1674">
        <f t="shared" si="26"/>
        <v>3</v>
      </c>
      <c r="C1674" s="2" t="s">
        <v>12</v>
      </c>
      <c r="D1674" s="2" t="s">
        <v>1026</v>
      </c>
      <c r="E1674" s="7">
        <v>14.88</v>
      </c>
      <c r="F1674" s="2">
        <v>3</v>
      </c>
      <c r="G1674" s="7">
        <v>161.25</v>
      </c>
      <c r="H1674" s="2" t="s">
        <v>49</v>
      </c>
      <c r="I1674" s="2" t="s">
        <v>35</v>
      </c>
      <c r="J1674" s="2" t="s">
        <v>53</v>
      </c>
      <c r="K1674" s="2" t="s">
        <v>17</v>
      </c>
      <c r="L1674" s="7">
        <f>Table3[[#This Row],[Revenue]]-Table3[[#This Row],[Ad Spend]]</f>
        <v>146.37</v>
      </c>
      <c r="M1674" s="11">
        <v>124.93</v>
      </c>
    </row>
    <row r="1675" spans="1:13" ht="15.75" customHeight="1" x14ac:dyDescent="0.3">
      <c r="A1675" s="4" t="s">
        <v>812</v>
      </c>
      <c r="B1675">
        <f t="shared" si="26"/>
        <v>12</v>
      </c>
      <c r="C1675" s="2" t="s">
        <v>63</v>
      </c>
      <c r="D1675" s="2" t="s">
        <v>137</v>
      </c>
      <c r="E1675" s="7">
        <v>8.4</v>
      </c>
      <c r="F1675" s="2">
        <v>5</v>
      </c>
      <c r="G1675" s="7">
        <v>33.479999999999997</v>
      </c>
      <c r="H1675" s="2" t="s">
        <v>286</v>
      </c>
      <c r="I1675" s="2" t="s">
        <v>29</v>
      </c>
      <c r="J1675" s="2" t="s">
        <v>36</v>
      </c>
      <c r="K1675" s="2" t="s">
        <v>17</v>
      </c>
      <c r="L1675" s="7">
        <f>Table3[[#This Row],[Revenue]]-Table3[[#This Row],[Ad Spend]]</f>
        <v>25.08</v>
      </c>
      <c r="M1675" s="11">
        <v>118.52</v>
      </c>
    </row>
    <row r="1676" spans="1:13" ht="15.75" customHeight="1" x14ac:dyDescent="0.3">
      <c r="A1676" s="4" t="s">
        <v>208</v>
      </c>
      <c r="B1676">
        <f t="shared" si="26"/>
        <v>11</v>
      </c>
      <c r="C1676" s="2" t="s">
        <v>63</v>
      </c>
      <c r="D1676" s="2" t="s">
        <v>1063</v>
      </c>
      <c r="E1676" s="7">
        <v>80.58</v>
      </c>
      <c r="F1676" s="2">
        <v>5</v>
      </c>
      <c r="G1676" s="7">
        <v>171.78</v>
      </c>
      <c r="H1676" s="2" t="s">
        <v>374</v>
      </c>
      <c r="I1676" s="2" t="s">
        <v>35</v>
      </c>
      <c r="J1676" s="2" t="s">
        <v>53</v>
      </c>
      <c r="K1676" s="2" t="s">
        <v>17</v>
      </c>
      <c r="L1676" s="7">
        <f>Table3[[#This Row],[Revenue]]-Table3[[#This Row],[Ad Spend]]</f>
        <v>91.2</v>
      </c>
      <c r="M1676" s="11">
        <v>127.25</v>
      </c>
    </row>
    <row r="1677" spans="1:13" ht="15.75" customHeight="1" x14ac:dyDescent="0.3">
      <c r="A1677" s="4" t="s">
        <v>1194</v>
      </c>
      <c r="B1677">
        <f t="shared" si="26"/>
        <v>4</v>
      </c>
      <c r="C1677" s="2" t="s">
        <v>12</v>
      </c>
      <c r="D1677" s="2" t="s">
        <v>1069</v>
      </c>
      <c r="E1677" s="7">
        <v>75.45</v>
      </c>
      <c r="F1677" s="2">
        <v>3</v>
      </c>
      <c r="G1677" s="7">
        <v>454.19</v>
      </c>
      <c r="H1677" s="2" t="s">
        <v>529</v>
      </c>
      <c r="I1677" s="2" t="s">
        <v>15</v>
      </c>
      <c r="J1677" s="2" t="s">
        <v>30</v>
      </c>
      <c r="K1677" s="2" t="s">
        <v>17</v>
      </c>
      <c r="L1677" s="7">
        <f>Table3[[#This Row],[Revenue]]-Table3[[#This Row],[Ad Spend]]</f>
        <v>378.74</v>
      </c>
      <c r="M1677" s="11">
        <v>137.41999999999999</v>
      </c>
    </row>
    <row r="1678" spans="1:13" ht="15.75" customHeight="1" x14ac:dyDescent="0.3">
      <c r="A1678" s="4" t="s">
        <v>783</v>
      </c>
      <c r="B1678">
        <f t="shared" si="26"/>
        <v>1</v>
      </c>
      <c r="C1678" s="2" t="s">
        <v>32</v>
      </c>
      <c r="D1678" s="2" t="s">
        <v>1144</v>
      </c>
      <c r="E1678" s="7">
        <v>136.26</v>
      </c>
      <c r="F1678" s="2">
        <v>7</v>
      </c>
      <c r="G1678" s="7">
        <v>482.55</v>
      </c>
      <c r="H1678" s="2" t="s">
        <v>147</v>
      </c>
      <c r="I1678" s="2" t="s">
        <v>15</v>
      </c>
      <c r="J1678" s="2" t="s">
        <v>25</v>
      </c>
      <c r="K1678" s="2" t="s">
        <v>17</v>
      </c>
      <c r="L1678" s="7">
        <f>Table3[[#This Row],[Revenue]]-Table3[[#This Row],[Ad Spend]]</f>
        <v>346.29</v>
      </c>
      <c r="M1678" s="11">
        <v>139.1</v>
      </c>
    </row>
    <row r="1679" spans="1:13" ht="15.75" customHeight="1" x14ac:dyDescent="0.3">
      <c r="A1679" s="4" t="s">
        <v>273</v>
      </c>
      <c r="B1679">
        <f t="shared" si="26"/>
        <v>11</v>
      </c>
      <c r="C1679" s="2" t="s">
        <v>32</v>
      </c>
      <c r="D1679" s="2" t="s">
        <v>1198</v>
      </c>
      <c r="E1679" s="7">
        <v>40.57</v>
      </c>
      <c r="F1679" s="2">
        <v>10</v>
      </c>
      <c r="G1679" s="7">
        <v>166.26</v>
      </c>
      <c r="H1679" s="2" t="s">
        <v>49</v>
      </c>
      <c r="I1679" s="2" t="s">
        <v>29</v>
      </c>
      <c r="J1679" s="2" t="s">
        <v>87</v>
      </c>
      <c r="K1679" s="2" t="s">
        <v>17</v>
      </c>
      <c r="L1679" s="7">
        <f>Table3[[#This Row],[Revenue]]-Table3[[#This Row],[Ad Spend]]</f>
        <v>125.69</v>
      </c>
      <c r="M1679" s="11">
        <v>119.92</v>
      </c>
    </row>
    <row r="1680" spans="1:13" ht="15.75" customHeight="1" x14ac:dyDescent="0.3">
      <c r="A1680" s="4" t="s">
        <v>238</v>
      </c>
      <c r="B1680">
        <f t="shared" si="26"/>
        <v>3</v>
      </c>
      <c r="C1680" s="2" t="s">
        <v>32</v>
      </c>
      <c r="D1680" s="2" t="s">
        <v>965</v>
      </c>
      <c r="E1680" s="7">
        <v>17.66</v>
      </c>
      <c r="F1680" s="2">
        <v>0</v>
      </c>
      <c r="G1680" s="7">
        <v>37.67</v>
      </c>
      <c r="H1680" s="2" t="s">
        <v>1004</v>
      </c>
      <c r="I1680" s="2" t="s">
        <v>29</v>
      </c>
      <c r="J1680" s="2" t="s">
        <v>30</v>
      </c>
      <c r="K1680" s="2" t="s">
        <v>46</v>
      </c>
      <c r="L1680" s="7">
        <f>Table3[[#This Row],[Revenue]]-Table3[[#This Row],[Ad Spend]]</f>
        <v>20.010000000000002</v>
      </c>
      <c r="M1680" s="11">
        <v>76.13</v>
      </c>
    </row>
    <row r="1681" spans="1:13" ht="15.75" customHeight="1" x14ac:dyDescent="0.3">
      <c r="A1681" s="4" t="s">
        <v>360</v>
      </c>
      <c r="B1681">
        <f t="shared" si="26"/>
        <v>1</v>
      </c>
      <c r="C1681" s="2" t="s">
        <v>19</v>
      </c>
      <c r="D1681" s="2" t="s">
        <v>60</v>
      </c>
      <c r="E1681" s="7">
        <v>66.650000000000006</v>
      </c>
      <c r="F1681" s="2">
        <v>10</v>
      </c>
      <c r="G1681" s="7">
        <v>403.48</v>
      </c>
      <c r="H1681" s="2" t="s">
        <v>1337</v>
      </c>
      <c r="I1681" s="2" t="s">
        <v>15</v>
      </c>
      <c r="J1681" s="2" t="s">
        <v>53</v>
      </c>
      <c r="K1681" s="2" t="s">
        <v>17</v>
      </c>
      <c r="L1681" s="7">
        <f>Table3[[#This Row],[Revenue]]-Table3[[#This Row],[Ad Spend]]</f>
        <v>336.83000000000004</v>
      </c>
      <c r="M1681" s="11">
        <v>107.34</v>
      </c>
    </row>
    <row r="1682" spans="1:13" ht="15.75" customHeight="1" x14ac:dyDescent="0.3">
      <c r="A1682" s="4" t="s">
        <v>643</v>
      </c>
      <c r="B1682">
        <f t="shared" si="26"/>
        <v>2</v>
      </c>
      <c r="C1682" s="2" t="s">
        <v>63</v>
      </c>
      <c r="D1682" s="2" t="s">
        <v>1179</v>
      </c>
      <c r="E1682" s="7">
        <v>12.75</v>
      </c>
      <c r="F1682" s="2">
        <v>7</v>
      </c>
      <c r="G1682" s="7">
        <v>54.7</v>
      </c>
      <c r="H1682" s="2" t="s">
        <v>956</v>
      </c>
      <c r="I1682" s="2" t="s">
        <v>35</v>
      </c>
      <c r="J1682" s="2" t="s">
        <v>53</v>
      </c>
      <c r="K1682" s="2" t="s">
        <v>17</v>
      </c>
      <c r="L1682" s="7">
        <f>Table3[[#This Row],[Revenue]]-Table3[[#This Row],[Ad Spend]]</f>
        <v>41.95</v>
      </c>
      <c r="M1682" s="11">
        <v>110.02</v>
      </c>
    </row>
    <row r="1683" spans="1:13" ht="15.75" customHeight="1" x14ac:dyDescent="0.3">
      <c r="A1683" s="4" t="s">
        <v>365</v>
      </c>
      <c r="B1683">
        <f t="shared" si="26"/>
        <v>11</v>
      </c>
      <c r="C1683" s="2" t="s">
        <v>32</v>
      </c>
      <c r="D1683" s="2" t="s">
        <v>494</v>
      </c>
      <c r="E1683" s="7">
        <v>82.96</v>
      </c>
      <c r="F1683" s="2">
        <v>9</v>
      </c>
      <c r="G1683" s="7">
        <v>227.51</v>
      </c>
      <c r="H1683" s="2" t="s">
        <v>970</v>
      </c>
      <c r="I1683" s="2" t="s">
        <v>29</v>
      </c>
      <c r="J1683" s="2" t="s">
        <v>30</v>
      </c>
      <c r="K1683" s="2" t="s">
        <v>17</v>
      </c>
      <c r="L1683" s="7">
        <f>Table3[[#This Row],[Revenue]]-Table3[[#This Row],[Ad Spend]]</f>
        <v>144.55000000000001</v>
      </c>
      <c r="M1683" s="11">
        <v>114.76</v>
      </c>
    </row>
    <row r="1684" spans="1:13" ht="15.75" customHeight="1" x14ac:dyDescent="0.3">
      <c r="A1684" s="4" t="s">
        <v>463</v>
      </c>
      <c r="B1684">
        <f t="shared" si="26"/>
        <v>3</v>
      </c>
      <c r="C1684" s="2" t="s">
        <v>32</v>
      </c>
      <c r="D1684" s="2" t="s">
        <v>1425</v>
      </c>
      <c r="E1684" s="7">
        <v>59.11</v>
      </c>
      <c r="F1684" s="2">
        <v>2</v>
      </c>
      <c r="G1684" s="7">
        <v>336.69</v>
      </c>
      <c r="H1684" s="2" t="s">
        <v>367</v>
      </c>
      <c r="I1684" s="2" t="s">
        <v>15</v>
      </c>
      <c r="J1684" s="2" t="s">
        <v>87</v>
      </c>
      <c r="K1684" s="2" t="s">
        <v>17</v>
      </c>
      <c r="L1684" s="7">
        <f>Table3[[#This Row],[Revenue]]-Table3[[#This Row],[Ad Spend]]</f>
        <v>277.58</v>
      </c>
      <c r="M1684" s="11">
        <v>162.69999999999999</v>
      </c>
    </row>
    <row r="1685" spans="1:13" ht="15.75" customHeight="1" x14ac:dyDescent="0.3">
      <c r="A1685" s="4" t="s">
        <v>623</v>
      </c>
      <c r="B1685">
        <f t="shared" si="26"/>
        <v>1</v>
      </c>
      <c r="C1685" s="2" t="s">
        <v>12</v>
      </c>
      <c r="D1685" s="2" t="s">
        <v>1300</v>
      </c>
      <c r="E1685" s="7">
        <v>127.91</v>
      </c>
      <c r="F1685" s="2">
        <v>9</v>
      </c>
      <c r="G1685" s="7">
        <v>202.09</v>
      </c>
      <c r="H1685" s="2" t="s">
        <v>147</v>
      </c>
      <c r="I1685" s="2" t="s">
        <v>35</v>
      </c>
      <c r="J1685" s="2" t="s">
        <v>25</v>
      </c>
      <c r="K1685" s="2" t="s">
        <v>17</v>
      </c>
      <c r="L1685" s="7">
        <f>Table3[[#This Row],[Revenue]]-Table3[[#This Row],[Ad Spend]]</f>
        <v>74.180000000000007</v>
      </c>
      <c r="M1685" s="11">
        <v>136.41</v>
      </c>
    </row>
    <row r="1686" spans="1:13" ht="15.75" customHeight="1" x14ac:dyDescent="0.3">
      <c r="A1686" s="4" t="s">
        <v>402</v>
      </c>
      <c r="B1686">
        <f t="shared" si="26"/>
        <v>3</v>
      </c>
      <c r="C1686" s="2" t="s">
        <v>12</v>
      </c>
      <c r="D1686" s="2" t="s">
        <v>1188</v>
      </c>
      <c r="E1686" s="7">
        <v>79.23</v>
      </c>
      <c r="F1686" s="2">
        <v>5</v>
      </c>
      <c r="G1686" s="7">
        <v>173.74</v>
      </c>
      <c r="H1686" s="2" t="s">
        <v>422</v>
      </c>
      <c r="I1686" s="2" t="s">
        <v>15</v>
      </c>
      <c r="J1686" s="2" t="s">
        <v>30</v>
      </c>
      <c r="K1686" s="2" t="s">
        <v>17</v>
      </c>
      <c r="L1686" s="7">
        <f>Table3[[#This Row],[Revenue]]-Table3[[#This Row],[Ad Spend]]</f>
        <v>94.51</v>
      </c>
      <c r="M1686" s="11">
        <v>134.28</v>
      </c>
    </row>
    <row r="1687" spans="1:13" ht="15.75" customHeight="1" x14ac:dyDescent="0.3">
      <c r="A1687" s="4" t="s">
        <v>102</v>
      </c>
      <c r="B1687">
        <f t="shared" si="26"/>
        <v>3</v>
      </c>
      <c r="C1687" s="2" t="s">
        <v>19</v>
      </c>
      <c r="D1687" s="2" t="s">
        <v>795</v>
      </c>
      <c r="E1687" s="7">
        <v>25.21</v>
      </c>
      <c r="F1687" s="2">
        <v>6</v>
      </c>
      <c r="G1687" s="7">
        <v>335.91</v>
      </c>
      <c r="H1687" s="2" t="s">
        <v>196</v>
      </c>
      <c r="I1687" s="2" t="s">
        <v>35</v>
      </c>
      <c r="J1687" s="2" t="s">
        <v>16</v>
      </c>
      <c r="K1687" s="2" t="s">
        <v>17</v>
      </c>
      <c r="L1687" s="7">
        <f>Table3[[#This Row],[Revenue]]-Table3[[#This Row],[Ad Spend]]</f>
        <v>310.70000000000005</v>
      </c>
      <c r="M1687" s="11">
        <v>143.21</v>
      </c>
    </row>
    <row r="1688" spans="1:13" ht="15.75" customHeight="1" x14ac:dyDescent="0.3">
      <c r="A1688" s="4" t="s">
        <v>105</v>
      </c>
      <c r="B1688">
        <f t="shared" si="26"/>
        <v>1</v>
      </c>
      <c r="C1688" s="2" t="s">
        <v>19</v>
      </c>
      <c r="D1688" s="2" t="s">
        <v>1426</v>
      </c>
      <c r="E1688" s="7">
        <v>55.59</v>
      </c>
      <c r="F1688" s="2">
        <v>3</v>
      </c>
      <c r="G1688" s="7">
        <v>249.46</v>
      </c>
      <c r="H1688" s="2" t="s">
        <v>1427</v>
      </c>
      <c r="I1688" s="2" t="s">
        <v>35</v>
      </c>
      <c r="J1688" s="2" t="s">
        <v>25</v>
      </c>
      <c r="K1688" s="2" t="s">
        <v>17</v>
      </c>
      <c r="L1688" s="7">
        <f>Table3[[#This Row],[Revenue]]-Table3[[#This Row],[Ad Spend]]</f>
        <v>193.87</v>
      </c>
      <c r="M1688" s="11">
        <v>94.74</v>
      </c>
    </row>
    <row r="1689" spans="1:13" ht="15.75" customHeight="1" x14ac:dyDescent="0.3">
      <c r="A1689" s="4" t="s">
        <v>340</v>
      </c>
      <c r="B1689">
        <f t="shared" si="26"/>
        <v>11</v>
      </c>
      <c r="C1689" s="2" t="s">
        <v>32</v>
      </c>
      <c r="D1689" s="2" t="s">
        <v>263</v>
      </c>
      <c r="E1689" s="7">
        <v>89.37</v>
      </c>
      <c r="F1689" s="2">
        <v>10</v>
      </c>
      <c r="G1689" s="7">
        <v>114.29</v>
      </c>
      <c r="H1689" s="2" t="s">
        <v>14</v>
      </c>
      <c r="I1689" s="2" t="s">
        <v>35</v>
      </c>
      <c r="J1689" s="2" t="s">
        <v>30</v>
      </c>
      <c r="K1689" s="2" t="s">
        <v>17</v>
      </c>
      <c r="L1689" s="7">
        <f>Table3[[#This Row],[Revenue]]-Table3[[#This Row],[Ad Spend]]</f>
        <v>24.92</v>
      </c>
      <c r="M1689" s="11">
        <v>116.79</v>
      </c>
    </row>
    <row r="1690" spans="1:13" ht="15.75" customHeight="1" x14ac:dyDescent="0.3">
      <c r="A1690" s="4" t="s">
        <v>133</v>
      </c>
      <c r="B1690">
        <f t="shared" si="26"/>
        <v>3</v>
      </c>
      <c r="C1690" s="2" t="s">
        <v>63</v>
      </c>
      <c r="D1690" s="2" t="s">
        <v>163</v>
      </c>
      <c r="E1690" s="7">
        <v>48.46</v>
      </c>
      <c r="F1690" s="2">
        <v>1</v>
      </c>
      <c r="G1690" s="7">
        <v>122.14</v>
      </c>
      <c r="H1690" s="2" t="s">
        <v>768</v>
      </c>
      <c r="I1690" s="2" t="s">
        <v>29</v>
      </c>
      <c r="J1690" s="2" t="s">
        <v>25</v>
      </c>
      <c r="K1690" s="2" t="s">
        <v>17</v>
      </c>
      <c r="L1690" s="7">
        <f>Table3[[#This Row],[Revenue]]-Table3[[#This Row],[Ad Spend]]</f>
        <v>73.680000000000007</v>
      </c>
      <c r="M1690" s="11">
        <v>142.88</v>
      </c>
    </row>
    <row r="1691" spans="1:13" ht="15.75" customHeight="1" x14ac:dyDescent="0.3">
      <c r="A1691" s="4" t="s">
        <v>261</v>
      </c>
      <c r="B1691">
        <f t="shared" si="26"/>
        <v>10</v>
      </c>
      <c r="C1691" s="2" t="s">
        <v>63</v>
      </c>
      <c r="D1691" s="2" t="s">
        <v>294</v>
      </c>
      <c r="E1691" s="7">
        <v>21.02</v>
      </c>
      <c r="F1691" s="2">
        <v>9</v>
      </c>
      <c r="G1691" s="7">
        <v>76.010000000000005</v>
      </c>
      <c r="H1691" s="2" t="s">
        <v>313</v>
      </c>
      <c r="I1691" s="2" t="s">
        <v>15</v>
      </c>
      <c r="J1691" s="2" t="s">
        <v>30</v>
      </c>
      <c r="K1691" s="2" t="s">
        <v>17</v>
      </c>
      <c r="L1691" s="7">
        <f>Table3[[#This Row],[Revenue]]-Table3[[#This Row],[Ad Spend]]</f>
        <v>54.990000000000009</v>
      </c>
      <c r="M1691" s="11">
        <v>123.37</v>
      </c>
    </row>
    <row r="1692" spans="1:13" ht="15.75" customHeight="1" x14ac:dyDescent="0.3">
      <c r="A1692" s="4" t="s">
        <v>304</v>
      </c>
      <c r="B1692">
        <f t="shared" si="26"/>
        <v>12</v>
      </c>
      <c r="C1692" s="2" t="s">
        <v>19</v>
      </c>
      <c r="D1692" s="2" t="s">
        <v>1085</v>
      </c>
      <c r="E1692" s="7">
        <v>74.650000000000006</v>
      </c>
      <c r="F1692" s="2">
        <v>6</v>
      </c>
      <c r="G1692" s="7">
        <v>427.63</v>
      </c>
      <c r="H1692" s="2" t="s">
        <v>232</v>
      </c>
      <c r="I1692" s="2" t="s">
        <v>29</v>
      </c>
      <c r="J1692" s="2" t="s">
        <v>30</v>
      </c>
      <c r="K1692" s="2" t="s">
        <v>17</v>
      </c>
      <c r="L1692" s="7">
        <f>Table3[[#This Row],[Revenue]]-Table3[[#This Row],[Ad Spend]]</f>
        <v>352.98</v>
      </c>
      <c r="M1692" s="11">
        <v>127.48</v>
      </c>
    </row>
    <row r="1693" spans="1:13" ht="15.75" customHeight="1" x14ac:dyDescent="0.3">
      <c r="A1693" s="4" t="s">
        <v>280</v>
      </c>
      <c r="B1693">
        <f t="shared" si="26"/>
        <v>2</v>
      </c>
      <c r="C1693" s="2" t="s">
        <v>19</v>
      </c>
      <c r="D1693" s="2" t="s">
        <v>1428</v>
      </c>
      <c r="E1693" s="7">
        <v>79.38</v>
      </c>
      <c r="F1693" s="2">
        <v>5</v>
      </c>
      <c r="G1693" s="7">
        <v>335.31</v>
      </c>
      <c r="H1693" s="2" t="s">
        <v>201</v>
      </c>
      <c r="I1693" s="2" t="s">
        <v>15</v>
      </c>
      <c r="J1693" s="2" t="s">
        <v>30</v>
      </c>
      <c r="K1693" s="2" t="s">
        <v>17</v>
      </c>
      <c r="L1693" s="7">
        <f>Table3[[#This Row],[Revenue]]-Table3[[#This Row],[Ad Spend]]</f>
        <v>255.93</v>
      </c>
      <c r="M1693" s="11">
        <v>105.87</v>
      </c>
    </row>
    <row r="1694" spans="1:13" ht="15.75" customHeight="1" x14ac:dyDescent="0.3">
      <c r="A1694" s="4" t="s">
        <v>56</v>
      </c>
      <c r="B1694">
        <f t="shared" si="26"/>
        <v>12</v>
      </c>
      <c r="C1694" s="2" t="s">
        <v>63</v>
      </c>
      <c r="D1694" s="2" t="s">
        <v>1147</v>
      </c>
      <c r="E1694" s="7">
        <v>92.08</v>
      </c>
      <c r="F1694" s="2">
        <v>7</v>
      </c>
      <c r="G1694" s="7">
        <v>33.5</v>
      </c>
      <c r="H1694" s="2" t="s">
        <v>510</v>
      </c>
      <c r="I1694" s="2" t="s">
        <v>35</v>
      </c>
      <c r="J1694" s="2" t="s">
        <v>30</v>
      </c>
      <c r="K1694" s="2" t="s">
        <v>17</v>
      </c>
      <c r="L1694" s="7">
        <f>Table3[[#This Row],[Revenue]]-Table3[[#This Row],[Ad Spend]]</f>
        <v>-58.58</v>
      </c>
      <c r="M1694" s="11">
        <v>154.51</v>
      </c>
    </row>
    <row r="1695" spans="1:13" ht="15.75" customHeight="1" x14ac:dyDescent="0.3">
      <c r="A1695" s="4" t="s">
        <v>181</v>
      </c>
      <c r="B1695">
        <f t="shared" si="26"/>
        <v>11</v>
      </c>
      <c r="C1695" s="2" t="s">
        <v>63</v>
      </c>
      <c r="D1695" s="2" t="s">
        <v>560</v>
      </c>
      <c r="E1695" s="7">
        <v>146.75</v>
      </c>
      <c r="F1695" s="2">
        <v>1</v>
      </c>
      <c r="G1695" s="7">
        <v>450.93</v>
      </c>
      <c r="H1695" s="2" t="s">
        <v>395</v>
      </c>
      <c r="I1695" s="2" t="s">
        <v>35</v>
      </c>
      <c r="J1695" s="2" t="s">
        <v>30</v>
      </c>
      <c r="K1695" s="2" t="s">
        <v>17</v>
      </c>
      <c r="L1695" s="7">
        <f>Table3[[#This Row],[Revenue]]-Table3[[#This Row],[Ad Spend]]</f>
        <v>304.18</v>
      </c>
      <c r="M1695" s="11">
        <v>145.56</v>
      </c>
    </row>
    <row r="1696" spans="1:13" ht="15.75" customHeight="1" x14ac:dyDescent="0.3">
      <c r="A1696" s="4" t="s">
        <v>293</v>
      </c>
      <c r="B1696">
        <f t="shared" si="26"/>
        <v>11</v>
      </c>
      <c r="C1696" s="2" t="s">
        <v>12</v>
      </c>
      <c r="D1696" s="2" t="s">
        <v>1384</v>
      </c>
      <c r="E1696" s="7">
        <v>29.53</v>
      </c>
      <c r="F1696" s="2">
        <v>4</v>
      </c>
      <c r="G1696" s="7">
        <v>319.25</v>
      </c>
      <c r="H1696" s="2" t="s">
        <v>501</v>
      </c>
      <c r="I1696" s="2" t="s">
        <v>35</v>
      </c>
      <c r="J1696" s="2" t="s">
        <v>30</v>
      </c>
      <c r="K1696" s="2" t="s">
        <v>17</v>
      </c>
      <c r="L1696" s="7">
        <f>Table3[[#This Row],[Revenue]]-Table3[[#This Row],[Ad Spend]]</f>
        <v>289.72000000000003</v>
      </c>
      <c r="M1696" s="11">
        <v>147.91</v>
      </c>
    </row>
    <row r="1697" spans="1:13" ht="15.75" customHeight="1" x14ac:dyDescent="0.3">
      <c r="A1697" s="4" t="s">
        <v>187</v>
      </c>
      <c r="B1697">
        <f t="shared" si="26"/>
        <v>1</v>
      </c>
      <c r="C1697" s="2" t="s">
        <v>19</v>
      </c>
      <c r="D1697" s="2" t="s">
        <v>1398</v>
      </c>
      <c r="E1697" s="7">
        <v>104.22</v>
      </c>
      <c r="F1697" s="2">
        <v>9</v>
      </c>
      <c r="G1697" s="7">
        <v>369.36</v>
      </c>
      <c r="H1697" s="2" t="s">
        <v>605</v>
      </c>
      <c r="I1697" s="2" t="s">
        <v>15</v>
      </c>
      <c r="J1697" s="2" t="s">
        <v>30</v>
      </c>
      <c r="K1697" s="2" t="s">
        <v>17</v>
      </c>
      <c r="L1697" s="7">
        <f>Table3[[#This Row],[Revenue]]-Table3[[#This Row],[Ad Spend]]</f>
        <v>265.14</v>
      </c>
      <c r="M1697" s="11">
        <v>136.16999999999999</v>
      </c>
    </row>
    <row r="1698" spans="1:13" ht="15.75" customHeight="1" x14ac:dyDescent="0.3">
      <c r="A1698" s="4" t="s">
        <v>280</v>
      </c>
      <c r="B1698">
        <f t="shared" si="26"/>
        <v>2</v>
      </c>
      <c r="C1698" s="2" t="s">
        <v>32</v>
      </c>
      <c r="D1698" s="2" t="s">
        <v>6</v>
      </c>
      <c r="E1698" s="7">
        <v>52.32</v>
      </c>
      <c r="F1698" s="2">
        <v>10</v>
      </c>
      <c r="G1698" s="7">
        <v>321.60000000000002</v>
      </c>
      <c r="H1698" s="2" t="s">
        <v>104</v>
      </c>
      <c r="I1698" s="2" t="s">
        <v>15</v>
      </c>
      <c r="J1698" s="2" t="s">
        <v>25</v>
      </c>
      <c r="K1698" s="2" t="s">
        <v>17</v>
      </c>
      <c r="L1698" s="7">
        <f>Table3[[#This Row],[Revenue]]-Table3[[#This Row],[Ad Spend]]</f>
        <v>269.28000000000003</v>
      </c>
      <c r="M1698" s="11">
        <v>122.27</v>
      </c>
    </row>
    <row r="1699" spans="1:13" ht="15.75" customHeight="1" x14ac:dyDescent="0.3">
      <c r="A1699" s="4" t="s">
        <v>216</v>
      </c>
      <c r="B1699">
        <f t="shared" si="26"/>
        <v>2</v>
      </c>
      <c r="C1699" s="2" t="s">
        <v>32</v>
      </c>
      <c r="D1699" s="2" t="s">
        <v>993</v>
      </c>
      <c r="E1699" s="7">
        <v>91.03</v>
      </c>
      <c r="F1699" s="2">
        <v>6</v>
      </c>
      <c r="G1699" s="7">
        <v>408.85</v>
      </c>
      <c r="H1699" s="2" t="s">
        <v>301</v>
      </c>
      <c r="I1699" s="2" t="s">
        <v>29</v>
      </c>
      <c r="J1699" s="2" t="s">
        <v>25</v>
      </c>
      <c r="K1699" s="2" t="s">
        <v>17</v>
      </c>
      <c r="L1699" s="7">
        <f>Table3[[#This Row],[Revenue]]-Table3[[#This Row],[Ad Spend]]</f>
        <v>317.82000000000005</v>
      </c>
      <c r="M1699" s="11">
        <v>145.06</v>
      </c>
    </row>
    <row r="1700" spans="1:13" ht="15.75" customHeight="1" x14ac:dyDescent="0.3">
      <c r="A1700" s="4" t="s">
        <v>649</v>
      </c>
      <c r="B1700">
        <f t="shared" si="26"/>
        <v>1</v>
      </c>
      <c r="C1700" s="2" t="s">
        <v>32</v>
      </c>
      <c r="D1700" s="2" t="s">
        <v>764</v>
      </c>
      <c r="E1700" s="7">
        <v>116.07</v>
      </c>
      <c r="F1700" s="2">
        <v>10</v>
      </c>
      <c r="G1700" s="7">
        <v>451.26</v>
      </c>
      <c r="H1700" s="2" t="s">
        <v>122</v>
      </c>
      <c r="I1700" s="2" t="s">
        <v>35</v>
      </c>
      <c r="J1700" s="2" t="s">
        <v>30</v>
      </c>
      <c r="K1700" s="2" t="s">
        <v>17</v>
      </c>
      <c r="L1700" s="7">
        <f>Table3[[#This Row],[Revenue]]-Table3[[#This Row],[Ad Spend]]</f>
        <v>335.19</v>
      </c>
      <c r="M1700" s="11">
        <v>119.65</v>
      </c>
    </row>
    <row r="1701" spans="1:13" ht="15.75" customHeight="1" x14ac:dyDescent="0.3">
      <c r="A1701" s="4" t="s">
        <v>850</v>
      </c>
      <c r="B1701">
        <f t="shared" si="26"/>
        <v>11</v>
      </c>
      <c r="C1701" s="2" t="s">
        <v>12</v>
      </c>
      <c r="D1701" s="2" t="s">
        <v>739</v>
      </c>
      <c r="E1701" s="7">
        <v>86.87</v>
      </c>
      <c r="F1701" s="2">
        <v>7</v>
      </c>
      <c r="G1701" s="7">
        <v>183.27</v>
      </c>
      <c r="H1701" s="2" t="s">
        <v>1429</v>
      </c>
      <c r="I1701" s="2" t="s">
        <v>35</v>
      </c>
      <c r="J1701" s="2" t="s">
        <v>16</v>
      </c>
      <c r="K1701" s="2" t="s">
        <v>17</v>
      </c>
      <c r="L1701" s="7">
        <f>Table3[[#This Row],[Revenue]]-Table3[[#This Row],[Ad Spend]]</f>
        <v>96.4</v>
      </c>
      <c r="M1701" s="11">
        <v>96.65</v>
      </c>
    </row>
    <row r="1702" spans="1:13" ht="15.75" customHeight="1" x14ac:dyDescent="0.3">
      <c r="A1702" s="4" t="s">
        <v>295</v>
      </c>
      <c r="B1702">
        <f t="shared" si="26"/>
        <v>12</v>
      </c>
      <c r="C1702" s="2" t="s">
        <v>12</v>
      </c>
      <c r="D1702" s="2" t="s">
        <v>547</v>
      </c>
      <c r="E1702" s="7">
        <v>89.46</v>
      </c>
      <c r="F1702" s="2">
        <v>8</v>
      </c>
      <c r="G1702" s="7">
        <v>239.51</v>
      </c>
      <c r="H1702" s="2" t="s">
        <v>372</v>
      </c>
      <c r="I1702" s="2" t="s">
        <v>29</v>
      </c>
      <c r="J1702" s="2" t="s">
        <v>25</v>
      </c>
      <c r="K1702" s="2" t="s">
        <v>17</v>
      </c>
      <c r="L1702" s="7">
        <f>Table3[[#This Row],[Revenue]]-Table3[[#This Row],[Ad Spend]]</f>
        <v>150.05000000000001</v>
      </c>
      <c r="M1702" s="11">
        <v>112.76</v>
      </c>
    </row>
    <row r="1703" spans="1:13" ht="15.75" customHeight="1" x14ac:dyDescent="0.3">
      <c r="A1703" s="4" t="s">
        <v>755</v>
      </c>
      <c r="B1703">
        <f t="shared" si="26"/>
        <v>2</v>
      </c>
      <c r="C1703" s="2" t="s">
        <v>63</v>
      </c>
      <c r="D1703" s="2" t="s">
        <v>682</v>
      </c>
      <c r="E1703" s="7">
        <v>120.08</v>
      </c>
      <c r="F1703" s="2">
        <v>3</v>
      </c>
      <c r="G1703" s="7">
        <v>221.8</v>
      </c>
      <c r="H1703" s="2" t="s">
        <v>1430</v>
      </c>
      <c r="I1703" s="2" t="s">
        <v>35</v>
      </c>
      <c r="J1703" s="2" t="s">
        <v>53</v>
      </c>
      <c r="K1703" s="2" t="s">
        <v>17</v>
      </c>
      <c r="L1703" s="7">
        <f>Table3[[#This Row],[Revenue]]-Table3[[#This Row],[Ad Spend]]</f>
        <v>101.72000000000001</v>
      </c>
      <c r="M1703" s="11">
        <v>116.39</v>
      </c>
    </row>
    <row r="1704" spans="1:13" ht="15.75" customHeight="1" x14ac:dyDescent="0.3">
      <c r="A1704" s="4" t="s">
        <v>191</v>
      </c>
      <c r="B1704">
        <f t="shared" si="26"/>
        <v>11</v>
      </c>
      <c r="C1704" s="2" t="s">
        <v>32</v>
      </c>
      <c r="D1704" s="2" t="s">
        <v>943</v>
      </c>
      <c r="E1704" s="7">
        <v>92.56</v>
      </c>
      <c r="F1704" s="2">
        <v>9</v>
      </c>
      <c r="G1704" s="7">
        <v>361.31</v>
      </c>
      <c r="H1704" s="2" t="s">
        <v>751</v>
      </c>
      <c r="I1704" s="2" t="s">
        <v>29</v>
      </c>
      <c r="J1704" s="2" t="s">
        <v>36</v>
      </c>
      <c r="K1704" s="2" t="s">
        <v>17</v>
      </c>
      <c r="L1704" s="7">
        <f>Table3[[#This Row],[Revenue]]-Table3[[#This Row],[Ad Spend]]</f>
        <v>268.75</v>
      </c>
      <c r="M1704" s="11">
        <v>120.79</v>
      </c>
    </row>
    <row r="1705" spans="1:13" ht="15.75" customHeight="1" x14ac:dyDescent="0.3">
      <c r="A1705" s="4" t="s">
        <v>483</v>
      </c>
      <c r="B1705">
        <f t="shared" si="26"/>
        <v>4</v>
      </c>
      <c r="C1705" s="2" t="s">
        <v>32</v>
      </c>
      <c r="D1705" s="2" t="s">
        <v>484</v>
      </c>
      <c r="E1705" s="7">
        <v>94.06</v>
      </c>
      <c r="F1705" s="2">
        <v>8</v>
      </c>
      <c r="G1705" s="7">
        <v>436.76</v>
      </c>
      <c r="H1705" s="2" t="s">
        <v>147</v>
      </c>
      <c r="I1705" s="2" t="s">
        <v>29</v>
      </c>
      <c r="J1705" s="2" t="s">
        <v>16</v>
      </c>
      <c r="K1705" s="2" t="s">
        <v>17</v>
      </c>
      <c r="L1705" s="7">
        <f>Table3[[#This Row],[Revenue]]-Table3[[#This Row],[Ad Spend]]</f>
        <v>342.7</v>
      </c>
      <c r="M1705" s="11">
        <v>145.88</v>
      </c>
    </row>
    <row r="1706" spans="1:13" ht="15.75" customHeight="1" x14ac:dyDescent="0.3">
      <c r="A1706" s="4" t="s">
        <v>723</v>
      </c>
      <c r="B1706">
        <f t="shared" si="26"/>
        <v>12</v>
      </c>
      <c r="C1706" s="2" t="s">
        <v>32</v>
      </c>
      <c r="D1706" s="2" t="s">
        <v>1431</v>
      </c>
      <c r="E1706" s="7">
        <v>48.45</v>
      </c>
      <c r="F1706" s="2">
        <v>7</v>
      </c>
      <c r="G1706" s="7">
        <v>277.20999999999998</v>
      </c>
      <c r="H1706" s="2" t="s">
        <v>246</v>
      </c>
      <c r="I1706" s="2" t="s">
        <v>35</v>
      </c>
      <c r="J1706" s="2" t="s">
        <v>53</v>
      </c>
      <c r="K1706" s="2" t="s">
        <v>17</v>
      </c>
      <c r="L1706" s="7">
        <f>Table3[[#This Row],[Revenue]]-Table3[[#This Row],[Ad Spend]]</f>
        <v>228.76</v>
      </c>
      <c r="M1706" s="11">
        <v>109.23</v>
      </c>
    </row>
    <row r="1707" spans="1:13" ht="15.75" customHeight="1" x14ac:dyDescent="0.3">
      <c r="A1707" s="4" t="s">
        <v>875</v>
      </c>
      <c r="B1707">
        <f t="shared" si="26"/>
        <v>12</v>
      </c>
      <c r="C1707" s="2" t="s">
        <v>12</v>
      </c>
      <c r="D1707" s="2" t="s">
        <v>932</v>
      </c>
      <c r="E1707" s="7">
        <v>112.79</v>
      </c>
      <c r="F1707" s="2">
        <v>0</v>
      </c>
      <c r="G1707" s="7">
        <v>429.74</v>
      </c>
      <c r="H1707" s="2" t="s">
        <v>104</v>
      </c>
      <c r="I1707" s="2" t="s">
        <v>35</v>
      </c>
      <c r="J1707" s="2" t="s">
        <v>16</v>
      </c>
      <c r="K1707" s="2" t="s">
        <v>46</v>
      </c>
      <c r="L1707" s="7">
        <f>Table3[[#This Row],[Revenue]]-Table3[[#This Row],[Ad Spend]]</f>
        <v>316.95</v>
      </c>
      <c r="M1707" s="11">
        <v>125.93</v>
      </c>
    </row>
    <row r="1708" spans="1:13" ht="15.75" customHeight="1" x14ac:dyDescent="0.3">
      <c r="A1708" s="4" t="s">
        <v>169</v>
      </c>
      <c r="B1708">
        <f t="shared" si="26"/>
        <v>2</v>
      </c>
      <c r="C1708" s="2" t="s">
        <v>32</v>
      </c>
      <c r="D1708" s="2" t="s">
        <v>651</v>
      </c>
      <c r="E1708" s="7">
        <v>138.04</v>
      </c>
      <c r="F1708" s="2">
        <v>9</v>
      </c>
      <c r="G1708" s="7">
        <v>499.31</v>
      </c>
      <c r="H1708" s="2" t="s">
        <v>1082</v>
      </c>
      <c r="I1708" s="2" t="s">
        <v>35</v>
      </c>
      <c r="J1708" s="2" t="s">
        <v>25</v>
      </c>
      <c r="K1708" s="2" t="s">
        <v>17</v>
      </c>
      <c r="L1708" s="7">
        <f>Table3[[#This Row],[Revenue]]-Table3[[#This Row],[Ad Spend]]</f>
        <v>361.27</v>
      </c>
      <c r="M1708" s="11">
        <v>193.8</v>
      </c>
    </row>
    <row r="1709" spans="1:13" ht="15.75" customHeight="1" x14ac:dyDescent="0.3">
      <c r="A1709" s="4" t="s">
        <v>406</v>
      </c>
      <c r="B1709">
        <f t="shared" si="26"/>
        <v>1</v>
      </c>
      <c r="C1709" s="2" t="s">
        <v>32</v>
      </c>
      <c r="D1709" s="2" t="s">
        <v>679</v>
      </c>
      <c r="E1709" s="7">
        <v>11.18</v>
      </c>
      <c r="F1709" s="2">
        <v>0</v>
      </c>
      <c r="G1709" s="7">
        <v>464.64</v>
      </c>
      <c r="H1709" s="2" t="s">
        <v>225</v>
      </c>
      <c r="I1709" s="2" t="s">
        <v>29</v>
      </c>
      <c r="J1709" s="2" t="s">
        <v>87</v>
      </c>
      <c r="K1709" s="2" t="s">
        <v>46</v>
      </c>
      <c r="L1709" s="7">
        <f>Table3[[#This Row],[Revenue]]-Table3[[#This Row],[Ad Spend]]</f>
        <v>453.46</v>
      </c>
      <c r="M1709" s="11">
        <v>120.9</v>
      </c>
    </row>
    <row r="1710" spans="1:13" ht="15.75" customHeight="1" x14ac:dyDescent="0.3">
      <c r="A1710" s="4" t="s">
        <v>76</v>
      </c>
      <c r="B1710">
        <f t="shared" si="26"/>
        <v>1</v>
      </c>
      <c r="C1710" s="2" t="s">
        <v>63</v>
      </c>
      <c r="D1710" s="2" t="s">
        <v>1141</v>
      </c>
      <c r="E1710" s="7">
        <v>147.66</v>
      </c>
      <c r="F1710" s="2">
        <v>10</v>
      </c>
      <c r="G1710" s="7">
        <v>437.44</v>
      </c>
      <c r="H1710" s="2" t="s">
        <v>781</v>
      </c>
      <c r="I1710" s="2" t="s">
        <v>29</v>
      </c>
      <c r="J1710" s="2" t="s">
        <v>16</v>
      </c>
      <c r="K1710" s="2" t="s">
        <v>17</v>
      </c>
      <c r="L1710" s="7">
        <f>Table3[[#This Row],[Revenue]]-Table3[[#This Row],[Ad Spend]]</f>
        <v>289.77999999999997</v>
      </c>
      <c r="M1710" s="11">
        <v>108.26</v>
      </c>
    </row>
    <row r="1711" spans="1:13" ht="15.75" customHeight="1" x14ac:dyDescent="0.3">
      <c r="A1711" s="4" t="s">
        <v>88</v>
      </c>
      <c r="B1711">
        <f t="shared" si="26"/>
        <v>11</v>
      </c>
      <c r="C1711" s="2" t="s">
        <v>19</v>
      </c>
      <c r="D1711" s="2" t="s">
        <v>410</v>
      </c>
      <c r="E1711" s="7">
        <v>66.430000000000007</v>
      </c>
      <c r="F1711" s="2">
        <v>8</v>
      </c>
      <c r="G1711" s="7">
        <v>375.82</v>
      </c>
      <c r="H1711" s="2" t="s">
        <v>313</v>
      </c>
      <c r="I1711" s="2" t="s">
        <v>35</v>
      </c>
      <c r="J1711" s="2" t="s">
        <v>30</v>
      </c>
      <c r="K1711" s="2" t="s">
        <v>17</v>
      </c>
      <c r="L1711" s="7">
        <f>Table3[[#This Row],[Revenue]]-Table3[[#This Row],[Ad Spend]]</f>
        <v>309.39</v>
      </c>
      <c r="M1711" s="11">
        <v>122.44</v>
      </c>
    </row>
    <row r="1712" spans="1:13" ht="15.75" customHeight="1" x14ac:dyDescent="0.3">
      <c r="A1712" s="4" t="s">
        <v>250</v>
      </c>
      <c r="B1712">
        <f t="shared" si="26"/>
        <v>12</v>
      </c>
      <c r="C1712" s="2" t="s">
        <v>12</v>
      </c>
      <c r="D1712" s="2" t="s">
        <v>348</v>
      </c>
      <c r="E1712" s="7">
        <v>37.93</v>
      </c>
      <c r="F1712" s="2">
        <v>2</v>
      </c>
      <c r="G1712" s="7">
        <v>69.36</v>
      </c>
      <c r="H1712" s="2" t="s">
        <v>1232</v>
      </c>
      <c r="I1712" s="2" t="s">
        <v>15</v>
      </c>
      <c r="J1712" s="2" t="s">
        <v>16</v>
      </c>
      <c r="K1712" s="2" t="s">
        <v>17</v>
      </c>
      <c r="L1712" s="7">
        <f>Table3[[#This Row],[Revenue]]-Table3[[#This Row],[Ad Spend]]</f>
        <v>31.43</v>
      </c>
      <c r="M1712" s="11">
        <v>101.2</v>
      </c>
    </row>
    <row r="1713" spans="1:13" ht="15.75" customHeight="1" x14ac:dyDescent="0.3">
      <c r="A1713" s="4" t="s">
        <v>22</v>
      </c>
      <c r="B1713">
        <f t="shared" si="26"/>
        <v>4</v>
      </c>
      <c r="C1713" s="2" t="s">
        <v>63</v>
      </c>
      <c r="D1713" s="2" t="s">
        <v>1432</v>
      </c>
      <c r="E1713" s="7">
        <v>27.2</v>
      </c>
      <c r="F1713" s="2">
        <v>1</v>
      </c>
      <c r="G1713" s="7">
        <v>190.9</v>
      </c>
      <c r="H1713" s="2" t="s">
        <v>1353</v>
      </c>
      <c r="I1713" s="2" t="s">
        <v>29</v>
      </c>
      <c r="J1713" s="2" t="s">
        <v>87</v>
      </c>
      <c r="K1713" s="2" t="s">
        <v>17</v>
      </c>
      <c r="L1713" s="7">
        <f>Table3[[#This Row],[Revenue]]-Table3[[#This Row],[Ad Spend]]</f>
        <v>163.70000000000002</v>
      </c>
      <c r="M1713" s="11">
        <v>155.86000000000001</v>
      </c>
    </row>
    <row r="1714" spans="1:13" ht="15.75" customHeight="1" x14ac:dyDescent="0.3">
      <c r="A1714" s="4" t="s">
        <v>91</v>
      </c>
      <c r="B1714">
        <f t="shared" si="26"/>
        <v>3</v>
      </c>
      <c r="C1714" s="2" t="s">
        <v>63</v>
      </c>
      <c r="D1714" s="2" t="s">
        <v>853</v>
      </c>
      <c r="E1714" s="7">
        <v>79.7</v>
      </c>
      <c r="F1714" s="2">
        <v>4</v>
      </c>
      <c r="G1714" s="7">
        <v>393.97</v>
      </c>
      <c r="H1714" s="2" t="s">
        <v>401</v>
      </c>
      <c r="I1714" s="2" t="s">
        <v>29</v>
      </c>
      <c r="J1714" s="2" t="s">
        <v>30</v>
      </c>
      <c r="K1714" s="2" t="s">
        <v>17</v>
      </c>
      <c r="L1714" s="7">
        <f>Table3[[#This Row],[Revenue]]-Table3[[#This Row],[Ad Spend]]</f>
        <v>314.27000000000004</v>
      </c>
      <c r="M1714" s="11">
        <v>133.19999999999999</v>
      </c>
    </row>
    <row r="1715" spans="1:13" ht="15.75" customHeight="1" x14ac:dyDescent="0.3">
      <c r="A1715" s="4" t="s">
        <v>753</v>
      </c>
      <c r="B1715">
        <f t="shared" si="26"/>
        <v>11</v>
      </c>
      <c r="C1715" s="2" t="s">
        <v>32</v>
      </c>
      <c r="D1715" s="2" t="s">
        <v>1115</v>
      </c>
      <c r="E1715" s="7">
        <v>50.75</v>
      </c>
      <c r="F1715" s="2">
        <v>7</v>
      </c>
      <c r="G1715" s="7">
        <v>202.19</v>
      </c>
      <c r="H1715" s="2" t="s">
        <v>337</v>
      </c>
      <c r="I1715" s="2" t="s">
        <v>29</v>
      </c>
      <c r="J1715" s="2" t="s">
        <v>25</v>
      </c>
      <c r="K1715" s="2" t="s">
        <v>17</v>
      </c>
      <c r="L1715" s="7">
        <f>Table3[[#This Row],[Revenue]]-Table3[[#This Row],[Ad Spend]]</f>
        <v>151.44</v>
      </c>
      <c r="M1715" s="11">
        <v>152.79</v>
      </c>
    </row>
    <row r="1716" spans="1:13" ht="15.75" customHeight="1" x14ac:dyDescent="0.3">
      <c r="A1716" s="4" t="s">
        <v>638</v>
      </c>
      <c r="B1716">
        <f t="shared" si="26"/>
        <v>1</v>
      </c>
      <c r="C1716" s="2" t="s">
        <v>12</v>
      </c>
      <c r="D1716" s="2" t="s">
        <v>1424</v>
      </c>
      <c r="E1716" s="7">
        <v>36.549999999999997</v>
      </c>
      <c r="F1716" s="2">
        <v>8</v>
      </c>
      <c r="G1716" s="7">
        <v>59.46</v>
      </c>
      <c r="H1716" s="2" t="s">
        <v>777</v>
      </c>
      <c r="I1716" s="2" t="s">
        <v>29</v>
      </c>
      <c r="J1716" s="2" t="s">
        <v>30</v>
      </c>
      <c r="K1716" s="2" t="s">
        <v>17</v>
      </c>
      <c r="L1716" s="7">
        <f>Table3[[#This Row],[Revenue]]-Table3[[#This Row],[Ad Spend]]</f>
        <v>22.910000000000004</v>
      </c>
      <c r="M1716" s="11">
        <v>50.76</v>
      </c>
    </row>
    <row r="1717" spans="1:13" ht="15.75" customHeight="1" x14ac:dyDescent="0.3">
      <c r="A1717" s="4" t="s">
        <v>340</v>
      </c>
      <c r="B1717">
        <f t="shared" si="26"/>
        <v>11</v>
      </c>
      <c r="C1717" s="2" t="s">
        <v>32</v>
      </c>
      <c r="D1717" s="2" t="s">
        <v>1254</v>
      </c>
      <c r="E1717" s="7">
        <v>148.87</v>
      </c>
      <c r="F1717" s="2">
        <v>4</v>
      </c>
      <c r="G1717" s="7">
        <v>418.45</v>
      </c>
      <c r="H1717" s="2" t="s">
        <v>672</v>
      </c>
      <c r="I1717" s="2" t="s">
        <v>29</v>
      </c>
      <c r="J1717" s="2" t="s">
        <v>36</v>
      </c>
      <c r="K1717" s="2" t="s">
        <v>17</v>
      </c>
      <c r="L1717" s="7">
        <f>Table3[[#This Row],[Revenue]]-Table3[[#This Row],[Ad Spend]]</f>
        <v>269.58</v>
      </c>
      <c r="M1717" s="11">
        <v>111.47</v>
      </c>
    </row>
    <row r="1718" spans="1:13" ht="15.75" customHeight="1" x14ac:dyDescent="0.3">
      <c r="A1718" s="4" t="s">
        <v>214</v>
      </c>
      <c r="B1718">
        <f t="shared" si="26"/>
        <v>3</v>
      </c>
      <c r="C1718" s="2" t="s">
        <v>63</v>
      </c>
      <c r="D1718" s="2" t="s">
        <v>807</v>
      </c>
      <c r="E1718" s="7">
        <v>39.54</v>
      </c>
      <c r="F1718" s="2">
        <v>4</v>
      </c>
      <c r="G1718" s="7">
        <v>113.02</v>
      </c>
      <c r="H1718" s="2" t="s">
        <v>52</v>
      </c>
      <c r="I1718" s="2" t="s">
        <v>15</v>
      </c>
      <c r="J1718" s="2" t="s">
        <v>36</v>
      </c>
      <c r="K1718" s="2" t="s">
        <v>17</v>
      </c>
      <c r="L1718" s="7">
        <f>Table3[[#This Row],[Revenue]]-Table3[[#This Row],[Ad Spend]]</f>
        <v>73.47999999999999</v>
      </c>
      <c r="M1718" s="11">
        <v>122.71</v>
      </c>
    </row>
    <row r="1719" spans="1:13" ht="15.75" customHeight="1" x14ac:dyDescent="0.3">
      <c r="A1719" s="4" t="s">
        <v>400</v>
      </c>
      <c r="B1719">
        <f t="shared" si="26"/>
        <v>2</v>
      </c>
      <c r="C1719" s="2" t="s">
        <v>32</v>
      </c>
      <c r="D1719" s="2" t="s">
        <v>1171</v>
      </c>
      <c r="E1719" s="7">
        <v>100.77</v>
      </c>
      <c r="F1719" s="2">
        <v>1</v>
      </c>
      <c r="G1719" s="7">
        <v>245.79</v>
      </c>
      <c r="H1719" s="2" t="s">
        <v>104</v>
      </c>
      <c r="I1719" s="2" t="s">
        <v>35</v>
      </c>
      <c r="J1719" s="2" t="s">
        <v>25</v>
      </c>
      <c r="K1719" s="2" t="s">
        <v>17</v>
      </c>
      <c r="L1719" s="7">
        <f>Table3[[#This Row],[Revenue]]-Table3[[#This Row],[Ad Spend]]</f>
        <v>145.01999999999998</v>
      </c>
      <c r="M1719" s="11">
        <v>118.4</v>
      </c>
    </row>
    <row r="1720" spans="1:13" ht="15.75" customHeight="1" x14ac:dyDescent="0.3">
      <c r="A1720" s="4" t="s">
        <v>676</v>
      </c>
      <c r="B1720">
        <f t="shared" si="26"/>
        <v>4</v>
      </c>
      <c r="C1720" s="2" t="s">
        <v>32</v>
      </c>
      <c r="D1720" s="2" t="s">
        <v>503</v>
      </c>
      <c r="E1720" s="7">
        <v>39.96</v>
      </c>
      <c r="F1720" s="2">
        <v>4</v>
      </c>
      <c r="G1720" s="7">
        <v>95.24</v>
      </c>
      <c r="H1720" s="2" t="s">
        <v>58</v>
      </c>
      <c r="I1720" s="2" t="s">
        <v>35</v>
      </c>
      <c r="J1720" s="2" t="s">
        <v>30</v>
      </c>
      <c r="K1720" s="2" t="s">
        <v>17</v>
      </c>
      <c r="L1720" s="7">
        <f>Table3[[#This Row],[Revenue]]-Table3[[#This Row],[Ad Spend]]</f>
        <v>55.279999999999994</v>
      </c>
      <c r="M1720" s="11">
        <v>136.29</v>
      </c>
    </row>
    <row r="1721" spans="1:13" ht="15.75" customHeight="1" x14ac:dyDescent="0.3">
      <c r="A1721" s="4" t="s">
        <v>169</v>
      </c>
      <c r="B1721">
        <f t="shared" si="26"/>
        <v>2</v>
      </c>
      <c r="C1721" s="2" t="s">
        <v>12</v>
      </c>
      <c r="D1721" s="2" t="s">
        <v>188</v>
      </c>
      <c r="E1721" s="7">
        <v>15.55</v>
      </c>
      <c r="F1721" s="2">
        <v>6</v>
      </c>
      <c r="G1721" s="7">
        <v>218.97</v>
      </c>
      <c r="H1721" s="2" t="s">
        <v>1433</v>
      </c>
      <c r="I1721" s="2" t="s">
        <v>15</v>
      </c>
      <c r="J1721" s="2" t="s">
        <v>25</v>
      </c>
      <c r="K1721" s="2" t="s">
        <v>17</v>
      </c>
      <c r="L1721" s="7">
        <f>Table3[[#This Row],[Revenue]]-Table3[[#This Row],[Ad Spend]]</f>
        <v>203.42</v>
      </c>
      <c r="M1721" s="11">
        <v>106.39</v>
      </c>
    </row>
    <row r="1722" spans="1:13" ht="15.75" customHeight="1" x14ac:dyDescent="0.3">
      <c r="A1722" s="4" t="s">
        <v>683</v>
      </c>
      <c r="B1722">
        <f t="shared" si="26"/>
        <v>11</v>
      </c>
      <c r="C1722" s="2" t="s">
        <v>32</v>
      </c>
      <c r="D1722" s="2" t="s">
        <v>1155</v>
      </c>
      <c r="E1722" s="7">
        <v>100.98</v>
      </c>
      <c r="F1722" s="2">
        <v>1</v>
      </c>
      <c r="G1722" s="7">
        <v>228.3</v>
      </c>
      <c r="H1722" s="2" t="s">
        <v>1434</v>
      </c>
      <c r="I1722" s="2" t="s">
        <v>29</v>
      </c>
      <c r="J1722" s="2" t="s">
        <v>25</v>
      </c>
      <c r="K1722" s="2" t="s">
        <v>17</v>
      </c>
      <c r="L1722" s="7">
        <f>Table3[[#This Row],[Revenue]]-Table3[[#This Row],[Ad Spend]]</f>
        <v>127.32000000000001</v>
      </c>
      <c r="M1722" s="11">
        <v>112.1</v>
      </c>
    </row>
    <row r="1723" spans="1:13" ht="15.75" customHeight="1" x14ac:dyDescent="0.3">
      <c r="A1723" s="4" t="s">
        <v>113</v>
      </c>
      <c r="B1723">
        <f t="shared" si="26"/>
        <v>3</v>
      </c>
      <c r="C1723" s="2" t="s">
        <v>32</v>
      </c>
      <c r="D1723" s="2" t="s">
        <v>179</v>
      </c>
      <c r="E1723" s="7">
        <v>109.43</v>
      </c>
      <c r="F1723" s="2">
        <v>10</v>
      </c>
      <c r="G1723" s="7">
        <v>96.33</v>
      </c>
      <c r="H1723" s="2" t="s">
        <v>1435</v>
      </c>
      <c r="I1723" s="2" t="s">
        <v>35</v>
      </c>
      <c r="J1723" s="2" t="s">
        <v>25</v>
      </c>
      <c r="K1723" s="2" t="s">
        <v>17</v>
      </c>
      <c r="L1723" s="7">
        <f>Table3[[#This Row],[Revenue]]-Table3[[#This Row],[Ad Spend]]</f>
        <v>-13.100000000000009</v>
      </c>
      <c r="M1723" s="11">
        <v>67.14</v>
      </c>
    </row>
    <row r="1724" spans="1:13" ht="15.75" customHeight="1" x14ac:dyDescent="0.3">
      <c r="A1724" s="4" t="s">
        <v>261</v>
      </c>
      <c r="B1724">
        <f t="shared" si="26"/>
        <v>10</v>
      </c>
      <c r="C1724" s="2" t="s">
        <v>32</v>
      </c>
      <c r="D1724" s="2" t="s">
        <v>1436</v>
      </c>
      <c r="E1724" s="7">
        <v>40.9</v>
      </c>
      <c r="F1724" s="2">
        <v>4</v>
      </c>
      <c r="G1724" s="7">
        <v>351.82</v>
      </c>
      <c r="H1724" s="2" t="s">
        <v>761</v>
      </c>
      <c r="I1724" s="2" t="s">
        <v>15</v>
      </c>
      <c r="J1724" s="2" t="s">
        <v>30</v>
      </c>
      <c r="K1724" s="2" t="s">
        <v>17</v>
      </c>
      <c r="L1724" s="7">
        <f>Table3[[#This Row],[Revenue]]-Table3[[#This Row],[Ad Spend]]</f>
        <v>310.92</v>
      </c>
      <c r="M1724" s="11">
        <v>117.43</v>
      </c>
    </row>
    <row r="1725" spans="1:13" ht="15.75" customHeight="1" x14ac:dyDescent="0.3">
      <c r="A1725" s="4" t="s">
        <v>277</v>
      </c>
      <c r="B1725">
        <f t="shared" si="26"/>
        <v>2</v>
      </c>
      <c r="C1725" s="2" t="s">
        <v>12</v>
      </c>
      <c r="D1725" s="2" t="s">
        <v>1437</v>
      </c>
      <c r="E1725" s="7">
        <v>68.14</v>
      </c>
      <c r="F1725" s="2">
        <v>7</v>
      </c>
      <c r="G1725" s="7">
        <v>429.64</v>
      </c>
      <c r="H1725" s="2" t="s">
        <v>161</v>
      </c>
      <c r="I1725" s="2" t="s">
        <v>35</v>
      </c>
      <c r="J1725" s="2" t="s">
        <v>36</v>
      </c>
      <c r="K1725" s="2" t="s">
        <v>17</v>
      </c>
      <c r="L1725" s="7">
        <f>Table3[[#This Row],[Revenue]]-Table3[[#This Row],[Ad Spend]]</f>
        <v>361.5</v>
      </c>
      <c r="M1725" s="11">
        <v>123.61</v>
      </c>
    </row>
    <row r="1726" spans="1:13" ht="15.75" customHeight="1" x14ac:dyDescent="0.3">
      <c r="A1726" s="4" t="s">
        <v>120</v>
      </c>
      <c r="B1726">
        <f t="shared" si="26"/>
        <v>3</v>
      </c>
      <c r="C1726" s="2" t="s">
        <v>12</v>
      </c>
      <c r="D1726" s="2" t="s">
        <v>762</v>
      </c>
      <c r="E1726" s="7">
        <v>54.85</v>
      </c>
      <c r="F1726" s="2">
        <v>9</v>
      </c>
      <c r="G1726" s="7">
        <v>456.41</v>
      </c>
      <c r="H1726" s="2" t="s">
        <v>854</v>
      </c>
      <c r="I1726" s="2" t="s">
        <v>15</v>
      </c>
      <c r="J1726" s="2" t="s">
        <v>16</v>
      </c>
      <c r="K1726" s="2" t="s">
        <v>17</v>
      </c>
      <c r="L1726" s="7">
        <f>Table3[[#This Row],[Revenue]]-Table3[[#This Row],[Ad Spend]]</f>
        <v>401.56</v>
      </c>
      <c r="M1726" s="11">
        <v>154.38</v>
      </c>
    </row>
    <row r="1727" spans="1:13" ht="15.75" customHeight="1" x14ac:dyDescent="0.3">
      <c r="A1727" s="4" t="s">
        <v>194</v>
      </c>
      <c r="B1727">
        <f t="shared" si="26"/>
        <v>11</v>
      </c>
      <c r="C1727" s="2" t="s">
        <v>12</v>
      </c>
      <c r="D1727" s="2" t="s">
        <v>841</v>
      </c>
      <c r="E1727" s="7">
        <v>81.16</v>
      </c>
      <c r="F1727" s="2">
        <v>9</v>
      </c>
      <c r="G1727" s="7">
        <v>387.97</v>
      </c>
      <c r="H1727" s="2" t="s">
        <v>907</v>
      </c>
      <c r="I1727" s="2" t="s">
        <v>15</v>
      </c>
      <c r="J1727" s="2" t="s">
        <v>25</v>
      </c>
      <c r="K1727" s="2" t="s">
        <v>17</v>
      </c>
      <c r="L1727" s="7">
        <f>Table3[[#This Row],[Revenue]]-Table3[[#This Row],[Ad Spend]]</f>
        <v>306.81000000000006</v>
      </c>
      <c r="M1727" s="11">
        <v>132.91999999999999</v>
      </c>
    </row>
    <row r="1728" spans="1:13" ht="15.75" customHeight="1" x14ac:dyDescent="0.3">
      <c r="A1728" s="4" t="s">
        <v>68</v>
      </c>
      <c r="B1728">
        <f t="shared" si="26"/>
        <v>4</v>
      </c>
      <c r="C1728" s="2" t="s">
        <v>63</v>
      </c>
      <c r="D1728" s="2" t="s">
        <v>1181</v>
      </c>
      <c r="E1728" s="7">
        <v>44.63</v>
      </c>
      <c r="F1728" s="2">
        <v>4</v>
      </c>
      <c r="G1728" s="7">
        <v>415.39</v>
      </c>
      <c r="H1728" s="2" t="s">
        <v>395</v>
      </c>
      <c r="I1728" s="2" t="s">
        <v>35</v>
      </c>
      <c r="J1728" s="2" t="s">
        <v>16</v>
      </c>
      <c r="K1728" s="2" t="s">
        <v>17</v>
      </c>
      <c r="L1728" s="7">
        <f>Table3[[#This Row],[Revenue]]-Table3[[#This Row],[Ad Spend]]</f>
        <v>370.76</v>
      </c>
      <c r="M1728" s="11">
        <v>155.04</v>
      </c>
    </row>
    <row r="1729" spans="1:13" ht="15.75" customHeight="1" x14ac:dyDescent="0.3">
      <c r="A1729" s="4" t="s">
        <v>448</v>
      </c>
      <c r="B1729">
        <f t="shared" si="26"/>
        <v>12</v>
      </c>
      <c r="C1729" s="2" t="s">
        <v>32</v>
      </c>
      <c r="D1729" s="2" t="s">
        <v>976</v>
      </c>
      <c r="E1729" s="7">
        <v>118.42</v>
      </c>
      <c r="F1729" s="2">
        <v>1</v>
      </c>
      <c r="G1729" s="7">
        <v>48.84</v>
      </c>
      <c r="H1729" s="2" t="s">
        <v>1297</v>
      </c>
      <c r="I1729" s="2" t="s">
        <v>35</v>
      </c>
      <c r="J1729" s="2" t="s">
        <v>53</v>
      </c>
      <c r="K1729" s="2" t="s">
        <v>17</v>
      </c>
      <c r="L1729" s="7">
        <f>Table3[[#This Row],[Revenue]]-Table3[[#This Row],[Ad Spend]]</f>
        <v>-69.58</v>
      </c>
      <c r="M1729" s="11">
        <v>128.18</v>
      </c>
    </row>
    <row r="1730" spans="1:13" ht="15.75" customHeight="1" x14ac:dyDescent="0.3">
      <c r="A1730" s="4" t="s">
        <v>252</v>
      </c>
      <c r="B1730">
        <f t="shared" si="26"/>
        <v>11</v>
      </c>
      <c r="C1730" s="2" t="s">
        <v>12</v>
      </c>
      <c r="D1730" s="2" t="s">
        <v>983</v>
      </c>
      <c r="E1730" s="7">
        <v>56.87</v>
      </c>
      <c r="F1730" s="2">
        <v>1</v>
      </c>
      <c r="G1730" s="7">
        <v>490.67</v>
      </c>
      <c r="H1730" s="2" t="s">
        <v>822</v>
      </c>
      <c r="I1730" s="2" t="s">
        <v>15</v>
      </c>
      <c r="J1730" s="2" t="s">
        <v>36</v>
      </c>
      <c r="K1730" s="2" t="s">
        <v>17</v>
      </c>
      <c r="L1730" s="7">
        <f>Table3[[#This Row],[Revenue]]-Table3[[#This Row],[Ad Spend]]</f>
        <v>433.8</v>
      </c>
      <c r="M1730" s="11">
        <v>115.32</v>
      </c>
    </row>
    <row r="1731" spans="1:13" ht="15.75" customHeight="1" x14ac:dyDescent="0.3">
      <c r="A1731" s="4" t="s">
        <v>76</v>
      </c>
      <c r="B1731">
        <f t="shared" ref="B1731:B1794" si="27">MONTH(A1731)</f>
        <v>1</v>
      </c>
      <c r="C1731" s="2" t="s">
        <v>32</v>
      </c>
      <c r="D1731" s="2" t="s">
        <v>109</v>
      </c>
      <c r="E1731" s="7">
        <v>112.95</v>
      </c>
      <c r="F1731" s="2">
        <v>3</v>
      </c>
      <c r="G1731" s="7">
        <v>362.5</v>
      </c>
      <c r="H1731" s="2" t="s">
        <v>913</v>
      </c>
      <c r="I1731" s="2" t="s">
        <v>35</v>
      </c>
      <c r="J1731" s="2" t="s">
        <v>25</v>
      </c>
      <c r="K1731" s="2" t="s">
        <v>17</v>
      </c>
      <c r="L1731" s="7">
        <f>Table3[[#This Row],[Revenue]]-Table3[[#This Row],[Ad Spend]]</f>
        <v>249.55</v>
      </c>
      <c r="M1731" s="11">
        <v>129.85</v>
      </c>
    </row>
    <row r="1732" spans="1:13" ht="15.75" customHeight="1" x14ac:dyDescent="0.3">
      <c r="A1732" s="4" t="s">
        <v>335</v>
      </c>
      <c r="B1732">
        <f t="shared" si="27"/>
        <v>11</v>
      </c>
      <c r="C1732" s="2" t="s">
        <v>12</v>
      </c>
      <c r="D1732" s="2" t="s">
        <v>1438</v>
      </c>
      <c r="E1732" s="7">
        <v>88.39</v>
      </c>
      <c r="F1732" s="2">
        <v>4</v>
      </c>
      <c r="G1732" s="7">
        <v>49.79</v>
      </c>
      <c r="H1732" s="2" t="s">
        <v>987</v>
      </c>
      <c r="I1732" s="2" t="s">
        <v>35</v>
      </c>
      <c r="J1732" s="2" t="s">
        <v>25</v>
      </c>
      <c r="K1732" s="2" t="s">
        <v>17</v>
      </c>
      <c r="L1732" s="7">
        <f>Table3[[#This Row],[Revenue]]-Table3[[#This Row],[Ad Spend]]</f>
        <v>-38.6</v>
      </c>
      <c r="M1732" s="11">
        <v>165.35</v>
      </c>
    </row>
    <row r="1733" spans="1:13" ht="15.75" customHeight="1" x14ac:dyDescent="0.3">
      <c r="A1733" s="4" t="s">
        <v>191</v>
      </c>
      <c r="B1733">
        <f t="shared" si="27"/>
        <v>11</v>
      </c>
      <c r="C1733" s="2" t="s">
        <v>12</v>
      </c>
      <c r="D1733" s="2" t="s">
        <v>1076</v>
      </c>
      <c r="E1733" s="7">
        <v>71.819999999999993</v>
      </c>
      <c r="F1733" s="2">
        <v>3</v>
      </c>
      <c r="G1733" s="7">
        <v>460.06</v>
      </c>
      <c r="H1733" s="2" t="s">
        <v>279</v>
      </c>
      <c r="I1733" s="2" t="s">
        <v>15</v>
      </c>
      <c r="J1733" s="2" t="s">
        <v>16</v>
      </c>
      <c r="K1733" s="2" t="s">
        <v>17</v>
      </c>
      <c r="L1733" s="7">
        <f>Table3[[#This Row],[Revenue]]-Table3[[#This Row],[Ad Spend]]</f>
        <v>388.24</v>
      </c>
      <c r="M1733" s="11">
        <v>128.68</v>
      </c>
    </row>
    <row r="1734" spans="1:13" ht="15.75" customHeight="1" x14ac:dyDescent="0.3">
      <c r="A1734" s="4" t="s">
        <v>247</v>
      </c>
      <c r="B1734">
        <f t="shared" si="27"/>
        <v>3</v>
      </c>
      <c r="C1734" s="2" t="s">
        <v>63</v>
      </c>
      <c r="D1734" s="2" t="s">
        <v>1439</v>
      </c>
      <c r="E1734" s="7">
        <v>133.66</v>
      </c>
      <c r="F1734" s="2">
        <v>6</v>
      </c>
      <c r="G1734" s="7">
        <v>203.87</v>
      </c>
      <c r="H1734" s="2" t="s">
        <v>672</v>
      </c>
      <c r="I1734" s="2" t="s">
        <v>35</v>
      </c>
      <c r="J1734" s="2" t="s">
        <v>30</v>
      </c>
      <c r="K1734" s="2" t="s">
        <v>17</v>
      </c>
      <c r="L1734" s="7">
        <f>Table3[[#This Row],[Revenue]]-Table3[[#This Row],[Ad Spend]]</f>
        <v>70.210000000000008</v>
      </c>
      <c r="M1734" s="11">
        <v>109.39</v>
      </c>
    </row>
    <row r="1735" spans="1:13" ht="15.75" customHeight="1" x14ac:dyDescent="0.3">
      <c r="A1735" s="4" t="s">
        <v>472</v>
      </c>
      <c r="B1735">
        <f t="shared" si="27"/>
        <v>4</v>
      </c>
      <c r="C1735" s="2" t="s">
        <v>63</v>
      </c>
      <c r="D1735" s="2" t="s">
        <v>507</v>
      </c>
      <c r="E1735" s="7">
        <v>43.16</v>
      </c>
      <c r="F1735" s="2">
        <v>8</v>
      </c>
      <c r="G1735" s="7">
        <v>364.39</v>
      </c>
      <c r="H1735" s="2" t="s">
        <v>763</v>
      </c>
      <c r="I1735" s="2" t="s">
        <v>35</v>
      </c>
      <c r="J1735" s="2" t="s">
        <v>30</v>
      </c>
      <c r="K1735" s="2" t="s">
        <v>17</v>
      </c>
      <c r="L1735" s="7">
        <f>Table3[[#This Row],[Revenue]]-Table3[[#This Row],[Ad Spend]]</f>
        <v>321.23</v>
      </c>
      <c r="M1735" s="11">
        <v>150.04</v>
      </c>
    </row>
    <row r="1736" spans="1:13" ht="15.75" customHeight="1" x14ac:dyDescent="0.3">
      <c r="A1736" s="4" t="s">
        <v>164</v>
      </c>
      <c r="B1736">
        <f t="shared" si="27"/>
        <v>2</v>
      </c>
      <c r="C1736" s="2" t="s">
        <v>32</v>
      </c>
      <c r="D1736" s="2" t="s">
        <v>1131</v>
      </c>
      <c r="E1736" s="7">
        <v>67.81</v>
      </c>
      <c r="F1736" s="2">
        <v>6</v>
      </c>
      <c r="G1736" s="7">
        <v>376.75</v>
      </c>
      <c r="H1736" s="2" t="s">
        <v>829</v>
      </c>
      <c r="I1736" s="2" t="s">
        <v>35</v>
      </c>
      <c r="J1736" s="2" t="s">
        <v>53</v>
      </c>
      <c r="K1736" s="2" t="s">
        <v>17</v>
      </c>
      <c r="L1736" s="7">
        <f>Table3[[#This Row],[Revenue]]-Table3[[#This Row],[Ad Spend]]</f>
        <v>308.94</v>
      </c>
      <c r="M1736" s="11">
        <v>148.31</v>
      </c>
    </row>
    <row r="1737" spans="1:13" ht="15.75" customHeight="1" x14ac:dyDescent="0.3">
      <c r="A1737" s="4" t="s">
        <v>26</v>
      </c>
      <c r="B1737">
        <f t="shared" si="27"/>
        <v>12</v>
      </c>
      <c r="C1737" s="2" t="s">
        <v>63</v>
      </c>
      <c r="D1737" s="2" t="s">
        <v>426</v>
      </c>
      <c r="E1737" s="7">
        <v>86.9</v>
      </c>
      <c r="F1737" s="2">
        <v>8</v>
      </c>
      <c r="G1737" s="7">
        <v>308.49</v>
      </c>
      <c r="H1737" s="2" t="s">
        <v>1208</v>
      </c>
      <c r="I1737" s="2" t="s">
        <v>35</v>
      </c>
      <c r="J1737" s="2" t="s">
        <v>30</v>
      </c>
      <c r="K1737" s="2" t="s">
        <v>17</v>
      </c>
      <c r="L1737" s="7">
        <f>Table3[[#This Row],[Revenue]]-Table3[[#This Row],[Ad Spend]]</f>
        <v>221.59</v>
      </c>
      <c r="M1737" s="11">
        <v>112.23</v>
      </c>
    </row>
    <row r="1738" spans="1:13" ht="15.75" customHeight="1" x14ac:dyDescent="0.3">
      <c r="A1738" s="4" t="s">
        <v>324</v>
      </c>
      <c r="B1738">
        <f t="shared" si="27"/>
        <v>3</v>
      </c>
      <c r="C1738" s="2" t="s">
        <v>12</v>
      </c>
      <c r="D1738" s="2" t="s">
        <v>1440</v>
      </c>
      <c r="E1738" s="7">
        <v>136.4</v>
      </c>
      <c r="F1738" s="2">
        <v>10</v>
      </c>
      <c r="G1738" s="7">
        <v>420.32</v>
      </c>
      <c r="H1738" s="2" t="s">
        <v>910</v>
      </c>
      <c r="I1738" s="2" t="s">
        <v>15</v>
      </c>
      <c r="J1738" s="2" t="s">
        <v>87</v>
      </c>
      <c r="K1738" s="2" t="s">
        <v>17</v>
      </c>
      <c r="L1738" s="7">
        <f>Table3[[#This Row],[Revenue]]-Table3[[#This Row],[Ad Spend]]</f>
        <v>283.91999999999996</v>
      </c>
      <c r="M1738" s="11">
        <v>121.46</v>
      </c>
    </row>
    <row r="1739" spans="1:13" ht="15.75" customHeight="1" x14ac:dyDescent="0.3">
      <c r="A1739" s="4" t="s">
        <v>254</v>
      </c>
      <c r="B1739">
        <f t="shared" si="27"/>
        <v>11</v>
      </c>
      <c r="C1739" s="2" t="s">
        <v>32</v>
      </c>
      <c r="D1739" s="2" t="s">
        <v>758</v>
      </c>
      <c r="E1739" s="7">
        <v>28.96</v>
      </c>
      <c r="F1739" s="2">
        <v>4</v>
      </c>
      <c r="G1739" s="7">
        <v>203.83</v>
      </c>
      <c r="H1739" s="2" t="s">
        <v>707</v>
      </c>
      <c r="I1739" s="2" t="s">
        <v>35</v>
      </c>
      <c r="J1739" s="2" t="s">
        <v>30</v>
      </c>
      <c r="K1739" s="2" t="s">
        <v>17</v>
      </c>
      <c r="L1739" s="7">
        <f>Table3[[#This Row],[Revenue]]-Table3[[#This Row],[Ad Spend]]</f>
        <v>174.87</v>
      </c>
      <c r="M1739" s="11">
        <v>121.36</v>
      </c>
    </row>
    <row r="1740" spans="1:13" ht="15.75" customHeight="1" x14ac:dyDescent="0.3">
      <c r="A1740" s="4" t="s">
        <v>511</v>
      </c>
      <c r="B1740">
        <f t="shared" si="27"/>
        <v>12</v>
      </c>
      <c r="C1740" s="2" t="s">
        <v>63</v>
      </c>
      <c r="D1740" s="2" t="s">
        <v>1051</v>
      </c>
      <c r="E1740" s="7">
        <v>52.9</v>
      </c>
      <c r="F1740" s="2">
        <v>9</v>
      </c>
      <c r="G1740" s="7">
        <v>144.55000000000001</v>
      </c>
      <c r="H1740" s="2" t="s">
        <v>174</v>
      </c>
      <c r="I1740" s="2" t="s">
        <v>15</v>
      </c>
      <c r="J1740" s="2" t="s">
        <v>53</v>
      </c>
      <c r="K1740" s="2" t="s">
        <v>17</v>
      </c>
      <c r="L1740" s="7">
        <f>Table3[[#This Row],[Revenue]]-Table3[[#This Row],[Ad Spend]]</f>
        <v>91.65</v>
      </c>
      <c r="M1740" s="11">
        <v>99.64</v>
      </c>
    </row>
    <row r="1741" spans="1:13" ht="15.75" customHeight="1" x14ac:dyDescent="0.3">
      <c r="A1741" s="4" t="s">
        <v>277</v>
      </c>
      <c r="B1741">
        <f t="shared" si="27"/>
        <v>2</v>
      </c>
      <c r="C1741" s="2" t="s">
        <v>19</v>
      </c>
      <c r="D1741" s="2" t="s">
        <v>1441</v>
      </c>
      <c r="E1741" s="7">
        <v>37.65</v>
      </c>
      <c r="F1741" s="2">
        <v>10</v>
      </c>
      <c r="G1741" s="7">
        <v>124.27</v>
      </c>
      <c r="H1741" s="2" t="s">
        <v>1372</v>
      </c>
      <c r="I1741" s="2" t="s">
        <v>35</v>
      </c>
      <c r="J1741" s="2" t="s">
        <v>30</v>
      </c>
      <c r="K1741" s="2" t="s">
        <v>17</v>
      </c>
      <c r="L1741" s="7">
        <f>Table3[[#This Row],[Revenue]]-Table3[[#This Row],[Ad Spend]]</f>
        <v>86.62</v>
      </c>
      <c r="M1741" s="11">
        <v>112.39</v>
      </c>
    </row>
    <row r="1742" spans="1:13" ht="15.75" customHeight="1" x14ac:dyDescent="0.3">
      <c r="A1742" s="4" t="s">
        <v>258</v>
      </c>
      <c r="B1742">
        <f t="shared" si="27"/>
        <v>2</v>
      </c>
      <c r="C1742" s="2" t="s">
        <v>19</v>
      </c>
      <c r="D1742" s="2" t="s">
        <v>1315</v>
      </c>
      <c r="E1742" s="7">
        <v>22.49</v>
      </c>
      <c r="F1742" s="2">
        <v>1</v>
      </c>
      <c r="G1742" s="7">
        <v>213.05</v>
      </c>
      <c r="H1742" s="2" t="s">
        <v>49</v>
      </c>
      <c r="I1742" s="2" t="s">
        <v>35</v>
      </c>
      <c r="J1742" s="2" t="s">
        <v>25</v>
      </c>
      <c r="K1742" s="2" t="s">
        <v>17</v>
      </c>
      <c r="L1742" s="7">
        <f>Table3[[#This Row],[Revenue]]-Table3[[#This Row],[Ad Spend]]</f>
        <v>190.56</v>
      </c>
      <c r="M1742" s="11">
        <v>119.33</v>
      </c>
    </row>
    <row r="1743" spans="1:13" ht="15.75" customHeight="1" x14ac:dyDescent="0.3">
      <c r="A1743" s="4" t="s">
        <v>178</v>
      </c>
      <c r="B1743">
        <f t="shared" si="27"/>
        <v>12</v>
      </c>
      <c r="C1743" s="2" t="s">
        <v>19</v>
      </c>
      <c r="D1743" s="2" t="s">
        <v>689</v>
      </c>
      <c r="E1743" s="7">
        <v>79.400000000000006</v>
      </c>
      <c r="F1743" s="2">
        <v>0</v>
      </c>
      <c r="G1743" s="7">
        <v>296.91000000000003</v>
      </c>
      <c r="H1743" s="2" t="s">
        <v>1157</v>
      </c>
      <c r="I1743" s="2" t="s">
        <v>35</v>
      </c>
      <c r="J1743" s="2" t="s">
        <v>25</v>
      </c>
      <c r="K1743" s="2" t="s">
        <v>46</v>
      </c>
      <c r="L1743" s="7">
        <f>Table3[[#This Row],[Revenue]]-Table3[[#This Row],[Ad Spend]]</f>
        <v>217.51000000000002</v>
      </c>
      <c r="M1743" s="11">
        <v>143.6</v>
      </c>
    </row>
    <row r="1744" spans="1:13" ht="15.75" customHeight="1" x14ac:dyDescent="0.3">
      <c r="A1744" s="4" t="s">
        <v>269</v>
      </c>
      <c r="B1744">
        <f t="shared" si="27"/>
        <v>12</v>
      </c>
      <c r="C1744" s="2" t="s">
        <v>32</v>
      </c>
      <c r="D1744" s="2" t="s">
        <v>730</v>
      </c>
      <c r="E1744" s="7">
        <v>62.06</v>
      </c>
      <c r="F1744" s="2">
        <v>9</v>
      </c>
      <c r="G1744" s="7">
        <v>142.52000000000001</v>
      </c>
      <c r="H1744" s="2" t="s">
        <v>1442</v>
      </c>
      <c r="I1744" s="2" t="s">
        <v>15</v>
      </c>
      <c r="J1744" s="2" t="s">
        <v>30</v>
      </c>
      <c r="K1744" s="2" t="s">
        <v>17</v>
      </c>
      <c r="L1744" s="7">
        <f>Table3[[#This Row],[Revenue]]-Table3[[#This Row],[Ad Spend]]</f>
        <v>80.460000000000008</v>
      </c>
      <c r="M1744" s="11">
        <v>77.12</v>
      </c>
    </row>
    <row r="1745" spans="1:13" ht="15.75" customHeight="1" x14ac:dyDescent="0.3">
      <c r="A1745" s="4" t="s">
        <v>133</v>
      </c>
      <c r="B1745">
        <f t="shared" si="27"/>
        <v>3</v>
      </c>
      <c r="C1745" s="2" t="s">
        <v>19</v>
      </c>
      <c r="D1745" s="2" t="s">
        <v>38</v>
      </c>
      <c r="E1745" s="7">
        <v>13.77</v>
      </c>
      <c r="F1745" s="2">
        <v>6</v>
      </c>
      <c r="G1745" s="7">
        <v>410.84</v>
      </c>
      <c r="H1745" s="2" t="s">
        <v>567</v>
      </c>
      <c r="I1745" s="2" t="s">
        <v>29</v>
      </c>
      <c r="J1745" s="2" t="s">
        <v>36</v>
      </c>
      <c r="K1745" s="2" t="s">
        <v>17</v>
      </c>
      <c r="L1745" s="7">
        <f>Table3[[#This Row],[Revenue]]-Table3[[#This Row],[Ad Spend]]</f>
        <v>397.07</v>
      </c>
      <c r="M1745" s="11">
        <v>122.45</v>
      </c>
    </row>
    <row r="1746" spans="1:13" ht="15.75" customHeight="1" x14ac:dyDescent="0.3">
      <c r="A1746" s="4" t="s">
        <v>595</v>
      </c>
      <c r="B1746">
        <f t="shared" si="27"/>
        <v>3</v>
      </c>
      <c r="C1746" s="2" t="s">
        <v>63</v>
      </c>
      <c r="D1746" s="2" t="s">
        <v>492</v>
      </c>
      <c r="E1746" s="7">
        <v>90.76</v>
      </c>
      <c r="F1746" s="2">
        <v>0</v>
      </c>
      <c r="G1746" s="7">
        <v>260.01</v>
      </c>
      <c r="H1746" s="2" t="s">
        <v>1031</v>
      </c>
      <c r="I1746" s="2" t="s">
        <v>15</v>
      </c>
      <c r="J1746" s="2" t="s">
        <v>30</v>
      </c>
      <c r="K1746" s="2" t="s">
        <v>46</v>
      </c>
      <c r="L1746" s="7">
        <f>Table3[[#This Row],[Revenue]]-Table3[[#This Row],[Ad Spend]]</f>
        <v>169.25</v>
      </c>
      <c r="M1746" s="11">
        <v>85.56</v>
      </c>
    </row>
    <row r="1747" spans="1:13" ht="15.75" customHeight="1" x14ac:dyDescent="0.3">
      <c r="A1747" s="4" t="s">
        <v>532</v>
      </c>
      <c r="B1747">
        <f t="shared" si="27"/>
        <v>2</v>
      </c>
      <c r="C1747" s="2" t="s">
        <v>32</v>
      </c>
      <c r="D1747" s="2" t="s">
        <v>1079</v>
      </c>
      <c r="E1747" s="7">
        <v>5.25</v>
      </c>
      <c r="F1747" s="2">
        <v>9</v>
      </c>
      <c r="G1747" s="7">
        <v>131.59</v>
      </c>
      <c r="H1747" s="2" t="s">
        <v>138</v>
      </c>
      <c r="I1747" s="2" t="s">
        <v>29</v>
      </c>
      <c r="J1747" s="2" t="s">
        <v>87</v>
      </c>
      <c r="K1747" s="2" t="s">
        <v>17</v>
      </c>
      <c r="L1747" s="7">
        <f>Table3[[#This Row],[Revenue]]-Table3[[#This Row],[Ad Spend]]</f>
        <v>126.34</v>
      </c>
      <c r="M1747" s="11">
        <v>135.91</v>
      </c>
    </row>
    <row r="1748" spans="1:13" ht="15.75" customHeight="1" x14ac:dyDescent="0.3">
      <c r="A1748" s="4" t="s">
        <v>254</v>
      </c>
      <c r="B1748">
        <f t="shared" si="27"/>
        <v>11</v>
      </c>
      <c r="C1748" s="2" t="s">
        <v>63</v>
      </c>
      <c r="D1748" s="2" t="s">
        <v>786</v>
      </c>
      <c r="E1748" s="7">
        <v>144.83000000000001</v>
      </c>
      <c r="F1748" s="2">
        <v>6</v>
      </c>
      <c r="G1748" s="7">
        <v>419.01</v>
      </c>
      <c r="H1748" s="2" t="s">
        <v>939</v>
      </c>
      <c r="I1748" s="2" t="s">
        <v>15</v>
      </c>
      <c r="J1748" s="2" t="s">
        <v>36</v>
      </c>
      <c r="K1748" s="2" t="s">
        <v>17</v>
      </c>
      <c r="L1748" s="7">
        <f>Table3[[#This Row],[Revenue]]-Table3[[#This Row],[Ad Spend]]</f>
        <v>274.17999999999995</v>
      </c>
      <c r="M1748" s="11">
        <v>114.44</v>
      </c>
    </row>
    <row r="1749" spans="1:13" ht="15.75" customHeight="1" x14ac:dyDescent="0.3">
      <c r="A1749" s="4" t="s">
        <v>335</v>
      </c>
      <c r="B1749">
        <f t="shared" si="27"/>
        <v>11</v>
      </c>
      <c r="C1749" s="2" t="s">
        <v>12</v>
      </c>
      <c r="D1749" s="2" t="s">
        <v>1069</v>
      </c>
      <c r="E1749" s="7">
        <v>123.9</v>
      </c>
      <c r="F1749" s="2">
        <v>0</v>
      </c>
      <c r="G1749" s="7">
        <v>244.53</v>
      </c>
      <c r="H1749" s="2" t="s">
        <v>119</v>
      </c>
      <c r="I1749" s="2" t="s">
        <v>15</v>
      </c>
      <c r="J1749" s="2" t="s">
        <v>36</v>
      </c>
      <c r="K1749" s="2" t="s">
        <v>46</v>
      </c>
      <c r="L1749" s="7">
        <f>Table3[[#This Row],[Revenue]]-Table3[[#This Row],[Ad Spend]]</f>
        <v>120.63</v>
      </c>
      <c r="M1749" s="11">
        <v>109.93</v>
      </c>
    </row>
    <row r="1750" spans="1:13" ht="15.75" customHeight="1" x14ac:dyDescent="0.3">
      <c r="A1750" s="4" t="s">
        <v>342</v>
      </c>
      <c r="B1750">
        <f t="shared" si="27"/>
        <v>3</v>
      </c>
      <c r="C1750" s="2" t="s">
        <v>63</v>
      </c>
      <c r="D1750" s="2" t="s">
        <v>1332</v>
      </c>
      <c r="E1750" s="7">
        <v>145.05000000000001</v>
      </c>
      <c r="F1750" s="2">
        <v>3</v>
      </c>
      <c r="G1750" s="7">
        <v>276.14</v>
      </c>
      <c r="H1750" s="2" t="s">
        <v>489</v>
      </c>
      <c r="I1750" s="2" t="s">
        <v>29</v>
      </c>
      <c r="J1750" s="2" t="s">
        <v>30</v>
      </c>
      <c r="K1750" s="2" t="s">
        <v>17</v>
      </c>
      <c r="L1750" s="7">
        <f>Table3[[#This Row],[Revenue]]-Table3[[#This Row],[Ad Spend]]</f>
        <v>131.08999999999997</v>
      </c>
      <c r="M1750" s="11">
        <v>146.07</v>
      </c>
    </row>
    <row r="1751" spans="1:13" ht="15.75" customHeight="1" x14ac:dyDescent="0.3">
      <c r="A1751" s="4" t="s">
        <v>230</v>
      </c>
      <c r="B1751">
        <f t="shared" si="27"/>
        <v>1</v>
      </c>
      <c r="C1751" s="2" t="s">
        <v>19</v>
      </c>
      <c r="D1751" s="2" t="s">
        <v>1298</v>
      </c>
      <c r="E1751" s="7">
        <v>38.67</v>
      </c>
      <c r="F1751" s="2">
        <v>7</v>
      </c>
      <c r="G1751" s="7">
        <v>279.35000000000002</v>
      </c>
      <c r="H1751" s="2" t="s">
        <v>751</v>
      </c>
      <c r="I1751" s="2" t="s">
        <v>15</v>
      </c>
      <c r="J1751" s="2" t="s">
        <v>30</v>
      </c>
      <c r="K1751" s="2" t="s">
        <v>17</v>
      </c>
      <c r="L1751" s="7">
        <f>Table3[[#This Row],[Revenue]]-Table3[[#This Row],[Ad Spend]]</f>
        <v>240.68</v>
      </c>
      <c r="M1751" s="11">
        <v>115.82</v>
      </c>
    </row>
    <row r="1752" spans="1:13" ht="15.75" customHeight="1" x14ac:dyDescent="0.3">
      <c r="A1752" s="4" t="s">
        <v>1061</v>
      </c>
      <c r="B1752">
        <f t="shared" si="27"/>
        <v>4</v>
      </c>
      <c r="C1752" s="2" t="s">
        <v>12</v>
      </c>
      <c r="D1752" s="2" t="s">
        <v>837</v>
      </c>
      <c r="E1752" s="7">
        <v>37.479999999999997</v>
      </c>
      <c r="F1752" s="2">
        <v>5</v>
      </c>
      <c r="G1752" s="7">
        <v>493.55</v>
      </c>
      <c r="H1752" s="2" t="s">
        <v>1443</v>
      </c>
      <c r="I1752" s="2" t="s">
        <v>35</v>
      </c>
      <c r="J1752" s="2" t="s">
        <v>53</v>
      </c>
      <c r="K1752" s="2" t="s">
        <v>17</v>
      </c>
      <c r="L1752" s="7">
        <f>Table3[[#This Row],[Revenue]]-Table3[[#This Row],[Ad Spend]]</f>
        <v>456.07</v>
      </c>
      <c r="M1752" s="11">
        <v>210.11</v>
      </c>
    </row>
    <row r="1753" spans="1:13" ht="15.75" customHeight="1" x14ac:dyDescent="0.3">
      <c r="A1753" s="4" t="s">
        <v>755</v>
      </c>
      <c r="B1753">
        <f t="shared" si="27"/>
        <v>2</v>
      </c>
      <c r="C1753" s="2" t="s">
        <v>19</v>
      </c>
      <c r="D1753" s="2" t="s">
        <v>296</v>
      </c>
      <c r="E1753" s="7">
        <v>76.38</v>
      </c>
      <c r="F1753" s="2">
        <v>3</v>
      </c>
      <c r="G1753" s="7">
        <v>337.99</v>
      </c>
      <c r="H1753" s="2" t="s">
        <v>374</v>
      </c>
      <c r="I1753" s="2" t="s">
        <v>15</v>
      </c>
      <c r="J1753" s="2" t="s">
        <v>25</v>
      </c>
      <c r="K1753" s="2" t="s">
        <v>17</v>
      </c>
      <c r="L1753" s="7">
        <f>Table3[[#This Row],[Revenue]]-Table3[[#This Row],[Ad Spend]]</f>
        <v>261.61</v>
      </c>
      <c r="M1753" s="11">
        <v>119.37</v>
      </c>
    </row>
    <row r="1754" spans="1:13" ht="15.75" customHeight="1" x14ac:dyDescent="0.3">
      <c r="A1754" s="4" t="s">
        <v>755</v>
      </c>
      <c r="B1754">
        <f t="shared" si="27"/>
        <v>2</v>
      </c>
      <c r="C1754" s="2" t="s">
        <v>63</v>
      </c>
      <c r="D1754" s="2" t="s">
        <v>1444</v>
      </c>
      <c r="E1754" s="7">
        <v>49.77</v>
      </c>
      <c r="F1754" s="2">
        <v>1</v>
      </c>
      <c r="G1754" s="7">
        <v>66.84</v>
      </c>
      <c r="H1754" s="2" t="s">
        <v>174</v>
      </c>
      <c r="I1754" s="2" t="s">
        <v>15</v>
      </c>
      <c r="J1754" s="2" t="s">
        <v>87</v>
      </c>
      <c r="K1754" s="2" t="s">
        <v>17</v>
      </c>
      <c r="L1754" s="7">
        <f>Table3[[#This Row],[Revenue]]-Table3[[#This Row],[Ad Spend]]</f>
        <v>17.07</v>
      </c>
      <c r="M1754" s="11">
        <v>98.5</v>
      </c>
    </row>
    <row r="1755" spans="1:13" ht="15.75" customHeight="1" x14ac:dyDescent="0.3">
      <c r="A1755" s="4" t="s">
        <v>254</v>
      </c>
      <c r="B1755">
        <f t="shared" si="27"/>
        <v>11</v>
      </c>
      <c r="C1755" s="2" t="s">
        <v>63</v>
      </c>
      <c r="D1755" s="2" t="s">
        <v>537</v>
      </c>
      <c r="E1755" s="7">
        <v>117.3</v>
      </c>
      <c r="F1755" s="2">
        <v>0</v>
      </c>
      <c r="G1755" s="7">
        <v>458.36</v>
      </c>
      <c r="H1755" s="2" t="s">
        <v>1090</v>
      </c>
      <c r="I1755" s="2" t="s">
        <v>15</v>
      </c>
      <c r="J1755" s="2" t="s">
        <v>25</v>
      </c>
      <c r="K1755" s="2" t="s">
        <v>46</v>
      </c>
      <c r="L1755" s="7">
        <f>Table3[[#This Row],[Revenue]]-Table3[[#This Row],[Ad Spend]]</f>
        <v>341.06</v>
      </c>
      <c r="M1755" s="11">
        <v>171.72</v>
      </c>
    </row>
    <row r="1756" spans="1:13" ht="15.75" customHeight="1" x14ac:dyDescent="0.3">
      <c r="A1756" s="4" t="s">
        <v>133</v>
      </c>
      <c r="B1756">
        <f t="shared" si="27"/>
        <v>3</v>
      </c>
      <c r="C1756" s="2" t="s">
        <v>32</v>
      </c>
      <c r="D1756" s="2" t="s">
        <v>629</v>
      </c>
      <c r="E1756" s="7">
        <v>57.28</v>
      </c>
      <c r="F1756" s="2">
        <v>5</v>
      </c>
      <c r="G1756" s="7">
        <v>307.25</v>
      </c>
      <c r="H1756" s="2" t="s">
        <v>289</v>
      </c>
      <c r="I1756" s="2" t="s">
        <v>35</v>
      </c>
      <c r="J1756" s="2" t="s">
        <v>87</v>
      </c>
      <c r="K1756" s="2" t="s">
        <v>17</v>
      </c>
      <c r="L1756" s="7">
        <f>Table3[[#This Row],[Revenue]]-Table3[[#This Row],[Ad Spend]]</f>
        <v>249.97</v>
      </c>
      <c r="M1756" s="11">
        <v>163.1</v>
      </c>
    </row>
    <row r="1757" spans="1:13" ht="15.75" customHeight="1" x14ac:dyDescent="0.3">
      <c r="A1757" s="4" t="s">
        <v>164</v>
      </c>
      <c r="B1757">
        <f t="shared" si="27"/>
        <v>2</v>
      </c>
      <c r="C1757" s="2" t="s">
        <v>12</v>
      </c>
      <c r="D1757" s="2" t="s">
        <v>476</v>
      </c>
      <c r="E1757" s="7">
        <v>112.41</v>
      </c>
      <c r="F1757" s="2">
        <v>3</v>
      </c>
      <c r="G1757" s="7">
        <v>234.97</v>
      </c>
      <c r="H1757" s="2" t="s">
        <v>1445</v>
      </c>
      <c r="I1757" s="2" t="s">
        <v>29</v>
      </c>
      <c r="J1757" s="2" t="s">
        <v>30</v>
      </c>
      <c r="K1757" s="2" t="s">
        <v>17</v>
      </c>
      <c r="L1757" s="7">
        <f>Table3[[#This Row],[Revenue]]-Table3[[#This Row],[Ad Spend]]</f>
        <v>122.56</v>
      </c>
      <c r="M1757" s="11">
        <v>112.63</v>
      </c>
    </row>
    <row r="1758" spans="1:13" ht="15.75" customHeight="1" x14ac:dyDescent="0.3">
      <c r="A1758" s="4" t="s">
        <v>31</v>
      </c>
      <c r="B1758">
        <f t="shared" si="27"/>
        <v>1</v>
      </c>
      <c r="C1758" s="2" t="s">
        <v>63</v>
      </c>
      <c r="D1758" s="2" t="s">
        <v>176</v>
      </c>
      <c r="E1758" s="7">
        <v>64.23</v>
      </c>
      <c r="F1758" s="2">
        <v>9</v>
      </c>
      <c r="G1758" s="7">
        <v>46.66</v>
      </c>
      <c r="H1758" s="2" t="s">
        <v>995</v>
      </c>
      <c r="I1758" s="2" t="s">
        <v>35</v>
      </c>
      <c r="J1758" s="2" t="s">
        <v>87</v>
      </c>
      <c r="K1758" s="2" t="s">
        <v>17</v>
      </c>
      <c r="L1758" s="7">
        <f>Table3[[#This Row],[Revenue]]-Table3[[#This Row],[Ad Spend]]</f>
        <v>-17.570000000000007</v>
      </c>
      <c r="M1758" s="11">
        <v>79.67</v>
      </c>
    </row>
    <row r="1759" spans="1:13" ht="15.75" customHeight="1" x14ac:dyDescent="0.3">
      <c r="A1759" s="4" t="s">
        <v>184</v>
      </c>
      <c r="B1759">
        <f t="shared" si="27"/>
        <v>3</v>
      </c>
      <c r="C1759" s="2" t="s">
        <v>63</v>
      </c>
      <c r="D1759" s="2" t="s">
        <v>1268</v>
      </c>
      <c r="E1759" s="7">
        <v>81.239999999999995</v>
      </c>
      <c r="F1759" s="2">
        <v>4</v>
      </c>
      <c r="G1759" s="7">
        <v>131.02000000000001</v>
      </c>
      <c r="H1759" s="2" t="s">
        <v>1160</v>
      </c>
      <c r="I1759" s="2" t="s">
        <v>29</v>
      </c>
      <c r="J1759" s="2" t="s">
        <v>53</v>
      </c>
      <c r="K1759" s="2" t="s">
        <v>17</v>
      </c>
      <c r="L1759" s="7">
        <f>Table3[[#This Row],[Revenue]]-Table3[[#This Row],[Ad Spend]]</f>
        <v>49.780000000000015</v>
      </c>
      <c r="M1759" s="11">
        <v>118.71</v>
      </c>
    </row>
    <row r="1760" spans="1:13" ht="15.75" customHeight="1" x14ac:dyDescent="0.3">
      <c r="A1760" s="4" t="s">
        <v>342</v>
      </c>
      <c r="B1760">
        <f t="shared" si="27"/>
        <v>3</v>
      </c>
      <c r="C1760" s="2" t="s">
        <v>32</v>
      </c>
      <c r="D1760" s="2" t="s">
        <v>668</v>
      </c>
      <c r="E1760" s="7">
        <v>97.7</v>
      </c>
      <c r="F1760" s="2">
        <v>6</v>
      </c>
      <c r="G1760" s="7">
        <v>413.17</v>
      </c>
      <c r="H1760" s="2" t="s">
        <v>1446</v>
      </c>
      <c r="I1760" s="2" t="s">
        <v>35</v>
      </c>
      <c r="J1760" s="2" t="s">
        <v>87</v>
      </c>
      <c r="K1760" s="2" t="s">
        <v>17</v>
      </c>
      <c r="L1760" s="7">
        <f>Table3[[#This Row],[Revenue]]-Table3[[#This Row],[Ad Spend]]</f>
        <v>315.47000000000003</v>
      </c>
      <c r="M1760" s="11">
        <v>183.4</v>
      </c>
    </row>
    <row r="1761" spans="1:13" ht="15.75" customHeight="1" x14ac:dyDescent="0.3">
      <c r="A1761" s="4" t="s">
        <v>918</v>
      </c>
      <c r="B1761">
        <f t="shared" si="27"/>
        <v>2</v>
      </c>
      <c r="C1761" s="2" t="s">
        <v>32</v>
      </c>
      <c r="D1761" s="2" t="s">
        <v>354</v>
      </c>
      <c r="E1761" s="7">
        <v>137.88</v>
      </c>
      <c r="F1761" s="2">
        <v>5</v>
      </c>
      <c r="G1761" s="7">
        <v>487.88</v>
      </c>
      <c r="H1761" s="2" t="s">
        <v>763</v>
      </c>
      <c r="I1761" s="2" t="s">
        <v>29</v>
      </c>
      <c r="J1761" s="2" t="s">
        <v>30</v>
      </c>
      <c r="K1761" s="2" t="s">
        <v>17</v>
      </c>
      <c r="L1761" s="7">
        <f>Table3[[#This Row],[Revenue]]-Table3[[#This Row],[Ad Spend]]</f>
        <v>350</v>
      </c>
      <c r="M1761" s="11">
        <v>150.02000000000001</v>
      </c>
    </row>
    <row r="1762" spans="1:13" ht="15.75" customHeight="1" x14ac:dyDescent="0.3">
      <c r="A1762" s="4" t="s">
        <v>250</v>
      </c>
      <c r="B1762">
        <f t="shared" si="27"/>
        <v>12</v>
      </c>
      <c r="C1762" s="2" t="s">
        <v>63</v>
      </c>
      <c r="D1762" s="2" t="s">
        <v>460</v>
      </c>
      <c r="E1762" s="7">
        <v>97.06</v>
      </c>
      <c r="F1762" s="2">
        <v>3</v>
      </c>
      <c r="G1762" s="7">
        <v>262.08999999999997</v>
      </c>
      <c r="H1762" s="2" t="s">
        <v>198</v>
      </c>
      <c r="I1762" s="2" t="s">
        <v>15</v>
      </c>
      <c r="J1762" s="2" t="s">
        <v>25</v>
      </c>
      <c r="K1762" s="2" t="s">
        <v>17</v>
      </c>
      <c r="L1762" s="7">
        <f>Table3[[#This Row],[Revenue]]-Table3[[#This Row],[Ad Spend]]</f>
        <v>165.02999999999997</v>
      </c>
      <c r="M1762" s="11">
        <v>111.44</v>
      </c>
    </row>
    <row r="1763" spans="1:13" ht="15.75" customHeight="1" x14ac:dyDescent="0.3">
      <c r="A1763" s="4" t="s">
        <v>50</v>
      </c>
      <c r="B1763">
        <f t="shared" si="27"/>
        <v>12</v>
      </c>
      <c r="C1763" s="2" t="s">
        <v>19</v>
      </c>
      <c r="D1763" s="2" t="s">
        <v>1011</v>
      </c>
      <c r="E1763" s="7">
        <v>79.37</v>
      </c>
      <c r="F1763" s="2">
        <v>1</v>
      </c>
      <c r="G1763" s="7">
        <v>264.23</v>
      </c>
      <c r="H1763" s="2" t="s">
        <v>24</v>
      </c>
      <c r="I1763" s="2" t="s">
        <v>29</v>
      </c>
      <c r="J1763" s="2" t="s">
        <v>53</v>
      </c>
      <c r="K1763" s="2" t="s">
        <v>17</v>
      </c>
      <c r="L1763" s="7">
        <f>Table3[[#This Row],[Revenue]]-Table3[[#This Row],[Ad Spend]]</f>
        <v>184.86</v>
      </c>
      <c r="M1763" s="11">
        <v>136.72999999999999</v>
      </c>
    </row>
    <row r="1764" spans="1:13" ht="15.75" customHeight="1" x14ac:dyDescent="0.3">
      <c r="A1764" s="4" t="s">
        <v>205</v>
      </c>
      <c r="B1764">
        <f t="shared" si="27"/>
        <v>2</v>
      </c>
      <c r="C1764" s="2" t="s">
        <v>63</v>
      </c>
      <c r="D1764" s="2" t="s">
        <v>1447</v>
      </c>
      <c r="E1764" s="7">
        <v>86.47</v>
      </c>
      <c r="F1764" s="2">
        <v>10</v>
      </c>
      <c r="G1764" s="7">
        <v>105.57</v>
      </c>
      <c r="H1764" s="2" t="s">
        <v>1448</v>
      </c>
      <c r="I1764" s="2" t="s">
        <v>35</v>
      </c>
      <c r="J1764" s="2" t="s">
        <v>36</v>
      </c>
      <c r="K1764" s="2" t="s">
        <v>17</v>
      </c>
      <c r="L1764" s="7">
        <f>Table3[[#This Row],[Revenue]]-Table3[[#This Row],[Ad Spend]]</f>
        <v>19.099999999999994</v>
      </c>
      <c r="M1764" s="11">
        <v>70.19</v>
      </c>
    </row>
    <row r="1765" spans="1:13" ht="15.75" customHeight="1" x14ac:dyDescent="0.3">
      <c r="A1765" s="4" t="s">
        <v>659</v>
      </c>
      <c r="B1765">
        <f t="shared" si="27"/>
        <v>4</v>
      </c>
      <c r="C1765" s="2" t="s">
        <v>19</v>
      </c>
      <c r="D1765" s="2" t="s">
        <v>636</v>
      </c>
      <c r="E1765" s="7">
        <v>140.31</v>
      </c>
      <c r="F1765" s="2">
        <v>0</v>
      </c>
      <c r="G1765" s="7">
        <v>461.51</v>
      </c>
      <c r="H1765" s="2" t="s">
        <v>829</v>
      </c>
      <c r="I1765" s="2" t="s">
        <v>15</v>
      </c>
      <c r="J1765" s="2" t="s">
        <v>53</v>
      </c>
      <c r="K1765" s="2" t="s">
        <v>46</v>
      </c>
      <c r="L1765" s="7">
        <f>Table3[[#This Row],[Revenue]]-Table3[[#This Row],[Ad Spend]]</f>
        <v>321.2</v>
      </c>
      <c r="M1765" s="11">
        <v>151.22</v>
      </c>
    </row>
    <row r="1766" spans="1:13" ht="15.75" customHeight="1" x14ac:dyDescent="0.3">
      <c r="A1766" s="4" t="s">
        <v>812</v>
      </c>
      <c r="B1766">
        <f t="shared" si="27"/>
        <v>12</v>
      </c>
      <c r="C1766" s="2" t="s">
        <v>19</v>
      </c>
      <c r="D1766" s="2" t="s">
        <v>1449</v>
      </c>
      <c r="E1766" s="7">
        <v>129.77000000000001</v>
      </c>
      <c r="F1766" s="2">
        <v>6</v>
      </c>
      <c r="G1766" s="7">
        <v>205.63</v>
      </c>
      <c r="H1766" s="2" t="s">
        <v>28</v>
      </c>
      <c r="I1766" s="2" t="s">
        <v>29</v>
      </c>
      <c r="J1766" s="2" t="s">
        <v>87</v>
      </c>
      <c r="K1766" s="2" t="s">
        <v>17</v>
      </c>
      <c r="L1766" s="7">
        <f>Table3[[#This Row],[Revenue]]-Table3[[#This Row],[Ad Spend]]</f>
        <v>75.859999999999985</v>
      </c>
      <c r="M1766" s="11">
        <v>139.47999999999999</v>
      </c>
    </row>
    <row r="1767" spans="1:13" ht="15.75" customHeight="1" x14ac:dyDescent="0.3">
      <c r="A1767" s="4" t="s">
        <v>94</v>
      </c>
      <c r="B1767">
        <f t="shared" si="27"/>
        <v>1</v>
      </c>
      <c r="C1767" s="2" t="s">
        <v>32</v>
      </c>
      <c r="D1767" s="2" t="s">
        <v>630</v>
      </c>
      <c r="E1767" s="7">
        <v>63.97</v>
      </c>
      <c r="F1767" s="2">
        <v>8</v>
      </c>
      <c r="G1767" s="7">
        <v>491.91</v>
      </c>
      <c r="H1767" s="2" t="s">
        <v>1286</v>
      </c>
      <c r="I1767" s="2" t="s">
        <v>29</v>
      </c>
      <c r="J1767" s="2" t="s">
        <v>36</v>
      </c>
      <c r="K1767" s="2" t="s">
        <v>17</v>
      </c>
      <c r="L1767" s="7">
        <f>Table3[[#This Row],[Revenue]]-Table3[[#This Row],[Ad Spend]]</f>
        <v>427.94000000000005</v>
      </c>
      <c r="M1767" s="11">
        <v>200.02</v>
      </c>
    </row>
    <row r="1768" spans="1:13" ht="15.75" customHeight="1" x14ac:dyDescent="0.3">
      <c r="A1768" s="4" t="s">
        <v>723</v>
      </c>
      <c r="B1768">
        <f t="shared" si="27"/>
        <v>12</v>
      </c>
      <c r="C1768" s="2" t="s">
        <v>12</v>
      </c>
      <c r="D1768" s="2" t="s">
        <v>323</v>
      </c>
      <c r="E1768" s="7">
        <v>67.84</v>
      </c>
      <c r="F1768" s="2">
        <v>7</v>
      </c>
      <c r="G1768" s="7">
        <v>142.6</v>
      </c>
      <c r="H1768" s="2" t="s">
        <v>158</v>
      </c>
      <c r="I1768" s="2" t="s">
        <v>35</v>
      </c>
      <c r="J1768" s="2" t="s">
        <v>87</v>
      </c>
      <c r="K1768" s="2" t="s">
        <v>17</v>
      </c>
      <c r="L1768" s="7">
        <f>Table3[[#This Row],[Revenue]]-Table3[[#This Row],[Ad Spend]]</f>
        <v>74.759999999999991</v>
      </c>
      <c r="M1768" s="11">
        <v>119.76</v>
      </c>
    </row>
    <row r="1769" spans="1:13" ht="15.75" customHeight="1" x14ac:dyDescent="0.3">
      <c r="A1769" s="4" t="s">
        <v>312</v>
      </c>
      <c r="B1769">
        <f t="shared" si="27"/>
        <v>3</v>
      </c>
      <c r="C1769" s="2" t="s">
        <v>32</v>
      </c>
      <c r="D1769" s="2" t="s">
        <v>1299</v>
      </c>
      <c r="E1769" s="7">
        <v>54.75</v>
      </c>
      <c r="F1769" s="2">
        <v>0</v>
      </c>
      <c r="G1769" s="7">
        <v>72</v>
      </c>
      <c r="H1769" s="2" t="s">
        <v>1274</v>
      </c>
      <c r="I1769" s="2" t="s">
        <v>29</v>
      </c>
      <c r="J1769" s="2" t="s">
        <v>30</v>
      </c>
      <c r="K1769" s="2" t="s">
        <v>46</v>
      </c>
      <c r="L1769" s="7">
        <f>Table3[[#This Row],[Revenue]]-Table3[[#This Row],[Ad Spend]]</f>
        <v>17.25</v>
      </c>
      <c r="M1769" s="11">
        <v>86.71</v>
      </c>
    </row>
    <row r="1770" spans="1:13" ht="15.75" customHeight="1" x14ac:dyDescent="0.3">
      <c r="A1770" s="4" t="s">
        <v>164</v>
      </c>
      <c r="B1770">
        <f t="shared" si="27"/>
        <v>2</v>
      </c>
      <c r="C1770" s="2" t="s">
        <v>19</v>
      </c>
      <c r="D1770" s="2" t="s">
        <v>1450</v>
      </c>
      <c r="E1770" s="7">
        <v>140.49</v>
      </c>
      <c r="F1770" s="2">
        <v>3</v>
      </c>
      <c r="G1770" s="7">
        <v>237.7</v>
      </c>
      <c r="H1770" s="2" t="s">
        <v>422</v>
      </c>
      <c r="I1770" s="2" t="s">
        <v>35</v>
      </c>
      <c r="J1770" s="2" t="s">
        <v>30</v>
      </c>
      <c r="K1770" s="2" t="s">
        <v>17</v>
      </c>
      <c r="L1770" s="7">
        <f>Table3[[#This Row],[Revenue]]-Table3[[#This Row],[Ad Spend]]</f>
        <v>97.20999999999998</v>
      </c>
      <c r="M1770" s="11">
        <v>137.57</v>
      </c>
    </row>
    <row r="1771" spans="1:13" ht="15.75" customHeight="1" x14ac:dyDescent="0.3">
      <c r="A1771" s="4" t="s">
        <v>254</v>
      </c>
      <c r="B1771">
        <f t="shared" si="27"/>
        <v>11</v>
      </c>
      <c r="C1771" s="2" t="s">
        <v>19</v>
      </c>
      <c r="D1771" s="2" t="s">
        <v>835</v>
      </c>
      <c r="E1771" s="7">
        <v>72.989999999999995</v>
      </c>
      <c r="F1771" s="2">
        <v>7</v>
      </c>
      <c r="G1771" s="7">
        <v>351.24</v>
      </c>
      <c r="H1771" s="2" t="s">
        <v>744</v>
      </c>
      <c r="I1771" s="2" t="s">
        <v>15</v>
      </c>
      <c r="J1771" s="2" t="s">
        <v>30</v>
      </c>
      <c r="K1771" s="2" t="s">
        <v>17</v>
      </c>
      <c r="L1771" s="7">
        <f>Table3[[#This Row],[Revenue]]-Table3[[#This Row],[Ad Spend]]</f>
        <v>278.25</v>
      </c>
      <c r="M1771" s="11">
        <v>120.6</v>
      </c>
    </row>
    <row r="1772" spans="1:13" ht="15.75" customHeight="1" x14ac:dyDescent="0.3">
      <c r="A1772" s="4" t="s">
        <v>360</v>
      </c>
      <c r="B1772">
        <f t="shared" si="27"/>
        <v>1</v>
      </c>
      <c r="C1772" s="2" t="s">
        <v>32</v>
      </c>
      <c r="D1772" s="2" t="s">
        <v>346</v>
      </c>
      <c r="E1772" s="7">
        <v>37.44</v>
      </c>
      <c r="F1772" s="2">
        <v>5</v>
      </c>
      <c r="G1772" s="7">
        <v>490.56</v>
      </c>
      <c r="H1772" s="2" t="s">
        <v>1451</v>
      </c>
      <c r="I1772" s="2" t="s">
        <v>15</v>
      </c>
      <c r="J1772" s="2" t="s">
        <v>30</v>
      </c>
      <c r="K1772" s="2" t="s">
        <v>17</v>
      </c>
      <c r="L1772" s="7">
        <f>Table3[[#This Row],[Revenue]]-Table3[[#This Row],[Ad Spend]]</f>
        <v>453.12</v>
      </c>
      <c r="M1772" s="11">
        <v>217.38</v>
      </c>
    </row>
    <row r="1773" spans="1:13" ht="15.75" customHeight="1" x14ac:dyDescent="0.3">
      <c r="A1773" s="4" t="s">
        <v>792</v>
      </c>
      <c r="B1773">
        <f t="shared" si="27"/>
        <v>2</v>
      </c>
      <c r="C1773" s="2" t="s">
        <v>63</v>
      </c>
      <c r="D1773" s="2" t="s">
        <v>1452</v>
      </c>
      <c r="E1773" s="7">
        <v>13.52</v>
      </c>
      <c r="F1773" s="2">
        <v>10</v>
      </c>
      <c r="G1773" s="7">
        <v>409.2</v>
      </c>
      <c r="H1773" s="2" t="s">
        <v>78</v>
      </c>
      <c r="I1773" s="2" t="s">
        <v>29</v>
      </c>
      <c r="J1773" s="2" t="s">
        <v>30</v>
      </c>
      <c r="K1773" s="2" t="s">
        <v>17</v>
      </c>
      <c r="L1773" s="7">
        <f>Table3[[#This Row],[Revenue]]-Table3[[#This Row],[Ad Spend]]</f>
        <v>395.68</v>
      </c>
      <c r="M1773" s="11">
        <v>152.58000000000001</v>
      </c>
    </row>
    <row r="1774" spans="1:13" ht="15.75" customHeight="1" x14ac:dyDescent="0.3">
      <c r="A1774" s="4" t="s">
        <v>843</v>
      </c>
      <c r="B1774">
        <f t="shared" si="27"/>
        <v>4</v>
      </c>
      <c r="C1774" s="2" t="s">
        <v>19</v>
      </c>
      <c r="D1774" s="2" t="s">
        <v>835</v>
      </c>
      <c r="E1774" s="7">
        <v>7.07</v>
      </c>
      <c r="F1774" s="2">
        <v>1</v>
      </c>
      <c r="G1774" s="7">
        <v>254.99</v>
      </c>
      <c r="H1774" s="2" t="s">
        <v>949</v>
      </c>
      <c r="I1774" s="2" t="s">
        <v>29</v>
      </c>
      <c r="J1774" s="2" t="s">
        <v>30</v>
      </c>
      <c r="K1774" s="2" t="s">
        <v>17</v>
      </c>
      <c r="L1774" s="7">
        <f>Table3[[#This Row],[Revenue]]-Table3[[#This Row],[Ad Spend]]</f>
        <v>247.92000000000002</v>
      </c>
      <c r="M1774" s="11">
        <v>137.18</v>
      </c>
    </row>
    <row r="1775" spans="1:13" ht="15.75" customHeight="1" x14ac:dyDescent="0.3">
      <c r="A1775" s="4" t="s">
        <v>220</v>
      </c>
      <c r="B1775">
        <f t="shared" si="27"/>
        <v>12</v>
      </c>
      <c r="C1775" s="2" t="s">
        <v>63</v>
      </c>
      <c r="D1775" s="2" t="s">
        <v>882</v>
      </c>
      <c r="E1775" s="7">
        <v>133.81</v>
      </c>
      <c r="F1775" s="2">
        <v>4</v>
      </c>
      <c r="G1775" s="7">
        <v>187.69</v>
      </c>
      <c r="H1775" s="2" t="s">
        <v>147</v>
      </c>
      <c r="I1775" s="2" t="s">
        <v>15</v>
      </c>
      <c r="J1775" s="2" t="s">
        <v>25</v>
      </c>
      <c r="K1775" s="2" t="s">
        <v>17</v>
      </c>
      <c r="L1775" s="7">
        <f>Table3[[#This Row],[Revenue]]-Table3[[#This Row],[Ad Spend]]</f>
        <v>53.879999999999995</v>
      </c>
      <c r="M1775" s="11">
        <v>143.38999999999999</v>
      </c>
    </row>
    <row r="1776" spans="1:13" ht="15.75" customHeight="1" x14ac:dyDescent="0.3">
      <c r="A1776" s="4" t="s">
        <v>184</v>
      </c>
      <c r="B1776">
        <f t="shared" si="27"/>
        <v>3</v>
      </c>
      <c r="C1776" s="2" t="s">
        <v>12</v>
      </c>
      <c r="D1776" s="2" t="s">
        <v>124</v>
      </c>
      <c r="E1776" s="7">
        <v>115.97</v>
      </c>
      <c r="F1776" s="2">
        <v>2</v>
      </c>
      <c r="G1776" s="7">
        <v>29.09</v>
      </c>
      <c r="H1776" s="2" t="s">
        <v>1453</v>
      </c>
      <c r="I1776" s="2" t="s">
        <v>35</v>
      </c>
      <c r="J1776" s="2" t="s">
        <v>30</v>
      </c>
      <c r="K1776" s="2" t="s">
        <v>17</v>
      </c>
      <c r="L1776" s="7">
        <f>Table3[[#This Row],[Revenue]]-Table3[[#This Row],[Ad Spend]]</f>
        <v>-86.88</v>
      </c>
      <c r="M1776" s="11">
        <v>33.89</v>
      </c>
    </row>
    <row r="1777" spans="1:13" ht="15.75" customHeight="1" x14ac:dyDescent="0.3">
      <c r="A1777" s="4" t="s">
        <v>406</v>
      </c>
      <c r="B1777">
        <f t="shared" si="27"/>
        <v>1</v>
      </c>
      <c r="C1777" s="2" t="s">
        <v>12</v>
      </c>
      <c r="D1777" s="2" t="s">
        <v>1173</v>
      </c>
      <c r="E1777" s="7">
        <v>40.93</v>
      </c>
      <c r="F1777" s="2">
        <v>0</v>
      </c>
      <c r="G1777" s="7">
        <v>227.51</v>
      </c>
      <c r="H1777" s="2" t="s">
        <v>1126</v>
      </c>
      <c r="I1777" s="2" t="s">
        <v>15</v>
      </c>
      <c r="J1777" s="2" t="s">
        <v>87</v>
      </c>
      <c r="K1777" s="2" t="s">
        <v>46</v>
      </c>
      <c r="L1777" s="7">
        <f>Table3[[#This Row],[Revenue]]-Table3[[#This Row],[Ad Spend]]</f>
        <v>186.57999999999998</v>
      </c>
      <c r="M1777" s="11">
        <v>139.54</v>
      </c>
    </row>
    <row r="1778" spans="1:13" ht="15.75" customHeight="1" x14ac:dyDescent="0.3">
      <c r="A1778" s="4" t="s">
        <v>875</v>
      </c>
      <c r="B1778">
        <f t="shared" si="27"/>
        <v>12</v>
      </c>
      <c r="C1778" s="2" t="s">
        <v>63</v>
      </c>
      <c r="D1778" s="2" t="s">
        <v>1454</v>
      </c>
      <c r="E1778" s="7">
        <v>143.06</v>
      </c>
      <c r="F1778" s="2">
        <v>6</v>
      </c>
      <c r="G1778" s="7">
        <v>265.10000000000002</v>
      </c>
      <c r="H1778" s="2" t="s">
        <v>876</v>
      </c>
      <c r="I1778" s="2" t="s">
        <v>15</v>
      </c>
      <c r="J1778" s="2" t="s">
        <v>25</v>
      </c>
      <c r="K1778" s="2" t="s">
        <v>17</v>
      </c>
      <c r="L1778" s="7">
        <f>Table3[[#This Row],[Revenue]]-Table3[[#This Row],[Ad Spend]]</f>
        <v>122.04000000000002</v>
      </c>
      <c r="M1778" s="11">
        <v>126.59</v>
      </c>
    </row>
    <row r="1779" spans="1:13" ht="15.75" customHeight="1" x14ac:dyDescent="0.3">
      <c r="A1779" s="4" t="s">
        <v>250</v>
      </c>
      <c r="B1779">
        <f t="shared" si="27"/>
        <v>12</v>
      </c>
      <c r="C1779" s="2" t="s">
        <v>63</v>
      </c>
      <c r="D1779" s="2" t="s">
        <v>898</v>
      </c>
      <c r="E1779" s="7">
        <v>32.86</v>
      </c>
      <c r="F1779" s="2">
        <v>1</v>
      </c>
      <c r="G1779" s="7">
        <v>252.26</v>
      </c>
      <c r="H1779" s="2" t="s">
        <v>1322</v>
      </c>
      <c r="I1779" s="2" t="s">
        <v>29</v>
      </c>
      <c r="J1779" s="2" t="s">
        <v>87</v>
      </c>
      <c r="K1779" s="2" t="s">
        <v>17</v>
      </c>
      <c r="L1779" s="7">
        <f>Table3[[#This Row],[Revenue]]-Table3[[#This Row],[Ad Spend]]</f>
        <v>219.39999999999998</v>
      </c>
      <c r="M1779" s="11">
        <v>157.28</v>
      </c>
    </row>
    <row r="1780" spans="1:13" ht="15.75" customHeight="1" x14ac:dyDescent="0.3">
      <c r="A1780" s="4" t="s">
        <v>783</v>
      </c>
      <c r="B1780">
        <f t="shared" si="27"/>
        <v>1</v>
      </c>
      <c r="C1780" s="2" t="s">
        <v>32</v>
      </c>
      <c r="D1780" s="2" t="s">
        <v>378</v>
      </c>
      <c r="E1780" s="7">
        <v>14.14</v>
      </c>
      <c r="F1780" s="2">
        <v>4</v>
      </c>
      <c r="G1780" s="7">
        <v>466.84</v>
      </c>
      <c r="H1780" s="2" t="s">
        <v>317</v>
      </c>
      <c r="I1780" s="2" t="s">
        <v>35</v>
      </c>
      <c r="J1780" s="2" t="s">
        <v>25</v>
      </c>
      <c r="K1780" s="2" t="s">
        <v>17</v>
      </c>
      <c r="L1780" s="7">
        <f>Table3[[#This Row],[Revenue]]-Table3[[#This Row],[Ad Spend]]</f>
        <v>452.7</v>
      </c>
      <c r="M1780" s="11">
        <v>154</v>
      </c>
    </row>
    <row r="1781" spans="1:13" ht="15.75" customHeight="1" x14ac:dyDescent="0.3">
      <c r="A1781" s="4" t="s">
        <v>511</v>
      </c>
      <c r="B1781">
        <f t="shared" si="27"/>
        <v>12</v>
      </c>
      <c r="C1781" s="2" t="s">
        <v>12</v>
      </c>
      <c r="D1781" s="2" t="s">
        <v>950</v>
      </c>
      <c r="E1781" s="7">
        <v>140.85</v>
      </c>
      <c r="F1781" s="2">
        <v>1</v>
      </c>
      <c r="G1781" s="7">
        <v>153.59</v>
      </c>
      <c r="H1781" s="2" t="s">
        <v>1455</v>
      </c>
      <c r="I1781" s="2" t="s">
        <v>35</v>
      </c>
      <c r="J1781" s="2" t="s">
        <v>87</v>
      </c>
      <c r="K1781" s="2" t="s">
        <v>17</v>
      </c>
      <c r="L1781" s="7">
        <f>Table3[[#This Row],[Revenue]]-Table3[[#This Row],[Ad Spend]]</f>
        <v>12.740000000000009</v>
      </c>
      <c r="M1781" s="11">
        <v>84.9</v>
      </c>
    </row>
    <row r="1782" spans="1:13" ht="15.75" customHeight="1" x14ac:dyDescent="0.3">
      <c r="A1782" s="4" t="s">
        <v>574</v>
      </c>
      <c r="B1782">
        <f t="shared" si="27"/>
        <v>1</v>
      </c>
      <c r="C1782" s="2" t="s">
        <v>19</v>
      </c>
      <c r="D1782" s="2" t="s">
        <v>539</v>
      </c>
      <c r="E1782" s="7">
        <v>121.63</v>
      </c>
      <c r="F1782" s="2">
        <v>1</v>
      </c>
      <c r="G1782" s="7">
        <v>114.25</v>
      </c>
      <c r="H1782" s="2" t="s">
        <v>1251</v>
      </c>
      <c r="I1782" s="2" t="s">
        <v>29</v>
      </c>
      <c r="J1782" s="2" t="s">
        <v>16</v>
      </c>
      <c r="K1782" s="2" t="s">
        <v>17</v>
      </c>
      <c r="L1782" s="7">
        <f>Table3[[#This Row],[Revenue]]-Table3[[#This Row],[Ad Spend]]</f>
        <v>-7.3799999999999955</v>
      </c>
      <c r="M1782" s="11">
        <v>144.22</v>
      </c>
    </row>
    <row r="1783" spans="1:13" ht="15.75" customHeight="1" x14ac:dyDescent="0.3">
      <c r="A1783" s="4" t="s">
        <v>478</v>
      </c>
      <c r="B1783">
        <f t="shared" si="27"/>
        <v>3</v>
      </c>
      <c r="C1783" s="2" t="s">
        <v>19</v>
      </c>
      <c r="D1783" s="2" t="s">
        <v>494</v>
      </c>
      <c r="E1783" s="7">
        <v>101.76</v>
      </c>
      <c r="F1783" s="2">
        <v>9</v>
      </c>
      <c r="G1783" s="7">
        <v>324.52</v>
      </c>
      <c r="H1783" s="2" t="s">
        <v>1111</v>
      </c>
      <c r="I1783" s="2" t="s">
        <v>15</v>
      </c>
      <c r="J1783" s="2" t="s">
        <v>30</v>
      </c>
      <c r="K1783" s="2" t="s">
        <v>17</v>
      </c>
      <c r="L1783" s="7">
        <f>Table3[[#This Row],[Revenue]]-Table3[[#This Row],[Ad Spend]]</f>
        <v>222.76</v>
      </c>
      <c r="M1783" s="11">
        <v>110.3</v>
      </c>
    </row>
    <row r="1784" spans="1:13" ht="15.75" customHeight="1" x14ac:dyDescent="0.3">
      <c r="A1784" s="4" t="s">
        <v>353</v>
      </c>
      <c r="B1784">
        <f t="shared" si="27"/>
        <v>1</v>
      </c>
      <c r="C1784" s="2" t="s">
        <v>32</v>
      </c>
      <c r="D1784" s="2" t="s">
        <v>1168</v>
      </c>
      <c r="E1784" s="7">
        <v>104.01</v>
      </c>
      <c r="F1784" s="2">
        <v>5</v>
      </c>
      <c r="G1784" s="7">
        <v>280.54000000000002</v>
      </c>
      <c r="H1784" s="2" t="s">
        <v>1208</v>
      </c>
      <c r="I1784" s="2" t="s">
        <v>15</v>
      </c>
      <c r="J1784" s="2" t="s">
        <v>87</v>
      </c>
      <c r="K1784" s="2" t="s">
        <v>17</v>
      </c>
      <c r="L1784" s="7">
        <f>Table3[[#This Row],[Revenue]]-Table3[[#This Row],[Ad Spend]]</f>
        <v>176.53000000000003</v>
      </c>
      <c r="M1784" s="11">
        <v>114.35</v>
      </c>
    </row>
    <row r="1785" spans="1:13" ht="15.75" customHeight="1" x14ac:dyDescent="0.3">
      <c r="A1785" s="4" t="s">
        <v>287</v>
      </c>
      <c r="B1785">
        <f t="shared" si="27"/>
        <v>2</v>
      </c>
      <c r="C1785" s="2" t="s">
        <v>12</v>
      </c>
      <c r="D1785" s="2" t="s">
        <v>513</v>
      </c>
      <c r="E1785" s="7">
        <v>123.31</v>
      </c>
      <c r="F1785" s="2">
        <v>4</v>
      </c>
      <c r="G1785" s="7">
        <v>336.77</v>
      </c>
      <c r="H1785" s="2" t="s">
        <v>607</v>
      </c>
      <c r="I1785" s="2" t="s">
        <v>15</v>
      </c>
      <c r="J1785" s="2" t="s">
        <v>25</v>
      </c>
      <c r="K1785" s="2" t="s">
        <v>17</v>
      </c>
      <c r="L1785" s="7">
        <f>Table3[[#This Row],[Revenue]]-Table3[[#This Row],[Ad Spend]]</f>
        <v>213.45999999999998</v>
      </c>
      <c r="M1785" s="11">
        <v>126.59</v>
      </c>
    </row>
    <row r="1786" spans="1:13" ht="15.75" customHeight="1" x14ac:dyDescent="0.3">
      <c r="A1786" s="4" t="s">
        <v>164</v>
      </c>
      <c r="B1786">
        <f t="shared" si="27"/>
        <v>2</v>
      </c>
      <c r="C1786" s="2" t="s">
        <v>19</v>
      </c>
      <c r="D1786" s="2" t="s">
        <v>69</v>
      </c>
      <c r="E1786" s="7">
        <v>65.53</v>
      </c>
      <c r="F1786" s="2">
        <v>10</v>
      </c>
      <c r="G1786" s="7">
        <v>427.04</v>
      </c>
      <c r="H1786" s="2" t="s">
        <v>65</v>
      </c>
      <c r="I1786" s="2" t="s">
        <v>35</v>
      </c>
      <c r="J1786" s="2" t="s">
        <v>87</v>
      </c>
      <c r="K1786" s="2" t="s">
        <v>17</v>
      </c>
      <c r="L1786" s="7">
        <f>Table3[[#This Row],[Revenue]]-Table3[[#This Row],[Ad Spend]]</f>
        <v>361.51</v>
      </c>
      <c r="M1786" s="11">
        <v>118.16</v>
      </c>
    </row>
    <row r="1787" spans="1:13" ht="15.75" customHeight="1" x14ac:dyDescent="0.3">
      <c r="A1787" s="4" t="s">
        <v>623</v>
      </c>
      <c r="B1787">
        <f t="shared" si="27"/>
        <v>1</v>
      </c>
      <c r="C1787" s="2" t="s">
        <v>32</v>
      </c>
      <c r="D1787" s="2" t="s">
        <v>149</v>
      </c>
      <c r="E1787" s="7">
        <v>79.930000000000007</v>
      </c>
      <c r="F1787" s="2">
        <v>0</v>
      </c>
      <c r="G1787" s="7">
        <v>358.11</v>
      </c>
      <c r="H1787" s="2" t="s">
        <v>1333</v>
      </c>
      <c r="I1787" s="2" t="s">
        <v>15</v>
      </c>
      <c r="J1787" s="2" t="s">
        <v>30</v>
      </c>
      <c r="K1787" s="2" t="s">
        <v>46</v>
      </c>
      <c r="L1787" s="7">
        <f>Table3[[#This Row],[Revenue]]-Table3[[#This Row],[Ad Spend]]</f>
        <v>278.18</v>
      </c>
      <c r="M1787" s="11">
        <v>123.97</v>
      </c>
    </row>
    <row r="1788" spans="1:13" ht="15.75" customHeight="1" x14ac:dyDescent="0.3">
      <c r="A1788" s="4" t="s">
        <v>175</v>
      </c>
      <c r="B1788">
        <f t="shared" si="27"/>
        <v>3</v>
      </c>
      <c r="C1788" s="2" t="s">
        <v>19</v>
      </c>
      <c r="D1788" s="2" t="s">
        <v>1456</v>
      </c>
      <c r="E1788" s="7">
        <v>9.0399999999999991</v>
      </c>
      <c r="F1788" s="2">
        <v>5</v>
      </c>
      <c r="G1788" s="7">
        <v>409.23</v>
      </c>
      <c r="H1788" s="2" t="s">
        <v>1372</v>
      </c>
      <c r="I1788" s="2" t="s">
        <v>15</v>
      </c>
      <c r="J1788" s="2" t="s">
        <v>25</v>
      </c>
      <c r="K1788" s="2" t="s">
        <v>17</v>
      </c>
      <c r="L1788" s="7">
        <f>Table3[[#This Row],[Revenue]]-Table3[[#This Row],[Ad Spend]]</f>
        <v>400.19</v>
      </c>
      <c r="M1788" s="11">
        <v>121.75</v>
      </c>
    </row>
    <row r="1789" spans="1:13" ht="15.75" customHeight="1" x14ac:dyDescent="0.3">
      <c r="A1789" s="4" t="s">
        <v>649</v>
      </c>
      <c r="B1789">
        <f t="shared" si="27"/>
        <v>1</v>
      </c>
      <c r="C1789" s="2" t="s">
        <v>32</v>
      </c>
      <c r="D1789" s="2" t="s">
        <v>893</v>
      </c>
      <c r="E1789" s="7">
        <v>35.78</v>
      </c>
      <c r="F1789" s="2">
        <v>2</v>
      </c>
      <c r="G1789" s="7">
        <v>77.86</v>
      </c>
      <c r="H1789" s="2" t="s">
        <v>854</v>
      </c>
      <c r="I1789" s="2" t="s">
        <v>15</v>
      </c>
      <c r="J1789" s="2" t="s">
        <v>53</v>
      </c>
      <c r="K1789" s="2" t="s">
        <v>17</v>
      </c>
      <c r="L1789" s="7">
        <f>Table3[[#This Row],[Revenue]]-Table3[[#This Row],[Ad Spend]]</f>
        <v>42.08</v>
      </c>
      <c r="M1789" s="11">
        <v>147.37</v>
      </c>
    </row>
    <row r="1790" spans="1:13" ht="15.75" customHeight="1" x14ac:dyDescent="0.3">
      <c r="A1790" s="4" t="s">
        <v>105</v>
      </c>
      <c r="B1790">
        <f t="shared" si="27"/>
        <v>1</v>
      </c>
      <c r="C1790" s="2" t="s">
        <v>12</v>
      </c>
      <c r="D1790" s="2" t="s">
        <v>1420</v>
      </c>
      <c r="E1790" s="7">
        <v>96.45</v>
      </c>
      <c r="F1790" s="2">
        <v>8</v>
      </c>
      <c r="G1790" s="7">
        <v>374.68</v>
      </c>
      <c r="H1790" s="2" t="s">
        <v>1126</v>
      </c>
      <c r="I1790" s="2" t="s">
        <v>29</v>
      </c>
      <c r="J1790" s="2" t="s">
        <v>53</v>
      </c>
      <c r="K1790" s="2" t="s">
        <v>17</v>
      </c>
      <c r="L1790" s="7">
        <f>Table3[[#This Row],[Revenue]]-Table3[[#This Row],[Ad Spend]]</f>
        <v>278.23</v>
      </c>
      <c r="M1790" s="11">
        <v>136.82</v>
      </c>
    </row>
    <row r="1791" spans="1:13" ht="15.75" customHeight="1" x14ac:dyDescent="0.3">
      <c r="A1791" s="4" t="s">
        <v>409</v>
      </c>
      <c r="B1791">
        <f t="shared" si="27"/>
        <v>11</v>
      </c>
      <c r="C1791" s="2" t="s">
        <v>19</v>
      </c>
      <c r="D1791" s="2" t="s">
        <v>1457</v>
      </c>
      <c r="E1791" s="7">
        <v>93.01</v>
      </c>
      <c r="F1791" s="2">
        <v>8</v>
      </c>
      <c r="G1791" s="7">
        <v>271.08999999999997</v>
      </c>
      <c r="H1791" s="2" t="s">
        <v>427</v>
      </c>
      <c r="I1791" s="2" t="s">
        <v>15</v>
      </c>
      <c r="J1791" s="2" t="s">
        <v>25</v>
      </c>
      <c r="K1791" s="2" t="s">
        <v>17</v>
      </c>
      <c r="L1791" s="7">
        <f>Table3[[#This Row],[Revenue]]-Table3[[#This Row],[Ad Spend]]</f>
        <v>178.07999999999998</v>
      </c>
      <c r="M1791" s="11">
        <v>140.22999999999999</v>
      </c>
    </row>
    <row r="1792" spans="1:13" ht="15.75" customHeight="1" x14ac:dyDescent="0.3">
      <c r="A1792" s="4" t="s">
        <v>342</v>
      </c>
      <c r="B1792">
        <f t="shared" si="27"/>
        <v>3</v>
      </c>
      <c r="C1792" s="2" t="s">
        <v>19</v>
      </c>
      <c r="D1792" s="2" t="s">
        <v>497</v>
      </c>
      <c r="E1792" s="7">
        <v>103.94</v>
      </c>
      <c r="F1792" s="2">
        <v>1</v>
      </c>
      <c r="G1792" s="7">
        <v>107.11</v>
      </c>
      <c r="H1792" s="2" t="s">
        <v>219</v>
      </c>
      <c r="I1792" s="2" t="s">
        <v>35</v>
      </c>
      <c r="J1792" s="2" t="s">
        <v>87</v>
      </c>
      <c r="K1792" s="2" t="s">
        <v>17</v>
      </c>
      <c r="L1792" s="7">
        <f>Table3[[#This Row],[Revenue]]-Table3[[#This Row],[Ad Spend]]</f>
        <v>3.1700000000000017</v>
      </c>
      <c r="M1792" s="11">
        <v>154.16999999999999</v>
      </c>
    </row>
    <row r="1793" spans="1:13" ht="15.75" customHeight="1" x14ac:dyDescent="0.3">
      <c r="A1793" s="4" t="s">
        <v>74</v>
      </c>
      <c r="B1793">
        <f t="shared" si="27"/>
        <v>11</v>
      </c>
      <c r="C1793" s="2" t="s">
        <v>19</v>
      </c>
      <c r="D1793" s="2" t="s">
        <v>15</v>
      </c>
      <c r="E1793" s="7">
        <v>149.16</v>
      </c>
      <c r="F1793" s="2">
        <v>0</v>
      </c>
      <c r="G1793" s="7">
        <v>279.95999999999998</v>
      </c>
      <c r="H1793" s="2" t="s">
        <v>424</v>
      </c>
      <c r="I1793" s="2" t="s">
        <v>29</v>
      </c>
      <c r="J1793" s="2" t="s">
        <v>36</v>
      </c>
      <c r="K1793" s="2" t="s">
        <v>46</v>
      </c>
      <c r="L1793" s="7">
        <f>Table3[[#This Row],[Revenue]]-Table3[[#This Row],[Ad Spend]]</f>
        <v>130.79999999999998</v>
      </c>
      <c r="M1793" s="11">
        <v>95.01</v>
      </c>
    </row>
    <row r="1794" spans="1:13" ht="15.75" customHeight="1" x14ac:dyDescent="0.3">
      <c r="A1794" s="4" t="s">
        <v>159</v>
      </c>
      <c r="B1794">
        <f t="shared" si="27"/>
        <v>2</v>
      </c>
      <c r="C1794" s="2" t="s">
        <v>32</v>
      </c>
      <c r="D1794" s="2" t="s">
        <v>986</v>
      </c>
      <c r="E1794" s="7">
        <v>130.22</v>
      </c>
      <c r="F1794" s="2">
        <v>1</v>
      </c>
      <c r="G1794" s="7">
        <v>428.07</v>
      </c>
      <c r="H1794" s="2" t="s">
        <v>1443</v>
      </c>
      <c r="I1794" s="2" t="s">
        <v>29</v>
      </c>
      <c r="J1794" s="2" t="s">
        <v>53</v>
      </c>
      <c r="K1794" s="2" t="s">
        <v>17</v>
      </c>
      <c r="L1794" s="7">
        <f>Table3[[#This Row],[Revenue]]-Table3[[#This Row],[Ad Spend]]</f>
        <v>297.85000000000002</v>
      </c>
      <c r="M1794" s="11">
        <v>205.09</v>
      </c>
    </row>
    <row r="1795" spans="1:13" ht="15.75" customHeight="1" x14ac:dyDescent="0.3">
      <c r="A1795" s="4" t="s">
        <v>247</v>
      </c>
      <c r="B1795">
        <f t="shared" ref="B1795:B1858" si="28">MONTH(A1795)</f>
        <v>3</v>
      </c>
      <c r="C1795" s="2" t="s">
        <v>12</v>
      </c>
      <c r="D1795" s="2" t="s">
        <v>644</v>
      </c>
      <c r="E1795" s="7">
        <v>103.1</v>
      </c>
      <c r="F1795" s="2">
        <v>1</v>
      </c>
      <c r="G1795" s="7">
        <v>292.33</v>
      </c>
      <c r="H1795" s="2" t="s">
        <v>24</v>
      </c>
      <c r="I1795" s="2" t="s">
        <v>29</v>
      </c>
      <c r="J1795" s="2" t="s">
        <v>36</v>
      </c>
      <c r="K1795" s="2" t="s">
        <v>17</v>
      </c>
      <c r="L1795" s="7">
        <f>Table3[[#This Row],[Revenue]]-Table3[[#This Row],[Ad Spend]]</f>
        <v>189.23</v>
      </c>
      <c r="M1795" s="11">
        <v>140.03</v>
      </c>
    </row>
    <row r="1796" spans="1:13" ht="15.75" customHeight="1" x14ac:dyDescent="0.3">
      <c r="A1796" s="4" t="s">
        <v>485</v>
      </c>
      <c r="B1796">
        <f t="shared" si="28"/>
        <v>12</v>
      </c>
      <c r="C1796" s="2" t="s">
        <v>12</v>
      </c>
      <c r="D1796" s="2" t="s">
        <v>361</v>
      </c>
      <c r="E1796" s="7">
        <v>32.33</v>
      </c>
      <c r="F1796" s="2">
        <v>3</v>
      </c>
      <c r="G1796" s="7">
        <v>345.29</v>
      </c>
      <c r="H1796" s="2" t="s">
        <v>174</v>
      </c>
      <c r="I1796" s="2" t="s">
        <v>15</v>
      </c>
      <c r="J1796" s="2" t="s">
        <v>30</v>
      </c>
      <c r="K1796" s="2" t="s">
        <v>17</v>
      </c>
      <c r="L1796" s="7">
        <f>Table3[[#This Row],[Revenue]]-Table3[[#This Row],[Ad Spend]]</f>
        <v>312.96000000000004</v>
      </c>
      <c r="M1796" s="11">
        <v>104.44</v>
      </c>
    </row>
    <row r="1797" spans="1:13" ht="15.75" customHeight="1" x14ac:dyDescent="0.3">
      <c r="A1797" s="4" t="s">
        <v>380</v>
      </c>
      <c r="B1797">
        <f t="shared" si="28"/>
        <v>2</v>
      </c>
      <c r="C1797" s="2" t="s">
        <v>12</v>
      </c>
      <c r="D1797" s="2" t="s">
        <v>1187</v>
      </c>
      <c r="E1797" s="7">
        <v>64.02</v>
      </c>
      <c r="F1797" s="2">
        <v>9</v>
      </c>
      <c r="G1797" s="7">
        <v>404.53</v>
      </c>
      <c r="H1797" s="2" t="s">
        <v>705</v>
      </c>
      <c r="I1797" s="2" t="s">
        <v>35</v>
      </c>
      <c r="J1797" s="2" t="s">
        <v>30</v>
      </c>
      <c r="K1797" s="2" t="s">
        <v>17</v>
      </c>
      <c r="L1797" s="7">
        <f>Table3[[#This Row],[Revenue]]-Table3[[#This Row],[Ad Spend]]</f>
        <v>340.51</v>
      </c>
      <c r="M1797" s="11">
        <v>128.44</v>
      </c>
    </row>
    <row r="1798" spans="1:13" ht="15.75" customHeight="1" x14ac:dyDescent="0.3">
      <c r="A1798" s="4" t="s">
        <v>324</v>
      </c>
      <c r="B1798">
        <f t="shared" si="28"/>
        <v>3</v>
      </c>
      <c r="C1798" s="2" t="s">
        <v>19</v>
      </c>
      <c r="D1798" s="2" t="s">
        <v>1215</v>
      </c>
      <c r="E1798" s="7">
        <v>89.27</v>
      </c>
      <c r="F1798" s="2">
        <v>3</v>
      </c>
      <c r="G1798" s="7">
        <v>32.619999999999997</v>
      </c>
      <c r="H1798" s="2" t="s">
        <v>122</v>
      </c>
      <c r="I1798" s="2" t="s">
        <v>29</v>
      </c>
      <c r="J1798" s="2" t="s">
        <v>30</v>
      </c>
      <c r="K1798" s="2" t="s">
        <v>17</v>
      </c>
      <c r="L1798" s="7">
        <f>Table3[[#This Row],[Revenue]]-Table3[[#This Row],[Ad Spend]]</f>
        <v>-56.65</v>
      </c>
      <c r="M1798" s="11">
        <v>123.71</v>
      </c>
    </row>
    <row r="1799" spans="1:13" ht="15.75" customHeight="1" x14ac:dyDescent="0.3">
      <c r="A1799" s="4" t="s">
        <v>181</v>
      </c>
      <c r="B1799">
        <f t="shared" si="28"/>
        <v>11</v>
      </c>
      <c r="C1799" s="2" t="s">
        <v>12</v>
      </c>
      <c r="D1799" s="2" t="s">
        <v>635</v>
      </c>
      <c r="E1799" s="7">
        <v>94.8</v>
      </c>
      <c r="F1799" s="2">
        <v>3</v>
      </c>
      <c r="G1799" s="7">
        <v>405.88</v>
      </c>
      <c r="H1799" s="2" t="s">
        <v>1458</v>
      </c>
      <c r="I1799" s="2" t="s">
        <v>35</v>
      </c>
      <c r="J1799" s="2" t="s">
        <v>53</v>
      </c>
      <c r="K1799" s="2" t="s">
        <v>17</v>
      </c>
      <c r="L1799" s="7">
        <f>Table3[[#This Row],[Revenue]]-Table3[[#This Row],[Ad Spend]]</f>
        <v>311.08</v>
      </c>
      <c r="M1799" s="11">
        <v>180.61</v>
      </c>
    </row>
    <row r="1800" spans="1:13" ht="15.75" customHeight="1" x14ac:dyDescent="0.3">
      <c r="A1800" s="4" t="s">
        <v>499</v>
      </c>
      <c r="B1800">
        <f t="shared" si="28"/>
        <v>4</v>
      </c>
      <c r="C1800" s="2" t="s">
        <v>19</v>
      </c>
      <c r="D1800" s="2" t="s">
        <v>23</v>
      </c>
      <c r="E1800" s="7">
        <v>26.65</v>
      </c>
      <c r="F1800" s="2">
        <v>2</v>
      </c>
      <c r="G1800" s="7">
        <v>203.77</v>
      </c>
      <c r="H1800" s="2" t="s">
        <v>829</v>
      </c>
      <c r="I1800" s="2" t="s">
        <v>35</v>
      </c>
      <c r="J1800" s="2" t="s">
        <v>25</v>
      </c>
      <c r="K1800" s="2" t="s">
        <v>17</v>
      </c>
      <c r="L1800" s="7">
        <f>Table3[[#This Row],[Revenue]]-Table3[[#This Row],[Ad Spend]]</f>
        <v>177.12</v>
      </c>
      <c r="M1800" s="11">
        <v>152.47</v>
      </c>
    </row>
    <row r="1801" spans="1:13" ht="15.75" customHeight="1" x14ac:dyDescent="0.3">
      <c r="A1801" s="4" t="s">
        <v>836</v>
      </c>
      <c r="B1801">
        <f t="shared" si="28"/>
        <v>11</v>
      </c>
      <c r="C1801" s="2" t="s">
        <v>19</v>
      </c>
      <c r="D1801" s="2" t="s">
        <v>1398</v>
      </c>
      <c r="E1801" s="7">
        <v>46.79</v>
      </c>
      <c r="F1801" s="2">
        <v>10</v>
      </c>
      <c r="G1801" s="7">
        <v>239.77</v>
      </c>
      <c r="H1801" s="2" t="s">
        <v>1125</v>
      </c>
      <c r="I1801" s="2" t="s">
        <v>29</v>
      </c>
      <c r="J1801" s="2" t="s">
        <v>87</v>
      </c>
      <c r="K1801" s="2" t="s">
        <v>17</v>
      </c>
      <c r="L1801" s="7">
        <f>Table3[[#This Row],[Revenue]]-Table3[[#This Row],[Ad Spend]]</f>
        <v>192.98000000000002</v>
      </c>
      <c r="M1801" s="11">
        <v>75.349999999999994</v>
      </c>
    </row>
    <row r="1802" spans="1:13" ht="15.75" customHeight="1" x14ac:dyDescent="0.3">
      <c r="A1802" s="4" t="s">
        <v>659</v>
      </c>
      <c r="B1802">
        <f t="shared" si="28"/>
        <v>4</v>
      </c>
      <c r="C1802" s="2" t="s">
        <v>32</v>
      </c>
      <c r="D1802" s="2" t="s">
        <v>1459</v>
      </c>
      <c r="E1802" s="7">
        <v>53.35</v>
      </c>
      <c r="F1802" s="2">
        <v>5</v>
      </c>
      <c r="G1802" s="7">
        <v>356.86</v>
      </c>
      <c r="H1802" s="2" t="s">
        <v>61</v>
      </c>
      <c r="I1802" s="2" t="s">
        <v>35</v>
      </c>
      <c r="J1802" s="2" t="s">
        <v>16</v>
      </c>
      <c r="K1802" s="2" t="s">
        <v>17</v>
      </c>
      <c r="L1802" s="7">
        <f>Table3[[#This Row],[Revenue]]-Table3[[#This Row],[Ad Spend]]</f>
        <v>303.51</v>
      </c>
      <c r="M1802" s="11">
        <v>134.28</v>
      </c>
    </row>
    <row r="1803" spans="1:13" ht="15.75" customHeight="1" x14ac:dyDescent="0.3">
      <c r="A1803" s="4" t="s">
        <v>532</v>
      </c>
      <c r="B1803">
        <f t="shared" si="28"/>
        <v>2</v>
      </c>
      <c r="C1803" s="2" t="s">
        <v>32</v>
      </c>
      <c r="D1803" s="2" t="s">
        <v>1063</v>
      </c>
      <c r="E1803" s="7">
        <v>19.91</v>
      </c>
      <c r="F1803" s="2">
        <v>4</v>
      </c>
      <c r="G1803" s="7">
        <v>133.29</v>
      </c>
      <c r="H1803" s="2" t="s">
        <v>1309</v>
      </c>
      <c r="I1803" s="2" t="s">
        <v>35</v>
      </c>
      <c r="J1803" s="2" t="s">
        <v>87</v>
      </c>
      <c r="K1803" s="2" t="s">
        <v>17</v>
      </c>
      <c r="L1803" s="7">
        <f>Table3[[#This Row],[Revenue]]-Table3[[#This Row],[Ad Spend]]</f>
        <v>113.38</v>
      </c>
      <c r="M1803" s="11">
        <v>97.73</v>
      </c>
    </row>
    <row r="1804" spans="1:13" ht="15.75" customHeight="1" x14ac:dyDescent="0.3">
      <c r="A1804" s="4" t="s">
        <v>478</v>
      </c>
      <c r="B1804">
        <f t="shared" si="28"/>
        <v>3</v>
      </c>
      <c r="C1804" s="2" t="s">
        <v>12</v>
      </c>
      <c r="D1804" s="2" t="s">
        <v>1091</v>
      </c>
      <c r="E1804" s="7">
        <v>124.03</v>
      </c>
      <c r="F1804" s="2">
        <v>0</v>
      </c>
      <c r="G1804" s="7">
        <v>489.12</v>
      </c>
      <c r="H1804" s="2" t="s">
        <v>28</v>
      </c>
      <c r="I1804" s="2" t="s">
        <v>29</v>
      </c>
      <c r="J1804" s="2" t="s">
        <v>36</v>
      </c>
      <c r="K1804" s="2" t="s">
        <v>46</v>
      </c>
      <c r="L1804" s="7">
        <f>Table3[[#This Row],[Revenue]]-Table3[[#This Row],[Ad Spend]]</f>
        <v>365.09000000000003</v>
      </c>
      <c r="M1804" s="11">
        <v>140.38999999999999</v>
      </c>
    </row>
    <row r="1805" spans="1:13" ht="15.75" customHeight="1" x14ac:dyDescent="0.3">
      <c r="A1805" s="4" t="s">
        <v>836</v>
      </c>
      <c r="B1805">
        <f t="shared" si="28"/>
        <v>11</v>
      </c>
      <c r="C1805" s="2" t="s">
        <v>63</v>
      </c>
      <c r="D1805" s="2" t="s">
        <v>585</v>
      </c>
      <c r="E1805" s="7">
        <v>97.9</v>
      </c>
      <c r="F1805" s="2">
        <v>2</v>
      </c>
      <c r="G1805" s="7">
        <v>140.94999999999999</v>
      </c>
      <c r="H1805" s="2" t="s">
        <v>374</v>
      </c>
      <c r="I1805" s="2" t="s">
        <v>35</v>
      </c>
      <c r="J1805" s="2" t="s">
        <v>87</v>
      </c>
      <c r="K1805" s="2" t="s">
        <v>17</v>
      </c>
      <c r="L1805" s="7">
        <f>Table3[[#This Row],[Revenue]]-Table3[[#This Row],[Ad Spend]]</f>
        <v>43.049999999999983</v>
      </c>
      <c r="M1805" s="11">
        <v>119.2</v>
      </c>
    </row>
    <row r="1806" spans="1:13" ht="15.75" customHeight="1" x14ac:dyDescent="0.3">
      <c r="A1806" s="4" t="s">
        <v>238</v>
      </c>
      <c r="B1806">
        <f t="shared" si="28"/>
        <v>3</v>
      </c>
      <c r="C1806" s="2" t="s">
        <v>12</v>
      </c>
      <c r="D1806" s="2" t="s">
        <v>1460</v>
      </c>
      <c r="E1806" s="7">
        <v>9.82</v>
      </c>
      <c r="F1806" s="2">
        <v>4</v>
      </c>
      <c r="G1806" s="7">
        <v>92.34</v>
      </c>
      <c r="H1806" s="2" t="s">
        <v>45</v>
      </c>
      <c r="I1806" s="2" t="s">
        <v>35</v>
      </c>
      <c r="J1806" s="2" t="s">
        <v>25</v>
      </c>
      <c r="K1806" s="2" t="s">
        <v>17</v>
      </c>
      <c r="L1806" s="7">
        <f>Table3[[#This Row],[Revenue]]-Table3[[#This Row],[Ad Spend]]</f>
        <v>82.52000000000001</v>
      </c>
      <c r="M1806" s="11">
        <v>122.36</v>
      </c>
    </row>
    <row r="1807" spans="1:13" ht="15.75" customHeight="1" x14ac:dyDescent="0.3">
      <c r="A1807" s="4" t="s">
        <v>415</v>
      </c>
      <c r="B1807">
        <f t="shared" si="28"/>
        <v>4</v>
      </c>
      <c r="C1807" s="2" t="s">
        <v>63</v>
      </c>
      <c r="D1807" s="2" t="s">
        <v>20</v>
      </c>
      <c r="E1807" s="7">
        <v>131.30000000000001</v>
      </c>
      <c r="F1807" s="2">
        <v>9</v>
      </c>
      <c r="G1807" s="7">
        <v>283.94</v>
      </c>
      <c r="H1807" s="2" t="s">
        <v>1461</v>
      </c>
      <c r="I1807" s="2" t="s">
        <v>15</v>
      </c>
      <c r="J1807" s="2" t="s">
        <v>30</v>
      </c>
      <c r="K1807" s="2" t="s">
        <v>17</v>
      </c>
      <c r="L1807" s="7">
        <f>Table3[[#This Row],[Revenue]]-Table3[[#This Row],[Ad Spend]]</f>
        <v>152.63999999999999</v>
      </c>
      <c r="M1807" s="11">
        <v>87.42</v>
      </c>
    </row>
    <row r="1808" spans="1:13" ht="15.75" customHeight="1" x14ac:dyDescent="0.3">
      <c r="A1808" s="4" t="s">
        <v>459</v>
      </c>
      <c r="B1808">
        <f t="shared" si="28"/>
        <v>4</v>
      </c>
      <c r="C1808" s="2" t="s">
        <v>32</v>
      </c>
      <c r="D1808" s="2" t="s">
        <v>1454</v>
      </c>
      <c r="E1808" s="7">
        <v>147.25</v>
      </c>
      <c r="F1808" s="2">
        <v>10</v>
      </c>
      <c r="G1808" s="7">
        <v>451.46</v>
      </c>
      <c r="H1808" s="2" t="s">
        <v>267</v>
      </c>
      <c r="I1808" s="2" t="s">
        <v>29</v>
      </c>
      <c r="J1808" s="2" t="s">
        <v>53</v>
      </c>
      <c r="K1808" s="2" t="s">
        <v>17</v>
      </c>
      <c r="L1808" s="7">
        <f>Table3[[#This Row],[Revenue]]-Table3[[#This Row],[Ad Spend]]</f>
        <v>304.20999999999998</v>
      </c>
      <c r="M1808" s="11">
        <v>124.22</v>
      </c>
    </row>
    <row r="1809" spans="1:13" ht="15.75" customHeight="1" x14ac:dyDescent="0.3">
      <c r="A1809" s="4" t="s">
        <v>169</v>
      </c>
      <c r="B1809">
        <f t="shared" si="28"/>
        <v>2</v>
      </c>
      <c r="C1809" s="2" t="s">
        <v>19</v>
      </c>
      <c r="D1809" s="2" t="s">
        <v>1200</v>
      </c>
      <c r="E1809" s="7">
        <v>107.9</v>
      </c>
      <c r="F1809" s="2">
        <v>4</v>
      </c>
      <c r="G1809" s="7">
        <v>308.86</v>
      </c>
      <c r="H1809" s="2" t="s">
        <v>681</v>
      </c>
      <c r="I1809" s="2" t="s">
        <v>29</v>
      </c>
      <c r="J1809" s="2" t="s">
        <v>30</v>
      </c>
      <c r="K1809" s="2" t="s">
        <v>17</v>
      </c>
      <c r="L1809" s="7">
        <f>Table3[[#This Row],[Revenue]]-Table3[[#This Row],[Ad Spend]]</f>
        <v>200.96</v>
      </c>
      <c r="M1809" s="11">
        <v>153.58000000000001</v>
      </c>
    </row>
    <row r="1810" spans="1:13" ht="15.75" customHeight="1" x14ac:dyDescent="0.3">
      <c r="A1810" s="4" t="s">
        <v>22</v>
      </c>
      <c r="B1810">
        <f t="shared" si="28"/>
        <v>4</v>
      </c>
      <c r="C1810" s="2" t="s">
        <v>32</v>
      </c>
      <c r="D1810" s="2" t="s">
        <v>611</v>
      </c>
      <c r="E1810" s="7">
        <v>110.88</v>
      </c>
      <c r="F1810" s="2">
        <v>5</v>
      </c>
      <c r="G1810" s="7">
        <v>259.11</v>
      </c>
      <c r="H1810" s="2" t="s">
        <v>313</v>
      </c>
      <c r="I1810" s="2" t="s">
        <v>29</v>
      </c>
      <c r="J1810" s="2" t="s">
        <v>30</v>
      </c>
      <c r="K1810" s="2" t="s">
        <v>17</v>
      </c>
      <c r="L1810" s="7">
        <f>Table3[[#This Row],[Revenue]]-Table3[[#This Row],[Ad Spend]]</f>
        <v>148.23000000000002</v>
      </c>
      <c r="M1810" s="11">
        <v>125.58</v>
      </c>
    </row>
    <row r="1811" spans="1:13" ht="15.75" customHeight="1" x14ac:dyDescent="0.3">
      <c r="A1811" s="4" t="s">
        <v>309</v>
      </c>
      <c r="B1811">
        <f t="shared" si="28"/>
        <v>4</v>
      </c>
      <c r="C1811" s="2" t="s">
        <v>63</v>
      </c>
      <c r="D1811" s="2" t="s">
        <v>1258</v>
      </c>
      <c r="E1811" s="7">
        <v>143.15</v>
      </c>
      <c r="F1811" s="2">
        <v>7</v>
      </c>
      <c r="G1811" s="7">
        <v>208.91</v>
      </c>
      <c r="H1811" s="2" t="s">
        <v>58</v>
      </c>
      <c r="I1811" s="2" t="s">
        <v>29</v>
      </c>
      <c r="J1811" s="2" t="s">
        <v>16</v>
      </c>
      <c r="K1811" s="2" t="s">
        <v>17</v>
      </c>
      <c r="L1811" s="7">
        <f>Table3[[#This Row],[Revenue]]-Table3[[#This Row],[Ad Spend]]</f>
        <v>65.759999999999991</v>
      </c>
      <c r="M1811" s="11">
        <v>132.66</v>
      </c>
    </row>
    <row r="1812" spans="1:13" ht="15.75" customHeight="1" x14ac:dyDescent="0.3">
      <c r="A1812" s="4" t="s">
        <v>400</v>
      </c>
      <c r="B1812">
        <f t="shared" si="28"/>
        <v>2</v>
      </c>
      <c r="C1812" s="2" t="s">
        <v>19</v>
      </c>
      <c r="D1812" s="2" t="s">
        <v>588</v>
      </c>
      <c r="E1812" s="7">
        <v>5.77</v>
      </c>
      <c r="F1812" s="2">
        <v>10</v>
      </c>
      <c r="G1812" s="7">
        <v>99.59</v>
      </c>
      <c r="H1812" s="2" t="s">
        <v>911</v>
      </c>
      <c r="I1812" s="2" t="s">
        <v>35</v>
      </c>
      <c r="J1812" s="2" t="s">
        <v>25</v>
      </c>
      <c r="K1812" s="2" t="s">
        <v>17</v>
      </c>
      <c r="L1812" s="7">
        <f>Table3[[#This Row],[Revenue]]-Table3[[#This Row],[Ad Spend]]</f>
        <v>93.820000000000007</v>
      </c>
      <c r="M1812" s="11">
        <v>127.5</v>
      </c>
    </row>
    <row r="1813" spans="1:13" ht="15.75" customHeight="1" x14ac:dyDescent="0.3">
      <c r="A1813" s="4" t="s">
        <v>342</v>
      </c>
      <c r="B1813">
        <f t="shared" si="28"/>
        <v>3</v>
      </c>
      <c r="C1813" s="2" t="s">
        <v>63</v>
      </c>
      <c r="D1813" s="2" t="s">
        <v>655</v>
      </c>
      <c r="E1813" s="7">
        <v>45.12</v>
      </c>
      <c r="F1813" s="2">
        <v>7</v>
      </c>
      <c r="G1813" s="7">
        <v>172.15</v>
      </c>
      <c r="H1813" s="2" t="s">
        <v>243</v>
      </c>
      <c r="I1813" s="2" t="s">
        <v>29</v>
      </c>
      <c r="J1813" s="2" t="s">
        <v>16</v>
      </c>
      <c r="K1813" s="2" t="s">
        <v>17</v>
      </c>
      <c r="L1813" s="7">
        <f>Table3[[#This Row],[Revenue]]-Table3[[#This Row],[Ad Spend]]</f>
        <v>127.03</v>
      </c>
      <c r="M1813" s="11">
        <v>123.85</v>
      </c>
    </row>
    <row r="1814" spans="1:13" ht="15.75" customHeight="1" x14ac:dyDescent="0.3">
      <c r="A1814" s="4" t="s">
        <v>799</v>
      </c>
      <c r="B1814">
        <f t="shared" si="28"/>
        <v>1</v>
      </c>
      <c r="C1814" s="2" t="s">
        <v>32</v>
      </c>
      <c r="D1814" s="2" t="s">
        <v>899</v>
      </c>
      <c r="E1814" s="7">
        <v>31.34</v>
      </c>
      <c r="F1814" s="2">
        <v>4</v>
      </c>
      <c r="G1814" s="7">
        <v>348.6</v>
      </c>
      <c r="H1814" s="2" t="s">
        <v>24</v>
      </c>
      <c r="I1814" s="2" t="s">
        <v>29</v>
      </c>
      <c r="J1814" s="2" t="s">
        <v>36</v>
      </c>
      <c r="K1814" s="2" t="s">
        <v>17</v>
      </c>
      <c r="L1814" s="7">
        <f>Table3[[#This Row],[Revenue]]-Table3[[#This Row],[Ad Spend]]</f>
        <v>317.26000000000005</v>
      </c>
      <c r="M1814" s="11">
        <v>136.46</v>
      </c>
    </row>
    <row r="1815" spans="1:13" ht="15.75" customHeight="1" x14ac:dyDescent="0.3">
      <c r="A1815" s="4" t="s">
        <v>448</v>
      </c>
      <c r="B1815">
        <f t="shared" si="28"/>
        <v>12</v>
      </c>
      <c r="C1815" s="2" t="s">
        <v>63</v>
      </c>
      <c r="D1815" s="2" t="s">
        <v>1188</v>
      </c>
      <c r="E1815" s="7">
        <v>117.97</v>
      </c>
      <c r="F1815" s="2">
        <v>5</v>
      </c>
      <c r="G1815" s="7">
        <v>293.54000000000002</v>
      </c>
      <c r="H1815" s="2" t="s">
        <v>451</v>
      </c>
      <c r="I1815" s="2" t="s">
        <v>35</v>
      </c>
      <c r="J1815" s="2" t="s">
        <v>30</v>
      </c>
      <c r="K1815" s="2" t="s">
        <v>17</v>
      </c>
      <c r="L1815" s="7">
        <f>Table3[[#This Row],[Revenue]]-Table3[[#This Row],[Ad Spend]]</f>
        <v>175.57000000000002</v>
      </c>
      <c r="M1815" s="11">
        <v>147.97999999999999</v>
      </c>
    </row>
    <row r="1816" spans="1:13" ht="15.75" customHeight="1" x14ac:dyDescent="0.3">
      <c r="A1816" s="4" t="s">
        <v>169</v>
      </c>
      <c r="B1816">
        <f t="shared" si="28"/>
        <v>2</v>
      </c>
      <c r="C1816" s="2" t="s">
        <v>32</v>
      </c>
      <c r="D1816" s="2" t="s">
        <v>1015</v>
      </c>
      <c r="E1816" s="7">
        <v>95.05</v>
      </c>
      <c r="F1816" s="2">
        <v>2</v>
      </c>
      <c r="G1816" s="7">
        <v>360.42</v>
      </c>
      <c r="H1816" s="2" t="s">
        <v>973</v>
      </c>
      <c r="I1816" s="2" t="s">
        <v>35</v>
      </c>
      <c r="J1816" s="2" t="s">
        <v>25</v>
      </c>
      <c r="K1816" s="2" t="s">
        <v>17</v>
      </c>
      <c r="L1816" s="7">
        <f>Table3[[#This Row],[Revenue]]-Table3[[#This Row],[Ad Spend]]</f>
        <v>265.37</v>
      </c>
      <c r="M1816" s="11">
        <v>160.25</v>
      </c>
    </row>
    <row r="1817" spans="1:13" ht="15.75" customHeight="1" x14ac:dyDescent="0.3">
      <c r="A1817" s="4" t="s">
        <v>113</v>
      </c>
      <c r="B1817">
        <f t="shared" si="28"/>
        <v>3</v>
      </c>
      <c r="C1817" s="2" t="s">
        <v>32</v>
      </c>
      <c r="D1817" s="2" t="s">
        <v>1270</v>
      </c>
      <c r="E1817" s="7">
        <v>98.64</v>
      </c>
      <c r="F1817" s="2">
        <v>6</v>
      </c>
      <c r="G1817" s="7">
        <v>465.99</v>
      </c>
      <c r="H1817" s="2" t="s">
        <v>1093</v>
      </c>
      <c r="I1817" s="2" t="s">
        <v>15</v>
      </c>
      <c r="J1817" s="2" t="s">
        <v>30</v>
      </c>
      <c r="K1817" s="2" t="s">
        <v>17</v>
      </c>
      <c r="L1817" s="7">
        <f>Table3[[#This Row],[Revenue]]-Table3[[#This Row],[Ad Spend]]</f>
        <v>367.35</v>
      </c>
      <c r="M1817" s="11">
        <v>108.2</v>
      </c>
    </row>
    <row r="1818" spans="1:13" ht="15.75" customHeight="1" x14ac:dyDescent="0.3">
      <c r="A1818" s="4" t="s">
        <v>247</v>
      </c>
      <c r="B1818">
        <f t="shared" si="28"/>
        <v>3</v>
      </c>
      <c r="C1818" s="2" t="s">
        <v>12</v>
      </c>
      <c r="D1818" s="2" t="s">
        <v>1035</v>
      </c>
      <c r="E1818" s="7">
        <v>67.91</v>
      </c>
      <c r="F1818" s="2">
        <v>9</v>
      </c>
      <c r="G1818" s="7">
        <v>410.57</v>
      </c>
      <c r="H1818" s="2" t="s">
        <v>1358</v>
      </c>
      <c r="I1818" s="2" t="s">
        <v>15</v>
      </c>
      <c r="J1818" s="2" t="s">
        <v>87</v>
      </c>
      <c r="K1818" s="2" t="s">
        <v>17</v>
      </c>
      <c r="L1818" s="7">
        <f>Table3[[#This Row],[Revenue]]-Table3[[#This Row],[Ad Spend]]</f>
        <v>342.65999999999997</v>
      </c>
      <c r="M1818" s="11">
        <v>140.37</v>
      </c>
    </row>
    <row r="1819" spans="1:13" ht="15.75" customHeight="1" x14ac:dyDescent="0.3">
      <c r="A1819" s="4" t="s">
        <v>951</v>
      </c>
      <c r="B1819">
        <f t="shared" si="28"/>
        <v>12</v>
      </c>
      <c r="C1819" s="2" t="s">
        <v>32</v>
      </c>
      <c r="D1819" s="2" t="s">
        <v>434</v>
      </c>
      <c r="E1819" s="7">
        <v>130.32</v>
      </c>
      <c r="F1819" s="2">
        <v>1</v>
      </c>
      <c r="G1819" s="7">
        <v>440.22</v>
      </c>
      <c r="H1819" s="2" t="s">
        <v>161</v>
      </c>
      <c r="I1819" s="2" t="s">
        <v>35</v>
      </c>
      <c r="J1819" s="2" t="s">
        <v>30</v>
      </c>
      <c r="K1819" s="2" t="s">
        <v>17</v>
      </c>
      <c r="L1819" s="7">
        <f>Table3[[#This Row],[Revenue]]-Table3[[#This Row],[Ad Spend]]</f>
        <v>309.90000000000003</v>
      </c>
      <c r="M1819" s="11">
        <v>117.5</v>
      </c>
    </row>
    <row r="1820" spans="1:13" ht="15.75" customHeight="1" x14ac:dyDescent="0.3">
      <c r="A1820" s="4" t="s">
        <v>293</v>
      </c>
      <c r="B1820">
        <f t="shared" si="28"/>
        <v>11</v>
      </c>
      <c r="C1820" s="2" t="s">
        <v>63</v>
      </c>
      <c r="D1820" s="2" t="s">
        <v>114</v>
      </c>
      <c r="E1820" s="7">
        <v>71.37</v>
      </c>
      <c r="F1820" s="2">
        <v>4</v>
      </c>
      <c r="G1820" s="7">
        <v>287.83</v>
      </c>
      <c r="H1820" s="2" t="s">
        <v>21</v>
      </c>
      <c r="I1820" s="2" t="s">
        <v>29</v>
      </c>
      <c r="J1820" s="2" t="s">
        <v>53</v>
      </c>
      <c r="K1820" s="2" t="s">
        <v>17</v>
      </c>
      <c r="L1820" s="7">
        <f>Table3[[#This Row],[Revenue]]-Table3[[#This Row],[Ad Spend]]</f>
        <v>216.45999999999998</v>
      </c>
      <c r="M1820" s="11">
        <v>167.82</v>
      </c>
    </row>
    <row r="1821" spans="1:13" ht="15.75" customHeight="1" x14ac:dyDescent="0.3">
      <c r="A1821" s="4" t="s">
        <v>433</v>
      </c>
      <c r="B1821">
        <f t="shared" si="28"/>
        <v>1</v>
      </c>
      <c r="C1821" s="2" t="s">
        <v>19</v>
      </c>
      <c r="D1821" s="2" t="s">
        <v>943</v>
      </c>
      <c r="E1821" s="7">
        <v>97.09</v>
      </c>
      <c r="F1821" s="2">
        <v>10</v>
      </c>
      <c r="G1821" s="7">
        <v>316.64</v>
      </c>
      <c r="H1821" s="2" t="s">
        <v>1362</v>
      </c>
      <c r="I1821" s="2" t="s">
        <v>29</v>
      </c>
      <c r="J1821" s="2" t="s">
        <v>30</v>
      </c>
      <c r="K1821" s="2" t="s">
        <v>17</v>
      </c>
      <c r="L1821" s="7">
        <f>Table3[[#This Row],[Revenue]]-Table3[[#This Row],[Ad Spend]]</f>
        <v>219.54999999999998</v>
      </c>
      <c r="M1821" s="11">
        <v>148.03</v>
      </c>
    </row>
    <row r="1822" spans="1:13" ht="15.75" customHeight="1" x14ac:dyDescent="0.3">
      <c r="A1822" s="4" t="s">
        <v>162</v>
      </c>
      <c r="B1822">
        <f t="shared" si="28"/>
        <v>4</v>
      </c>
      <c r="C1822" s="2" t="s">
        <v>32</v>
      </c>
      <c r="D1822" s="2" t="s">
        <v>111</v>
      </c>
      <c r="E1822" s="7">
        <v>39.979999999999997</v>
      </c>
      <c r="F1822" s="2">
        <v>10</v>
      </c>
      <c r="G1822" s="7">
        <v>52.99</v>
      </c>
      <c r="H1822" s="2" t="s">
        <v>225</v>
      </c>
      <c r="I1822" s="2" t="s">
        <v>29</v>
      </c>
      <c r="J1822" s="2" t="s">
        <v>30</v>
      </c>
      <c r="K1822" s="2" t="s">
        <v>17</v>
      </c>
      <c r="L1822" s="7">
        <f>Table3[[#This Row],[Revenue]]-Table3[[#This Row],[Ad Spend]]</f>
        <v>13.010000000000005</v>
      </c>
      <c r="M1822" s="11">
        <v>121.32</v>
      </c>
    </row>
    <row r="1823" spans="1:13" ht="15.75" customHeight="1" x14ac:dyDescent="0.3">
      <c r="A1823" s="4" t="s">
        <v>515</v>
      </c>
      <c r="B1823">
        <f t="shared" si="28"/>
        <v>3</v>
      </c>
      <c r="C1823" s="2" t="s">
        <v>32</v>
      </c>
      <c r="D1823" s="2" t="s">
        <v>1462</v>
      </c>
      <c r="E1823" s="7">
        <v>72.010000000000005</v>
      </c>
      <c r="F1823" s="2">
        <v>4</v>
      </c>
      <c r="G1823" s="7">
        <v>371.76</v>
      </c>
      <c r="H1823" s="2" t="s">
        <v>1463</v>
      </c>
      <c r="I1823" s="2" t="s">
        <v>29</v>
      </c>
      <c r="J1823" s="2" t="s">
        <v>87</v>
      </c>
      <c r="K1823" s="2" t="s">
        <v>17</v>
      </c>
      <c r="L1823" s="7">
        <f>Table3[[#This Row],[Revenue]]-Table3[[#This Row],[Ad Spend]]</f>
        <v>299.75</v>
      </c>
      <c r="M1823" s="11">
        <v>175.4</v>
      </c>
    </row>
    <row r="1824" spans="1:13" ht="15.75" customHeight="1" x14ac:dyDescent="0.3">
      <c r="A1824" s="4" t="s">
        <v>50</v>
      </c>
      <c r="B1824">
        <f t="shared" si="28"/>
        <v>12</v>
      </c>
      <c r="C1824" s="2" t="s">
        <v>32</v>
      </c>
      <c r="D1824" s="2" t="s">
        <v>977</v>
      </c>
      <c r="E1824" s="7">
        <v>99.56</v>
      </c>
      <c r="F1824" s="2">
        <v>0</v>
      </c>
      <c r="G1824" s="7">
        <v>491.27</v>
      </c>
      <c r="H1824" s="2" t="s">
        <v>1357</v>
      </c>
      <c r="I1824" s="2" t="s">
        <v>29</v>
      </c>
      <c r="J1824" s="2" t="s">
        <v>30</v>
      </c>
      <c r="K1824" s="2" t="s">
        <v>46</v>
      </c>
      <c r="L1824" s="7">
        <f>Table3[[#This Row],[Revenue]]-Table3[[#This Row],[Ad Spend]]</f>
        <v>391.71</v>
      </c>
      <c r="M1824" s="11">
        <v>137.29</v>
      </c>
    </row>
    <row r="1825" spans="1:13" ht="15.75" customHeight="1" x14ac:dyDescent="0.3">
      <c r="A1825" s="4" t="s">
        <v>47</v>
      </c>
      <c r="B1825">
        <f t="shared" si="28"/>
        <v>12</v>
      </c>
      <c r="C1825" s="2" t="s">
        <v>63</v>
      </c>
      <c r="D1825" s="2" t="s">
        <v>609</v>
      </c>
      <c r="E1825" s="7">
        <v>12.11</v>
      </c>
      <c r="F1825" s="2">
        <v>3</v>
      </c>
      <c r="G1825" s="7">
        <v>308</v>
      </c>
      <c r="H1825" s="2" t="s">
        <v>374</v>
      </c>
      <c r="I1825" s="2" t="s">
        <v>15</v>
      </c>
      <c r="J1825" s="2" t="s">
        <v>87</v>
      </c>
      <c r="K1825" s="2" t="s">
        <v>17</v>
      </c>
      <c r="L1825" s="7">
        <f>Table3[[#This Row],[Revenue]]-Table3[[#This Row],[Ad Spend]]</f>
        <v>295.89</v>
      </c>
      <c r="M1825" s="11">
        <v>122.71</v>
      </c>
    </row>
    <row r="1826" spans="1:13" ht="15.75" customHeight="1" x14ac:dyDescent="0.3">
      <c r="A1826" s="4" t="s">
        <v>459</v>
      </c>
      <c r="B1826">
        <f t="shared" si="28"/>
        <v>4</v>
      </c>
      <c r="C1826" s="2" t="s">
        <v>19</v>
      </c>
      <c r="D1826" s="2" t="s">
        <v>1299</v>
      </c>
      <c r="E1826" s="7">
        <v>111.07</v>
      </c>
      <c r="F1826" s="2">
        <v>3</v>
      </c>
      <c r="G1826" s="7">
        <v>188.54</v>
      </c>
      <c r="H1826" s="2" t="s">
        <v>180</v>
      </c>
      <c r="I1826" s="2" t="s">
        <v>35</v>
      </c>
      <c r="J1826" s="2" t="s">
        <v>25</v>
      </c>
      <c r="K1826" s="2" t="s">
        <v>17</v>
      </c>
      <c r="L1826" s="7">
        <f>Table3[[#This Row],[Revenue]]-Table3[[#This Row],[Ad Spend]]</f>
        <v>77.47</v>
      </c>
      <c r="M1826" s="11">
        <v>132.99</v>
      </c>
    </row>
    <row r="1827" spans="1:13" ht="15.75" customHeight="1" x14ac:dyDescent="0.3">
      <c r="A1827" s="4" t="s">
        <v>97</v>
      </c>
      <c r="B1827">
        <f t="shared" si="28"/>
        <v>12</v>
      </c>
      <c r="C1827" s="2" t="s">
        <v>19</v>
      </c>
      <c r="D1827" s="2" t="s">
        <v>1115</v>
      </c>
      <c r="E1827" s="7">
        <v>94.33</v>
      </c>
      <c r="F1827" s="2">
        <v>7</v>
      </c>
      <c r="G1827" s="7">
        <v>138.04</v>
      </c>
      <c r="H1827" s="2" t="s">
        <v>104</v>
      </c>
      <c r="I1827" s="2" t="s">
        <v>29</v>
      </c>
      <c r="J1827" s="2" t="s">
        <v>30</v>
      </c>
      <c r="K1827" s="2" t="s">
        <v>17</v>
      </c>
      <c r="L1827" s="7">
        <f>Table3[[#This Row],[Revenue]]-Table3[[#This Row],[Ad Spend]]</f>
        <v>43.709999999999994</v>
      </c>
      <c r="M1827" s="11">
        <v>116.87</v>
      </c>
    </row>
    <row r="1828" spans="1:13" ht="15.75" customHeight="1" x14ac:dyDescent="0.3">
      <c r="A1828" s="4" t="s">
        <v>387</v>
      </c>
      <c r="B1828">
        <f t="shared" si="28"/>
        <v>2</v>
      </c>
      <c r="C1828" s="2" t="s">
        <v>12</v>
      </c>
      <c r="D1828" s="2" t="s">
        <v>416</v>
      </c>
      <c r="E1828" s="7">
        <v>89.52</v>
      </c>
      <c r="F1828" s="2">
        <v>9</v>
      </c>
      <c r="G1828" s="7">
        <v>223.14</v>
      </c>
      <c r="H1828" s="2" t="s">
        <v>52</v>
      </c>
      <c r="I1828" s="2" t="s">
        <v>35</v>
      </c>
      <c r="J1828" s="2" t="s">
        <v>25</v>
      </c>
      <c r="K1828" s="2" t="s">
        <v>17</v>
      </c>
      <c r="L1828" s="7">
        <f>Table3[[#This Row],[Revenue]]-Table3[[#This Row],[Ad Spend]]</f>
        <v>133.62</v>
      </c>
      <c r="M1828" s="11">
        <v>122.3</v>
      </c>
    </row>
    <row r="1829" spans="1:13" ht="15.75" customHeight="1" x14ac:dyDescent="0.3">
      <c r="A1829" s="4" t="s">
        <v>448</v>
      </c>
      <c r="B1829">
        <f t="shared" si="28"/>
        <v>12</v>
      </c>
      <c r="C1829" s="2" t="s">
        <v>63</v>
      </c>
      <c r="D1829" s="2" t="s">
        <v>281</v>
      </c>
      <c r="E1829" s="7">
        <v>62.4</v>
      </c>
      <c r="F1829" s="2">
        <v>4</v>
      </c>
      <c r="G1829" s="7">
        <v>248.19</v>
      </c>
      <c r="H1829" s="2" t="s">
        <v>960</v>
      </c>
      <c r="I1829" s="2" t="s">
        <v>29</v>
      </c>
      <c r="J1829" s="2" t="s">
        <v>25</v>
      </c>
      <c r="K1829" s="2" t="s">
        <v>17</v>
      </c>
      <c r="L1829" s="7">
        <f>Table3[[#This Row],[Revenue]]-Table3[[#This Row],[Ad Spend]]</f>
        <v>185.79</v>
      </c>
      <c r="M1829" s="11">
        <v>117.14</v>
      </c>
    </row>
    <row r="1830" spans="1:13" ht="15.75" customHeight="1" x14ac:dyDescent="0.3">
      <c r="A1830" s="4" t="s">
        <v>579</v>
      </c>
      <c r="B1830">
        <f t="shared" si="28"/>
        <v>1</v>
      </c>
      <c r="C1830" s="2" t="s">
        <v>12</v>
      </c>
      <c r="D1830" s="2" t="s">
        <v>1464</v>
      </c>
      <c r="E1830" s="7">
        <v>36.520000000000003</v>
      </c>
      <c r="F1830" s="2">
        <v>6</v>
      </c>
      <c r="G1830" s="7">
        <v>249.16</v>
      </c>
      <c r="H1830" s="2" t="s">
        <v>240</v>
      </c>
      <c r="I1830" s="2" t="s">
        <v>29</v>
      </c>
      <c r="J1830" s="2" t="s">
        <v>36</v>
      </c>
      <c r="K1830" s="2" t="s">
        <v>17</v>
      </c>
      <c r="L1830" s="7">
        <f>Table3[[#This Row],[Revenue]]-Table3[[#This Row],[Ad Spend]]</f>
        <v>212.64</v>
      </c>
      <c r="M1830" s="11">
        <v>148.66999999999999</v>
      </c>
    </row>
    <row r="1831" spans="1:13" ht="15.75" customHeight="1" x14ac:dyDescent="0.3">
      <c r="A1831" s="4" t="s">
        <v>522</v>
      </c>
      <c r="B1831">
        <f t="shared" si="28"/>
        <v>1</v>
      </c>
      <c r="C1831" s="2" t="s">
        <v>63</v>
      </c>
      <c r="D1831" s="2" t="s">
        <v>426</v>
      </c>
      <c r="E1831" s="7">
        <v>145.11000000000001</v>
      </c>
      <c r="F1831" s="2">
        <v>7</v>
      </c>
      <c r="G1831" s="7">
        <v>404.39</v>
      </c>
      <c r="H1831" s="2" t="s">
        <v>78</v>
      </c>
      <c r="I1831" s="2" t="s">
        <v>35</v>
      </c>
      <c r="J1831" s="2" t="s">
        <v>30</v>
      </c>
      <c r="K1831" s="2" t="s">
        <v>17</v>
      </c>
      <c r="L1831" s="7">
        <f>Table3[[#This Row],[Revenue]]-Table3[[#This Row],[Ad Spend]]</f>
        <v>259.27999999999997</v>
      </c>
      <c r="M1831" s="11">
        <v>156.82</v>
      </c>
    </row>
    <row r="1832" spans="1:13" ht="15.75" customHeight="1" x14ac:dyDescent="0.3">
      <c r="A1832" s="4" t="s">
        <v>304</v>
      </c>
      <c r="B1832">
        <f t="shared" si="28"/>
        <v>12</v>
      </c>
      <c r="C1832" s="2" t="s">
        <v>32</v>
      </c>
      <c r="D1832" s="2" t="s">
        <v>259</v>
      </c>
      <c r="E1832" s="7">
        <v>122.65</v>
      </c>
      <c r="F1832" s="2">
        <v>6</v>
      </c>
      <c r="G1832" s="7">
        <v>340.73</v>
      </c>
      <c r="H1832" s="2" t="s">
        <v>225</v>
      </c>
      <c r="I1832" s="2" t="s">
        <v>15</v>
      </c>
      <c r="J1832" s="2" t="s">
        <v>16</v>
      </c>
      <c r="K1832" s="2" t="s">
        <v>17</v>
      </c>
      <c r="L1832" s="7">
        <f>Table3[[#This Row],[Revenue]]-Table3[[#This Row],[Ad Spend]]</f>
        <v>218.08</v>
      </c>
      <c r="M1832" s="11">
        <v>116.68</v>
      </c>
    </row>
    <row r="1833" spans="1:13" ht="15.75" customHeight="1" x14ac:dyDescent="0.3">
      <c r="A1833" s="4" t="s">
        <v>169</v>
      </c>
      <c r="B1833">
        <f t="shared" si="28"/>
        <v>2</v>
      </c>
      <c r="C1833" s="2" t="s">
        <v>12</v>
      </c>
      <c r="D1833" s="2" t="s">
        <v>817</v>
      </c>
      <c r="E1833" s="7">
        <v>16.16</v>
      </c>
      <c r="F1833" s="2">
        <v>3</v>
      </c>
      <c r="G1833" s="7">
        <v>326.02</v>
      </c>
      <c r="H1833" s="2" t="s">
        <v>567</v>
      </c>
      <c r="I1833" s="2" t="s">
        <v>29</v>
      </c>
      <c r="J1833" s="2" t="s">
        <v>25</v>
      </c>
      <c r="K1833" s="2" t="s">
        <v>17</v>
      </c>
      <c r="L1833" s="7">
        <f>Table3[[#This Row],[Revenue]]-Table3[[#This Row],[Ad Spend]]</f>
        <v>309.85999999999996</v>
      </c>
      <c r="M1833" s="11">
        <v>127.05</v>
      </c>
    </row>
    <row r="1834" spans="1:13" ht="15.75" customHeight="1" x14ac:dyDescent="0.3">
      <c r="A1834" s="4" t="s">
        <v>511</v>
      </c>
      <c r="B1834">
        <f t="shared" si="28"/>
        <v>12</v>
      </c>
      <c r="C1834" s="2" t="s">
        <v>19</v>
      </c>
      <c r="D1834" s="2" t="s">
        <v>964</v>
      </c>
      <c r="E1834" s="7">
        <v>94.35</v>
      </c>
      <c r="F1834" s="2">
        <v>7</v>
      </c>
      <c r="G1834" s="7">
        <v>226.2</v>
      </c>
      <c r="H1834" s="2" t="s">
        <v>1139</v>
      </c>
      <c r="I1834" s="2" t="s">
        <v>29</v>
      </c>
      <c r="J1834" s="2" t="s">
        <v>30</v>
      </c>
      <c r="K1834" s="2" t="s">
        <v>17</v>
      </c>
      <c r="L1834" s="7">
        <f>Table3[[#This Row],[Revenue]]-Table3[[#This Row],[Ad Spend]]</f>
        <v>131.85</v>
      </c>
      <c r="M1834" s="11">
        <v>161.74</v>
      </c>
    </row>
    <row r="1835" spans="1:13" ht="15.75" customHeight="1" x14ac:dyDescent="0.3">
      <c r="A1835" s="4" t="s">
        <v>338</v>
      </c>
      <c r="B1835">
        <f t="shared" si="28"/>
        <v>4</v>
      </c>
      <c r="C1835" s="2" t="s">
        <v>12</v>
      </c>
      <c r="D1835" s="2" t="s">
        <v>1465</v>
      </c>
      <c r="E1835" s="7">
        <v>125.01</v>
      </c>
      <c r="F1835" s="2">
        <v>5</v>
      </c>
      <c r="G1835" s="7">
        <v>356.76</v>
      </c>
      <c r="H1835" s="2" t="s">
        <v>14</v>
      </c>
      <c r="I1835" s="2" t="s">
        <v>15</v>
      </c>
      <c r="J1835" s="2" t="s">
        <v>25</v>
      </c>
      <c r="K1835" s="2" t="s">
        <v>17</v>
      </c>
      <c r="L1835" s="7">
        <f>Table3[[#This Row],[Revenue]]-Table3[[#This Row],[Ad Spend]]</f>
        <v>231.75</v>
      </c>
      <c r="M1835" s="11">
        <v>112.12</v>
      </c>
    </row>
    <row r="1836" spans="1:13" ht="15.75" customHeight="1" x14ac:dyDescent="0.3">
      <c r="A1836" s="4" t="s">
        <v>31</v>
      </c>
      <c r="B1836">
        <f t="shared" si="28"/>
        <v>1</v>
      </c>
      <c r="C1836" s="2" t="s">
        <v>32</v>
      </c>
      <c r="D1836" s="2" t="s">
        <v>1292</v>
      </c>
      <c r="E1836" s="7">
        <v>57.42</v>
      </c>
      <c r="F1836" s="2">
        <v>3</v>
      </c>
      <c r="G1836" s="7">
        <v>422.38</v>
      </c>
      <c r="H1836" s="2" t="s">
        <v>884</v>
      </c>
      <c r="I1836" s="2" t="s">
        <v>35</v>
      </c>
      <c r="J1836" s="2" t="s">
        <v>30</v>
      </c>
      <c r="K1836" s="2" t="s">
        <v>17</v>
      </c>
      <c r="L1836" s="7">
        <f>Table3[[#This Row],[Revenue]]-Table3[[#This Row],[Ad Spend]]</f>
        <v>364.96</v>
      </c>
      <c r="M1836" s="11">
        <v>193.33</v>
      </c>
    </row>
    <row r="1837" spans="1:13" ht="15.75" customHeight="1" x14ac:dyDescent="0.3">
      <c r="A1837" s="4" t="s">
        <v>515</v>
      </c>
      <c r="B1837">
        <f t="shared" si="28"/>
        <v>3</v>
      </c>
      <c r="C1837" s="2" t="s">
        <v>12</v>
      </c>
      <c r="D1837" s="2" t="s">
        <v>651</v>
      </c>
      <c r="E1837" s="7">
        <v>58.33</v>
      </c>
      <c r="F1837" s="2">
        <v>2</v>
      </c>
      <c r="G1837" s="7">
        <v>112.98</v>
      </c>
      <c r="H1837" s="2" t="s">
        <v>933</v>
      </c>
      <c r="I1837" s="2" t="s">
        <v>15</v>
      </c>
      <c r="J1837" s="2" t="s">
        <v>30</v>
      </c>
      <c r="K1837" s="2" t="s">
        <v>17</v>
      </c>
      <c r="L1837" s="7">
        <f>Table3[[#This Row],[Revenue]]-Table3[[#This Row],[Ad Spend]]</f>
        <v>54.650000000000006</v>
      </c>
      <c r="M1837" s="11">
        <v>108</v>
      </c>
    </row>
    <row r="1838" spans="1:13" ht="15.75" customHeight="1" x14ac:dyDescent="0.3">
      <c r="A1838" s="4" t="s">
        <v>836</v>
      </c>
      <c r="B1838">
        <f t="shared" si="28"/>
        <v>11</v>
      </c>
      <c r="C1838" s="2" t="s">
        <v>12</v>
      </c>
      <c r="D1838" s="2" t="s">
        <v>1383</v>
      </c>
      <c r="E1838" s="7">
        <v>32.909999999999997</v>
      </c>
      <c r="F1838" s="2">
        <v>10</v>
      </c>
      <c r="G1838" s="7">
        <v>211.33</v>
      </c>
      <c r="H1838" s="2" t="s">
        <v>1466</v>
      </c>
      <c r="I1838" s="2" t="s">
        <v>15</v>
      </c>
      <c r="J1838" s="2" t="s">
        <v>53</v>
      </c>
      <c r="K1838" s="2" t="s">
        <v>17</v>
      </c>
      <c r="L1838" s="7">
        <f>Table3[[#This Row],[Revenue]]-Table3[[#This Row],[Ad Spend]]</f>
        <v>178.42000000000002</v>
      </c>
      <c r="M1838" s="11">
        <v>107.01</v>
      </c>
    </row>
    <row r="1839" spans="1:13" ht="15.75" customHeight="1" x14ac:dyDescent="0.3">
      <c r="A1839" s="4" t="s">
        <v>340</v>
      </c>
      <c r="B1839">
        <f t="shared" si="28"/>
        <v>11</v>
      </c>
      <c r="C1839" s="2" t="s">
        <v>32</v>
      </c>
      <c r="D1839" s="2" t="s">
        <v>1467</v>
      </c>
      <c r="E1839" s="7">
        <v>65.08</v>
      </c>
      <c r="F1839" s="2">
        <v>4</v>
      </c>
      <c r="G1839" s="7">
        <v>454.54</v>
      </c>
      <c r="H1839" s="2" t="s">
        <v>93</v>
      </c>
      <c r="I1839" s="2" t="s">
        <v>29</v>
      </c>
      <c r="J1839" s="2" t="s">
        <v>25</v>
      </c>
      <c r="K1839" s="2" t="s">
        <v>17</v>
      </c>
      <c r="L1839" s="7">
        <f>Table3[[#This Row],[Revenue]]-Table3[[#This Row],[Ad Spend]]</f>
        <v>389.46000000000004</v>
      </c>
      <c r="M1839" s="11">
        <v>169.44</v>
      </c>
    </row>
    <row r="1840" spans="1:13" ht="15.75" customHeight="1" x14ac:dyDescent="0.3">
      <c r="A1840" s="4" t="s">
        <v>562</v>
      </c>
      <c r="B1840">
        <f t="shared" si="28"/>
        <v>2</v>
      </c>
      <c r="C1840" s="2" t="s">
        <v>19</v>
      </c>
      <c r="D1840" s="2" t="s">
        <v>697</v>
      </c>
      <c r="E1840" s="7">
        <v>135.88999999999999</v>
      </c>
      <c r="F1840" s="2">
        <v>4</v>
      </c>
      <c r="G1840" s="7">
        <v>60.96</v>
      </c>
      <c r="H1840" s="2" t="s">
        <v>529</v>
      </c>
      <c r="I1840" s="2" t="s">
        <v>29</v>
      </c>
      <c r="J1840" s="2" t="s">
        <v>25</v>
      </c>
      <c r="K1840" s="2" t="s">
        <v>17</v>
      </c>
      <c r="L1840" s="7">
        <f>Table3[[#This Row],[Revenue]]-Table3[[#This Row],[Ad Spend]]</f>
        <v>-74.929999999999978</v>
      </c>
      <c r="M1840" s="11">
        <v>143.11000000000001</v>
      </c>
    </row>
    <row r="1841" spans="1:13" ht="15.75" customHeight="1" x14ac:dyDescent="0.3">
      <c r="A1841" s="4" t="s">
        <v>216</v>
      </c>
      <c r="B1841">
        <f t="shared" si="28"/>
        <v>2</v>
      </c>
      <c r="C1841" s="2" t="s">
        <v>32</v>
      </c>
      <c r="D1841" s="2" t="s">
        <v>1042</v>
      </c>
      <c r="E1841" s="7">
        <v>17.12</v>
      </c>
      <c r="F1841" s="2">
        <v>9</v>
      </c>
      <c r="G1841" s="7">
        <v>86.32</v>
      </c>
      <c r="H1841" s="2" t="s">
        <v>158</v>
      </c>
      <c r="I1841" s="2" t="s">
        <v>15</v>
      </c>
      <c r="J1841" s="2" t="s">
        <v>16</v>
      </c>
      <c r="K1841" s="2" t="s">
        <v>17</v>
      </c>
      <c r="L1841" s="7">
        <f>Table3[[#This Row],[Revenue]]-Table3[[#This Row],[Ad Spend]]</f>
        <v>69.199999999999989</v>
      </c>
      <c r="M1841" s="11">
        <v>122.36</v>
      </c>
    </row>
    <row r="1842" spans="1:13" ht="15.75" customHeight="1" x14ac:dyDescent="0.3">
      <c r="A1842" s="4" t="s">
        <v>914</v>
      </c>
      <c r="B1842">
        <f t="shared" si="28"/>
        <v>11</v>
      </c>
      <c r="C1842" s="2" t="s">
        <v>12</v>
      </c>
      <c r="D1842" s="2" t="s">
        <v>1468</v>
      </c>
      <c r="E1842" s="7">
        <v>42.1</v>
      </c>
      <c r="F1842" s="2">
        <v>6</v>
      </c>
      <c r="G1842" s="7">
        <v>497.59</v>
      </c>
      <c r="H1842" s="2" t="s">
        <v>1469</v>
      </c>
      <c r="I1842" s="2" t="s">
        <v>15</v>
      </c>
      <c r="J1842" s="2" t="s">
        <v>53</v>
      </c>
      <c r="K1842" s="2" t="s">
        <v>17</v>
      </c>
      <c r="L1842" s="7">
        <f>Table3[[#This Row],[Revenue]]-Table3[[#This Row],[Ad Spend]]</f>
        <v>455.48999999999995</v>
      </c>
      <c r="M1842" s="11">
        <v>221.69</v>
      </c>
    </row>
    <row r="1843" spans="1:13" ht="15.75" customHeight="1" x14ac:dyDescent="0.3">
      <c r="A1843" s="4" t="s">
        <v>226</v>
      </c>
      <c r="B1843">
        <f t="shared" si="28"/>
        <v>2</v>
      </c>
      <c r="C1843" s="2" t="s">
        <v>19</v>
      </c>
      <c r="D1843" s="2" t="s">
        <v>1470</v>
      </c>
      <c r="E1843" s="7">
        <v>138.41</v>
      </c>
      <c r="F1843" s="2">
        <v>3</v>
      </c>
      <c r="G1843" s="7">
        <v>319.73</v>
      </c>
      <c r="H1843" s="2" t="s">
        <v>1178</v>
      </c>
      <c r="I1843" s="2" t="s">
        <v>15</v>
      </c>
      <c r="J1843" s="2" t="s">
        <v>30</v>
      </c>
      <c r="K1843" s="2" t="s">
        <v>17</v>
      </c>
      <c r="L1843" s="7">
        <f>Table3[[#This Row],[Revenue]]-Table3[[#This Row],[Ad Spend]]</f>
        <v>181.32000000000002</v>
      </c>
      <c r="M1843" s="11">
        <v>98.64</v>
      </c>
    </row>
    <row r="1844" spans="1:13" ht="15.75" customHeight="1" x14ac:dyDescent="0.3">
      <c r="A1844" s="4" t="s">
        <v>574</v>
      </c>
      <c r="B1844">
        <f t="shared" si="28"/>
        <v>1</v>
      </c>
      <c r="C1844" s="2" t="s">
        <v>19</v>
      </c>
      <c r="D1844" s="2" t="s">
        <v>1246</v>
      </c>
      <c r="E1844" s="7">
        <v>126.03</v>
      </c>
      <c r="F1844" s="2">
        <v>1</v>
      </c>
      <c r="G1844" s="7">
        <v>177.73</v>
      </c>
      <c r="H1844" s="2" t="s">
        <v>147</v>
      </c>
      <c r="I1844" s="2" t="s">
        <v>15</v>
      </c>
      <c r="J1844" s="2" t="s">
        <v>30</v>
      </c>
      <c r="K1844" s="2" t="s">
        <v>17</v>
      </c>
      <c r="L1844" s="7">
        <f>Table3[[#This Row],[Revenue]]-Table3[[#This Row],[Ad Spend]]</f>
        <v>51.699999999999989</v>
      </c>
      <c r="M1844" s="11">
        <v>138.32</v>
      </c>
    </row>
    <row r="1845" spans="1:13" ht="15.75" customHeight="1" x14ac:dyDescent="0.3">
      <c r="A1845" s="4" t="s">
        <v>478</v>
      </c>
      <c r="B1845">
        <f t="shared" si="28"/>
        <v>3</v>
      </c>
      <c r="C1845" s="2" t="s">
        <v>63</v>
      </c>
      <c r="D1845" s="2" t="s">
        <v>1244</v>
      </c>
      <c r="E1845" s="7">
        <v>57.62</v>
      </c>
      <c r="F1845" s="2">
        <v>9</v>
      </c>
      <c r="G1845" s="7">
        <v>279.23</v>
      </c>
      <c r="H1845" s="2" t="s">
        <v>289</v>
      </c>
      <c r="I1845" s="2" t="s">
        <v>29</v>
      </c>
      <c r="J1845" s="2" t="s">
        <v>87</v>
      </c>
      <c r="K1845" s="2" t="s">
        <v>17</v>
      </c>
      <c r="L1845" s="7">
        <f>Table3[[#This Row],[Revenue]]-Table3[[#This Row],[Ad Spend]]</f>
        <v>221.61</v>
      </c>
      <c r="M1845" s="11">
        <v>162.79</v>
      </c>
    </row>
    <row r="1846" spans="1:13" ht="15.75" customHeight="1" x14ac:dyDescent="0.3">
      <c r="A1846" s="4" t="s">
        <v>356</v>
      </c>
      <c r="B1846">
        <f t="shared" si="28"/>
        <v>3</v>
      </c>
      <c r="C1846" s="2" t="s">
        <v>32</v>
      </c>
      <c r="D1846" s="2" t="s">
        <v>439</v>
      </c>
      <c r="E1846" s="7">
        <v>112.29</v>
      </c>
      <c r="F1846" s="2">
        <v>8</v>
      </c>
      <c r="G1846" s="7">
        <v>153.91999999999999</v>
      </c>
      <c r="H1846" s="2" t="s">
        <v>489</v>
      </c>
      <c r="I1846" s="2" t="s">
        <v>29</v>
      </c>
      <c r="J1846" s="2" t="s">
        <v>53</v>
      </c>
      <c r="K1846" s="2" t="s">
        <v>17</v>
      </c>
      <c r="L1846" s="7">
        <f>Table3[[#This Row],[Revenue]]-Table3[[#This Row],[Ad Spend]]</f>
        <v>41.629999999999981</v>
      </c>
      <c r="M1846" s="11">
        <v>141.03</v>
      </c>
    </row>
    <row r="1847" spans="1:13" ht="15.75" customHeight="1" x14ac:dyDescent="0.3">
      <c r="A1847" s="4" t="s">
        <v>342</v>
      </c>
      <c r="B1847">
        <f t="shared" si="28"/>
        <v>3</v>
      </c>
      <c r="C1847" s="2" t="s">
        <v>12</v>
      </c>
      <c r="D1847" s="2" t="s">
        <v>307</v>
      </c>
      <c r="E1847" s="7">
        <v>120.03</v>
      </c>
      <c r="F1847" s="2">
        <v>2</v>
      </c>
      <c r="G1847" s="7">
        <v>283.76</v>
      </c>
      <c r="H1847" s="2" t="s">
        <v>744</v>
      </c>
      <c r="I1847" s="2" t="s">
        <v>15</v>
      </c>
      <c r="J1847" s="2" t="s">
        <v>25</v>
      </c>
      <c r="K1847" s="2" t="s">
        <v>17</v>
      </c>
      <c r="L1847" s="7">
        <f>Table3[[#This Row],[Revenue]]-Table3[[#This Row],[Ad Spend]]</f>
        <v>163.72999999999999</v>
      </c>
      <c r="M1847" s="11">
        <v>125.03</v>
      </c>
    </row>
    <row r="1848" spans="1:13" ht="15.75" customHeight="1" x14ac:dyDescent="0.3">
      <c r="A1848" s="4" t="s">
        <v>691</v>
      </c>
      <c r="B1848">
        <f t="shared" si="28"/>
        <v>2</v>
      </c>
      <c r="C1848" s="2" t="s">
        <v>19</v>
      </c>
      <c r="D1848" s="2" t="s">
        <v>616</v>
      </c>
      <c r="E1848" s="7">
        <v>35.590000000000003</v>
      </c>
      <c r="F1848" s="2">
        <v>2</v>
      </c>
      <c r="G1848" s="7">
        <v>273.39</v>
      </c>
      <c r="H1848" s="2" t="s">
        <v>982</v>
      </c>
      <c r="I1848" s="2" t="s">
        <v>15</v>
      </c>
      <c r="J1848" s="2" t="s">
        <v>87</v>
      </c>
      <c r="K1848" s="2" t="s">
        <v>17</v>
      </c>
      <c r="L1848" s="7">
        <f>Table3[[#This Row],[Revenue]]-Table3[[#This Row],[Ad Spend]]</f>
        <v>237.79999999999998</v>
      </c>
      <c r="M1848" s="11">
        <v>161.44999999999999</v>
      </c>
    </row>
    <row r="1849" spans="1:13" ht="15.75" customHeight="1" x14ac:dyDescent="0.3">
      <c r="A1849" s="4" t="s">
        <v>728</v>
      </c>
      <c r="B1849">
        <f t="shared" si="28"/>
        <v>4</v>
      </c>
      <c r="C1849" s="2" t="s">
        <v>12</v>
      </c>
      <c r="D1849" s="2" t="s">
        <v>1471</v>
      </c>
      <c r="E1849" s="7">
        <v>121.6</v>
      </c>
      <c r="F1849" s="2">
        <v>8</v>
      </c>
      <c r="G1849" s="7">
        <v>28.71</v>
      </c>
      <c r="H1849" s="2" t="s">
        <v>145</v>
      </c>
      <c r="I1849" s="2" t="s">
        <v>35</v>
      </c>
      <c r="J1849" s="2" t="s">
        <v>30</v>
      </c>
      <c r="K1849" s="2" t="s">
        <v>17</v>
      </c>
      <c r="L1849" s="7">
        <f>Table3[[#This Row],[Revenue]]-Table3[[#This Row],[Ad Spend]]</f>
        <v>-92.889999999999986</v>
      </c>
      <c r="M1849" s="11">
        <v>101.62</v>
      </c>
    </row>
    <row r="1850" spans="1:13" ht="15.75" customHeight="1" x14ac:dyDescent="0.3">
      <c r="A1850" s="4" t="s">
        <v>766</v>
      </c>
      <c r="B1850">
        <f t="shared" si="28"/>
        <v>4</v>
      </c>
      <c r="C1850" s="2" t="s">
        <v>19</v>
      </c>
      <c r="D1850" s="2" t="s">
        <v>1143</v>
      </c>
      <c r="E1850" s="7">
        <v>5.88</v>
      </c>
      <c r="F1850" s="2">
        <v>0</v>
      </c>
      <c r="G1850" s="7">
        <v>359.68</v>
      </c>
      <c r="H1850" s="2" t="s">
        <v>14</v>
      </c>
      <c r="I1850" s="2" t="s">
        <v>35</v>
      </c>
      <c r="J1850" s="2" t="s">
        <v>25</v>
      </c>
      <c r="K1850" s="2" t="s">
        <v>46</v>
      </c>
      <c r="L1850" s="7">
        <f>Table3[[#This Row],[Revenue]]-Table3[[#This Row],[Ad Spend]]</f>
        <v>353.8</v>
      </c>
      <c r="M1850" s="11">
        <v>115.65</v>
      </c>
    </row>
    <row r="1851" spans="1:13" ht="15.75" customHeight="1" x14ac:dyDescent="0.3">
      <c r="A1851" s="4" t="s">
        <v>261</v>
      </c>
      <c r="B1851">
        <f t="shared" si="28"/>
        <v>10</v>
      </c>
      <c r="C1851" s="2" t="s">
        <v>12</v>
      </c>
      <c r="D1851" s="2" t="s">
        <v>95</v>
      </c>
      <c r="E1851" s="7">
        <v>30.75</v>
      </c>
      <c r="F1851" s="2">
        <v>8</v>
      </c>
      <c r="G1851" s="7">
        <v>362.48</v>
      </c>
      <c r="H1851" s="2" t="s">
        <v>279</v>
      </c>
      <c r="I1851" s="2" t="s">
        <v>35</v>
      </c>
      <c r="J1851" s="2" t="s">
        <v>36</v>
      </c>
      <c r="K1851" s="2" t="s">
        <v>17</v>
      </c>
      <c r="L1851" s="7">
        <f>Table3[[#This Row],[Revenue]]-Table3[[#This Row],[Ad Spend]]</f>
        <v>331.73</v>
      </c>
      <c r="M1851" s="11">
        <v>131.88</v>
      </c>
    </row>
    <row r="1852" spans="1:13" ht="15.75" customHeight="1" x14ac:dyDescent="0.3">
      <c r="A1852" s="4" t="s">
        <v>31</v>
      </c>
      <c r="B1852">
        <f t="shared" si="28"/>
        <v>1</v>
      </c>
      <c r="C1852" s="2" t="s">
        <v>32</v>
      </c>
      <c r="D1852" s="2" t="s">
        <v>925</v>
      </c>
      <c r="E1852" s="7">
        <v>99.06</v>
      </c>
      <c r="F1852" s="2">
        <v>7</v>
      </c>
      <c r="G1852" s="7">
        <v>360.12</v>
      </c>
      <c r="H1852" s="2" t="s">
        <v>1472</v>
      </c>
      <c r="I1852" s="2" t="s">
        <v>29</v>
      </c>
      <c r="J1852" s="2" t="s">
        <v>30</v>
      </c>
      <c r="K1852" s="2" t="s">
        <v>17</v>
      </c>
      <c r="L1852" s="7">
        <f>Table3[[#This Row],[Revenue]]-Table3[[#This Row],[Ad Spend]]</f>
        <v>261.06</v>
      </c>
      <c r="M1852" s="11">
        <v>170.64</v>
      </c>
    </row>
    <row r="1853" spans="1:13" ht="15.75" customHeight="1" x14ac:dyDescent="0.3">
      <c r="A1853" s="4" t="s">
        <v>519</v>
      </c>
      <c r="B1853">
        <f t="shared" si="28"/>
        <v>4</v>
      </c>
      <c r="C1853" s="2" t="s">
        <v>12</v>
      </c>
      <c r="D1853" s="2" t="s">
        <v>460</v>
      </c>
      <c r="E1853" s="7">
        <v>59.43</v>
      </c>
      <c r="F1853" s="2">
        <v>6</v>
      </c>
      <c r="G1853" s="7">
        <v>347.54</v>
      </c>
      <c r="H1853" s="2" t="s">
        <v>803</v>
      </c>
      <c r="I1853" s="2" t="s">
        <v>15</v>
      </c>
      <c r="J1853" s="2" t="s">
        <v>16</v>
      </c>
      <c r="K1853" s="2" t="s">
        <v>17</v>
      </c>
      <c r="L1853" s="7">
        <f>Table3[[#This Row],[Revenue]]-Table3[[#This Row],[Ad Spend]]</f>
        <v>288.11</v>
      </c>
      <c r="M1853" s="11">
        <v>96.21</v>
      </c>
    </row>
    <row r="1854" spans="1:13" ht="15.75" customHeight="1" x14ac:dyDescent="0.3">
      <c r="A1854" s="4" t="s">
        <v>415</v>
      </c>
      <c r="B1854">
        <f t="shared" si="28"/>
        <v>4</v>
      </c>
      <c r="C1854" s="2" t="s">
        <v>32</v>
      </c>
      <c r="D1854" s="2" t="s">
        <v>272</v>
      </c>
      <c r="E1854" s="7">
        <v>11.14</v>
      </c>
      <c r="F1854" s="2">
        <v>0</v>
      </c>
      <c r="G1854" s="7">
        <v>355.53</v>
      </c>
      <c r="H1854" s="2" t="s">
        <v>132</v>
      </c>
      <c r="I1854" s="2" t="s">
        <v>29</v>
      </c>
      <c r="J1854" s="2" t="s">
        <v>30</v>
      </c>
      <c r="K1854" s="2" t="s">
        <v>46</v>
      </c>
      <c r="L1854" s="7">
        <f>Table3[[#This Row],[Revenue]]-Table3[[#This Row],[Ad Spend]]</f>
        <v>344.39</v>
      </c>
      <c r="M1854" s="11">
        <v>180.26</v>
      </c>
    </row>
    <row r="1855" spans="1:13" ht="15.75" customHeight="1" x14ac:dyDescent="0.3">
      <c r="A1855" s="4" t="s">
        <v>353</v>
      </c>
      <c r="B1855">
        <f t="shared" si="28"/>
        <v>1</v>
      </c>
      <c r="C1855" s="2" t="s">
        <v>63</v>
      </c>
      <c r="D1855" s="2" t="s">
        <v>66</v>
      </c>
      <c r="E1855" s="7">
        <v>106.1</v>
      </c>
      <c r="F1855" s="2">
        <v>4</v>
      </c>
      <c r="G1855" s="7">
        <v>358.15</v>
      </c>
      <c r="H1855" s="2" t="s">
        <v>1473</v>
      </c>
      <c r="I1855" s="2" t="s">
        <v>15</v>
      </c>
      <c r="J1855" s="2" t="s">
        <v>16</v>
      </c>
      <c r="K1855" s="2" t="s">
        <v>17</v>
      </c>
      <c r="L1855" s="7">
        <f>Table3[[#This Row],[Revenue]]-Table3[[#This Row],[Ad Spend]]</f>
        <v>252.04999999999998</v>
      </c>
      <c r="M1855" s="11">
        <v>170.94</v>
      </c>
    </row>
    <row r="1856" spans="1:13" ht="15.75" customHeight="1" x14ac:dyDescent="0.3">
      <c r="A1856" s="4" t="s">
        <v>136</v>
      </c>
      <c r="B1856">
        <f t="shared" si="28"/>
        <v>2</v>
      </c>
      <c r="C1856" s="2" t="s">
        <v>32</v>
      </c>
      <c r="D1856" s="2" t="s">
        <v>686</v>
      </c>
      <c r="E1856" s="7">
        <v>71.28</v>
      </c>
      <c r="F1856" s="2">
        <v>0</v>
      </c>
      <c r="G1856" s="7">
        <v>349.86</v>
      </c>
      <c r="H1856" s="2" t="s">
        <v>1474</v>
      </c>
      <c r="I1856" s="2" t="s">
        <v>29</v>
      </c>
      <c r="J1856" s="2" t="s">
        <v>53</v>
      </c>
      <c r="K1856" s="2" t="s">
        <v>46</v>
      </c>
      <c r="L1856" s="7">
        <f>Table3[[#This Row],[Revenue]]-Table3[[#This Row],[Ad Spend]]</f>
        <v>278.58000000000004</v>
      </c>
      <c r="M1856" s="11">
        <v>157.87</v>
      </c>
    </row>
    <row r="1857" spans="1:13" ht="15.75" customHeight="1" x14ac:dyDescent="0.3">
      <c r="A1857" s="4" t="s">
        <v>287</v>
      </c>
      <c r="B1857">
        <f t="shared" si="28"/>
        <v>2</v>
      </c>
      <c r="C1857" s="2" t="s">
        <v>63</v>
      </c>
      <c r="D1857" s="2" t="s">
        <v>378</v>
      </c>
      <c r="E1857" s="7">
        <v>11.6</v>
      </c>
      <c r="F1857" s="2">
        <v>1</v>
      </c>
      <c r="G1857" s="7">
        <v>55.86</v>
      </c>
      <c r="H1857" s="2" t="s">
        <v>1186</v>
      </c>
      <c r="I1857" s="2" t="s">
        <v>15</v>
      </c>
      <c r="J1857" s="2" t="s">
        <v>16</v>
      </c>
      <c r="K1857" s="2" t="s">
        <v>17</v>
      </c>
      <c r="L1857" s="7">
        <f>Table3[[#This Row],[Revenue]]-Table3[[#This Row],[Ad Spend]]</f>
        <v>44.26</v>
      </c>
      <c r="M1857" s="11">
        <v>85.31</v>
      </c>
    </row>
    <row r="1858" spans="1:13" ht="15.75" customHeight="1" x14ac:dyDescent="0.3">
      <c r="A1858" s="4" t="s">
        <v>269</v>
      </c>
      <c r="B1858">
        <f t="shared" si="28"/>
        <v>12</v>
      </c>
      <c r="C1858" s="2" t="s">
        <v>12</v>
      </c>
      <c r="D1858" s="2" t="s">
        <v>950</v>
      </c>
      <c r="E1858" s="7">
        <v>51.19</v>
      </c>
      <c r="F1858" s="2">
        <v>4</v>
      </c>
      <c r="G1858" s="7">
        <v>400.77</v>
      </c>
      <c r="H1858" s="2" t="s">
        <v>749</v>
      </c>
      <c r="I1858" s="2" t="s">
        <v>15</v>
      </c>
      <c r="J1858" s="2" t="s">
        <v>30</v>
      </c>
      <c r="K1858" s="2" t="s">
        <v>17</v>
      </c>
      <c r="L1858" s="7">
        <f>Table3[[#This Row],[Revenue]]-Table3[[#This Row],[Ad Spend]]</f>
        <v>349.58</v>
      </c>
      <c r="M1858" s="11">
        <v>133.86000000000001</v>
      </c>
    </row>
    <row r="1859" spans="1:13" ht="15.75" customHeight="1" x14ac:dyDescent="0.3">
      <c r="A1859" s="4" t="s">
        <v>502</v>
      </c>
      <c r="B1859">
        <f t="shared" ref="B1859:B1922" si="29">MONTH(A1859)</f>
        <v>12</v>
      </c>
      <c r="C1859" s="2" t="s">
        <v>19</v>
      </c>
      <c r="D1859" s="2" t="s">
        <v>778</v>
      </c>
      <c r="E1859" s="7">
        <v>125.41</v>
      </c>
      <c r="F1859" s="2">
        <v>7</v>
      </c>
      <c r="G1859" s="7">
        <v>197.81</v>
      </c>
      <c r="H1859" s="2" t="s">
        <v>1117</v>
      </c>
      <c r="I1859" s="2" t="s">
        <v>29</v>
      </c>
      <c r="J1859" s="2" t="s">
        <v>53</v>
      </c>
      <c r="K1859" s="2" t="s">
        <v>17</v>
      </c>
      <c r="L1859" s="7">
        <f>Table3[[#This Row],[Revenue]]-Table3[[#This Row],[Ad Spend]]</f>
        <v>72.400000000000006</v>
      </c>
      <c r="M1859" s="11">
        <v>121.34</v>
      </c>
    </row>
    <row r="1860" spans="1:13" ht="15.75" customHeight="1" x14ac:dyDescent="0.3">
      <c r="A1860" s="4" t="s">
        <v>184</v>
      </c>
      <c r="B1860">
        <f t="shared" si="29"/>
        <v>3</v>
      </c>
      <c r="C1860" s="2" t="s">
        <v>19</v>
      </c>
      <c r="D1860" s="2" t="s">
        <v>934</v>
      </c>
      <c r="E1860" s="7">
        <v>42.55</v>
      </c>
      <c r="F1860" s="2">
        <v>10</v>
      </c>
      <c r="G1860" s="7">
        <v>72.540000000000006</v>
      </c>
      <c r="H1860" s="2" t="s">
        <v>781</v>
      </c>
      <c r="I1860" s="2" t="s">
        <v>15</v>
      </c>
      <c r="J1860" s="2" t="s">
        <v>53</v>
      </c>
      <c r="K1860" s="2" t="s">
        <v>17</v>
      </c>
      <c r="L1860" s="7">
        <f>Table3[[#This Row],[Revenue]]-Table3[[#This Row],[Ad Spend]]</f>
        <v>29.990000000000009</v>
      </c>
      <c r="M1860" s="11">
        <v>117.5</v>
      </c>
    </row>
    <row r="1861" spans="1:13" ht="15.75" customHeight="1" x14ac:dyDescent="0.3">
      <c r="A1861" s="4" t="s">
        <v>755</v>
      </c>
      <c r="B1861">
        <f t="shared" si="29"/>
        <v>2</v>
      </c>
      <c r="C1861" s="2" t="s">
        <v>63</v>
      </c>
      <c r="D1861" s="2" t="s">
        <v>1033</v>
      </c>
      <c r="E1861" s="7">
        <v>137.37</v>
      </c>
      <c r="F1861" s="2">
        <v>5</v>
      </c>
      <c r="G1861" s="7">
        <v>444.16</v>
      </c>
      <c r="H1861" s="2" t="s">
        <v>725</v>
      </c>
      <c r="I1861" s="2" t="s">
        <v>35</v>
      </c>
      <c r="J1861" s="2" t="s">
        <v>16</v>
      </c>
      <c r="K1861" s="2" t="s">
        <v>17</v>
      </c>
      <c r="L1861" s="7">
        <f>Table3[[#This Row],[Revenue]]-Table3[[#This Row],[Ad Spend]]</f>
        <v>306.79000000000002</v>
      </c>
      <c r="M1861" s="11">
        <v>140.38999999999999</v>
      </c>
    </row>
    <row r="1862" spans="1:13" ht="15.75" customHeight="1" x14ac:dyDescent="0.3">
      <c r="A1862" s="4" t="s">
        <v>129</v>
      </c>
      <c r="B1862">
        <f t="shared" si="29"/>
        <v>1</v>
      </c>
      <c r="C1862" s="2" t="s">
        <v>63</v>
      </c>
      <c r="D1862" s="2" t="s">
        <v>844</v>
      </c>
      <c r="E1862" s="7">
        <v>32.200000000000003</v>
      </c>
      <c r="F1862" s="2">
        <v>1</v>
      </c>
      <c r="G1862" s="7">
        <v>258.23</v>
      </c>
      <c r="H1862" s="2" t="s">
        <v>1098</v>
      </c>
      <c r="I1862" s="2" t="s">
        <v>29</v>
      </c>
      <c r="J1862" s="2" t="s">
        <v>87</v>
      </c>
      <c r="K1862" s="2" t="s">
        <v>17</v>
      </c>
      <c r="L1862" s="7">
        <f>Table3[[#This Row],[Revenue]]-Table3[[#This Row],[Ad Spend]]</f>
        <v>226.03000000000003</v>
      </c>
      <c r="M1862" s="11">
        <v>66.55</v>
      </c>
    </row>
    <row r="1863" spans="1:13" ht="15.75" customHeight="1" x14ac:dyDescent="0.3">
      <c r="A1863" s="4" t="s">
        <v>850</v>
      </c>
      <c r="B1863">
        <f t="shared" si="29"/>
        <v>11</v>
      </c>
      <c r="C1863" s="2" t="s">
        <v>32</v>
      </c>
      <c r="D1863" s="2" t="s">
        <v>63</v>
      </c>
      <c r="E1863" s="7">
        <v>115.03</v>
      </c>
      <c r="F1863" s="2">
        <v>9</v>
      </c>
      <c r="G1863" s="7">
        <v>376.93</v>
      </c>
      <c r="H1863" s="2" t="s">
        <v>625</v>
      </c>
      <c r="I1863" s="2" t="s">
        <v>35</v>
      </c>
      <c r="J1863" s="2" t="s">
        <v>87</v>
      </c>
      <c r="K1863" s="2" t="s">
        <v>17</v>
      </c>
      <c r="L1863" s="7">
        <f>Table3[[#This Row],[Revenue]]-Table3[[#This Row],[Ad Spend]]</f>
        <v>261.89999999999998</v>
      </c>
      <c r="M1863" s="11">
        <v>112.74</v>
      </c>
    </row>
    <row r="1864" spans="1:13" ht="15.75" customHeight="1" x14ac:dyDescent="0.3">
      <c r="A1864" s="4" t="s">
        <v>785</v>
      </c>
      <c r="B1864">
        <f t="shared" si="29"/>
        <v>1</v>
      </c>
      <c r="C1864" s="2" t="s">
        <v>19</v>
      </c>
      <c r="D1864" s="2" t="s">
        <v>1364</v>
      </c>
      <c r="E1864" s="7">
        <v>83.38</v>
      </c>
      <c r="F1864" s="2">
        <v>0</v>
      </c>
      <c r="G1864" s="7">
        <v>486.92</v>
      </c>
      <c r="H1864" s="2" t="s">
        <v>695</v>
      </c>
      <c r="I1864" s="2" t="s">
        <v>15</v>
      </c>
      <c r="J1864" s="2" t="s">
        <v>16</v>
      </c>
      <c r="K1864" s="2" t="s">
        <v>46</v>
      </c>
      <c r="L1864" s="7">
        <f>Table3[[#This Row],[Revenue]]-Table3[[#This Row],[Ad Spend]]</f>
        <v>403.54</v>
      </c>
      <c r="M1864" s="11">
        <v>131.69</v>
      </c>
    </row>
    <row r="1865" spans="1:13" ht="15.75" customHeight="1" x14ac:dyDescent="0.3">
      <c r="A1865" s="4" t="s">
        <v>360</v>
      </c>
      <c r="B1865">
        <f t="shared" si="29"/>
        <v>1</v>
      </c>
      <c r="C1865" s="2" t="s">
        <v>32</v>
      </c>
      <c r="D1865" s="2" t="s">
        <v>1475</v>
      </c>
      <c r="E1865" s="7">
        <v>83.51</v>
      </c>
      <c r="F1865" s="2">
        <v>7</v>
      </c>
      <c r="G1865" s="7">
        <v>499.26</v>
      </c>
      <c r="H1865" s="2" t="s">
        <v>243</v>
      </c>
      <c r="I1865" s="2" t="s">
        <v>15</v>
      </c>
      <c r="J1865" s="2" t="s">
        <v>16</v>
      </c>
      <c r="K1865" s="2" t="s">
        <v>17</v>
      </c>
      <c r="L1865" s="7">
        <f>Table3[[#This Row],[Revenue]]-Table3[[#This Row],[Ad Spend]]</f>
        <v>415.75</v>
      </c>
      <c r="M1865" s="11">
        <v>117.83</v>
      </c>
    </row>
    <row r="1866" spans="1:13" ht="15.75" customHeight="1" x14ac:dyDescent="0.3">
      <c r="A1866" s="4" t="s">
        <v>309</v>
      </c>
      <c r="B1866">
        <f t="shared" si="29"/>
        <v>4</v>
      </c>
      <c r="C1866" s="2" t="s">
        <v>12</v>
      </c>
      <c r="D1866" s="2" t="s">
        <v>1266</v>
      </c>
      <c r="E1866" s="7">
        <v>46.21</v>
      </c>
      <c r="F1866" s="2">
        <v>5</v>
      </c>
      <c r="G1866" s="7">
        <v>495.91</v>
      </c>
      <c r="H1866" s="2" t="s">
        <v>42</v>
      </c>
      <c r="I1866" s="2" t="s">
        <v>29</v>
      </c>
      <c r="J1866" s="2" t="s">
        <v>16</v>
      </c>
      <c r="K1866" s="2" t="s">
        <v>17</v>
      </c>
      <c r="L1866" s="7">
        <f>Table3[[#This Row],[Revenue]]-Table3[[#This Row],[Ad Spend]]</f>
        <v>449.70000000000005</v>
      </c>
      <c r="M1866" s="11">
        <v>112.62</v>
      </c>
    </row>
    <row r="1867" spans="1:13" ht="15.75" customHeight="1" x14ac:dyDescent="0.3">
      <c r="A1867" s="4" t="s">
        <v>387</v>
      </c>
      <c r="B1867">
        <f t="shared" si="29"/>
        <v>2</v>
      </c>
      <c r="C1867" s="2" t="s">
        <v>63</v>
      </c>
      <c r="D1867" s="2" t="s">
        <v>1046</v>
      </c>
      <c r="E1867" s="7">
        <v>85.36</v>
      </c>
      <c r="F1867" s="2">
        <v>6</v>
      </c>
      <c r="G1867" s="7">
        <v>211.46</v>
      </c>
      <c r="H1867" s="2" t="s">
        <v>1056</v>
      </c>
      <c r="I1867" s="2" t="s">
        <v>15</v>
      </c>
      <c r="J1867" s="2" t="s">
        <v>30</v>
      </c>
      <c r="K1867" s="2" t="s">
        <v>17</v>
      </c>
      <c r="L1867" s="7">
        <f>Table3[[#This Row],[Revenue]]-Table3[[#This Row],[Ad Spend]]</f>
        <v>126.10000000000001</v>
      </c>
      <c r="M1867" s="11">
        <v>126.23</v>
      </c>
    </row>
    <row r="1868" spans="1:13" ht="15.75" customHeight="1" x14ac:dyDescent="0.3">
      <c r="A1868" s="4" t="s">
        <v>31</v>
      </c>
      <c r="B1868">
        <f t="shared" si="29"/>
        <v>1</v>
      </c>
      <c r="C1868" s="2" t="s">
        <v>32</v>
      </c>
      <c r="D1868" s="2" t="s">
        <v>588</v>
      </c>
      <c r="E1868" s="7">
        <v>122.69</v>
      </c>
      <c r="F1868" s="2">
        <v>2</v>
      </c>
      <c r="G1868" s="7">
        <v>55.2</v>
      </c>
      <c r="H1868" s="2" t="s">
        <v>104</v>
      </c>
      <c r="I1868" s="2" t="s">
        <v>29</v>
      </c>
      <c r="J1868" s="2" t="s">
        <v>30</v>
      </c>
      <c r="K1868" s="2" t="s">
        <v>17</v>
      </c>
      <c r="L1868" s="7">
        <f>Table3[[#This Row],[Revenue]]-Table3[[#This Row],[Ad Spend]]</f>
        <v>-67.489999999999995</v>
      </c>
      <c r="M1868" s="11">
        <v>119.66</v>
      </c>
    </row>
    <row r="1869" spans="1:13" ht="15.75" customHeight="1" x14ac:dyDescent="0.3">
      <c r="A1869" s="4" t="s">
        <v>202</v>
      </c>
      <c r="B1869">
        <f t="shared" si="29"/>
        <v>3</v>
      </c>
      <c r="C1869" s="2" t="s">
        <v>63</v>
      </c>
      <c r="D1869" s="2" t="s">
        <v>1436</v>
      </c>
      <c r="E1869" s="7">
        <v>95.8</v>
      </c>
      <c r="F1869" s="2">
        <v>8</v>
      </c>
      <c r="G1869" s="7">
        <v>148.72</v>
      </c>
      <c r="H1869" s="2" t="s">
        <v>1476</v>
      </c>
      <c r="I1869" s="2" t="s">
        <v>29</v>
      </c>
      <c r="J1869" s="2" t="s">
        <v>25</v>
      </c>
      <c r="K1869" s="2" t="s">
        <v>17</v>
      </c>
      <c r="L1869" s="7">
        <f>Table3[[#This Row],[Revenue]]-Table3[[#This Row],[Ad Spend]]</f>
        <v>52.92</v>
      </c>
      <c r="M1869" s="11">
        <v>84.66</v>
      </c>
    </row>
    <row r="1870" spans="1:13" ht="15.75" customHeight="1" x14ac:dyDescent="0.3">
      <c r="A1870" s="4" t="s">
        <v>338</v>
      </c>
      <c r="B1870">
        <f t="shared" si="29"/>
        <v>4</v>
      </c>
      <c r="C1870" s="2" t="s">
        <v>19</v>
      </c>
      <c r="D1870" s="2" t="s">
        <v>1477</v>
      </c>
      <c r="E1870" s="7">
        <v>125.98</v>
      </c>
      <c r="F1870" s="2">
        <v>7</v>
      </c>
      <c r="G1870" s="7">
        <v>121.86</v>
      </c>
      <c r="H1870" s="2" t="s">
        <v>1478</v>
      </c>
      <c r="I1870" s="2" t="s">
        <v>29</v>
      </c>
      <c r="J1870" s="2" t="s">
        <v>30</v>
      </c>
      <c r="K1870" s="2" t="s">
        <v>17</v>
      </c>
      <c r="L1870" s="7">
        <f>Table3[[#This Row],[Revenue]]-Table3[[#This Row],[Ad Spend]]</f>
        <v>-4.1200000000000045</v>
      </c>
      <c r="M1870" s="11">
        <v>50.25</v>
      </c>
    </row>
    <row r="1871" spans="1:13" ht="15.75" customHeight="1" x14ac:dyDescent="0.3">
      <c r="A1871" s="4" t="s">
        <v>50</v>
      </c>
      <c r="B1871">
        <f t="shared" si="29"/>
        <v>12</v>
      </c>
      <c r="C1871" s="2" t="s">
        <v>32</v>
      </c>
      <c r="D1871" s="2" t="s">
        <v>980</v>
      </c>
      <c r="E1871" s="7">
        <v>108.71</v>
      </c>
      <c r="F1871" s="2">
        <v>4</v>
      </c>
      <c r="G1871" s="7">
        <v>418.52</v>
      </c>
      <c r="H1871" s="2" t="s">
        <v>625</v>
      </c>
      <c r="I1871" s="2" t="s">
        <v>29</v>
      </c>
      <c r="J1871" s="2" t="s">
        <v>25</v>
      </c>
      <c r="K1871" s="2" t="s">
        <v>17</v>
      </c>
      <c r="L1871" s="7">
        <f>Table3[[#This Row],[Revenue]]-Table3[[#This Row],[Ad Spend]]</f>
        <v>309.81</v>
      </c>
      <c r="M1871" s="11">
        <v>106.47</v>
      </c>
    </row>
    <row r="1872" spans="1:13" ht="15.75" customHeight="1" x14ac:dyDescent="0.3">
      <c r="A1872" s="4" t="s">
        <v>472</v>
      </c>
      <c r="B1872">
        <f t="shared" si="29"/>
        <v>4</v>
      </c>
      <c r="C1872" s="2" t="s">
        <v>63</v>
      </c>
      <c r="D1872" s="2" t="s">
        <v>1419</v>
      </c>
      <c r="E1872" s="7">
        <v>86.26</v>
      </c>
      <c r="F1872" s="2">
        <v>9</v>
      </c>
      <c r="G1872" s="7">
        <v>323.60000000000002</v>
      </c>
      <c r="H1872" s="2" t="s">
        <v>52</v>
      </c>
      <c r="I1872" s="2" t="s">
        <v>35</v>
      </c>
      <c r="J1872" s="2" t="s">
        <v>30</v>
      </c>
      <c r="K1872" s="2" t="s">
        <v>17</v>
      </c>
      <c r="L1872" s="7">
        <f>Table3[[#This Row],[Revenue]]-Table3[[#This Row],[Ad Spend]]</f>
        <v>237.34000000000003</v>
      </c>
      <c r="M1872" s="11">
        <v>118.49</v>
      </c>
    </row>
    <row r="1873" spans="1:13" ht="15.75" customHeight="1" x14ac:dyDescent="0.3">
      <c r="A1873" s="4" t="s">
        <v>133</v>
      </c>
      <c r="B1873">
        <f t="shared" si="29"/>
        <v>3</v>
      </c>
      <c r="C1873" s="2" t="s">
        <v>19</v>
      </c>
      <c r="D1873" s="2" t="s">
        <v>1479</v>
      </c>
      <c r="E1873" s="7">
        <v>132.66999999999999</v>
      </c>
      <c r="F1873" s="2">
        <v>3</v>
      </c>
      <c r="G1873" s="7">
        <v>54.53</v>
      </c>
      <c r="H1873" s="2" t="s">
        <v>1480</v>
      </c>
      <c r="I1873" s="2" t="s">
        <v>35</v>
      </c>
      <c r="J1873" s="2" t="s">
        <v>87</v>
      </c>
      <c r="K1873" s="2" t="s">
        <v>17</v>
      </c>
      <c r="L1873" s="7">
        <f>Table3[[#This Row],[Revenue]]-Table3[[#This Row],[Ad Spend]]</f>
        <v>-78.139999999999986</v>
      </c>
      <c r="M1873" s="11">
        <v>43.53</v>
      </c>
    </row>
    <row r="1874" spans="1:13" ht="15.75" customHeight="1" x14ac:dyDescent="0.3">
      <c r="A1874" s="4" t="s">
        <v>1061</v>
      </c>
      <c r="B1874">
        <f t="shared" si="29"/>
        <v>4</v>
      </c>
      <c r="C1874" s="2" t="s">
        <v>63</v>
      </c>
      <c r="D1874" s="2" t="s">
        <v>1481</v>
      </c>
      <c r="E1874" s="7">
        <v>46.04</v>
      </c>
      <c r="F1874" s="2">
        <v>4</v>
      </c>
      <c r="G1874" s="7">
        <v>49.89</v>
      </c>
      <c r="H1874" s="2" t="s">
        <v>161</v>
      </c>
      <c r="I1874" s="2" t="s">
        <v>35</v>
      </c>
      <c r="J1874" s="2" t="s">
        <v>30</v>
      </c>
      <c r="K1874" s="2" t="s">
        <v>17</v>
      </c>
      <c r="L1874" s="7">
        <f>Table3[[#This Row],[Revenue]]-Table3[[#This Row],[Ad Spend]]</f>
        <v>3.8500000000000014</v>
      </c>
      <c r="M1874" s="11">
        <v>125.22</v>
      </c>
    </row>
    <row r="1875" spans="1:13" ht="15.75" customHeight="1" x14ac:dyDescent="0.3">
      <c r="A1875" s="4" t="s">
        <v>753</v>
      </c>
      <c r="B1875">
        <f t="shared" si="29"/>
        <v>11</v>
      </c>
      <c r="C1875" s="2" t="s">
        <v>19</v>
      </c>
      <c r="D1875" s="2" t="s">
        <v>1307</v>
      </c>
      <c r="E1875" s="7">
        <v>15.11</v>
      </c>
      <c r="F1875" s="2">
        <v>5</v>
      </c>
      <c r="G1875" s="7">
        <v>141.61000000000001</v>
      </c>
      <c r="H1875" s="2" t="s">
        <v>1397</v>
      </c>
      <c r="I1875" s="2" t="s">
        <v>29</v>
      </c>
      <c r="J1875" s="2" t="s">
        <v>87</v>
      </c>
      <c r="K1875" s="2" t="s">
        <v>17</v>
      </c>
      <c r="L1875" s="7">
        <f>Table3[[#This Row],[Revenue]]-Table3[[#This Row],[Ad Spend]]</f>
        <v>126.50000000000001</v>
      </c>
      <c r="M1875" s="11">
        <v>61.55</v>
      </c>
    </row>
    <row r="1876" spans="1:13" ht="15.75" customHeight="1" x14ac:dyDescent="0.3">
      <c r="A1876" s="4" t="s">
        <v>409</v>
      </c>
      <c r="B1876">
        <f t="shared" si="29"/>
        <v>11</v>
      </c>
      <c r="C1876" s="2" t="s">
        <v>19</v>
      </c>
      <c r="D1876" s="2" t="s">
        <v>585</v>
      </c>
      <c r="E1876" s="7">
        <v>52.23</v>
      </c>
      <c r="F1876" s="2">
        <v>8</v>
      </c>
      <c r="G1876" s="7">
        <v>389.42</v>
      </c>
      <c r="H1876" s="2" t="s">
        <v>359</v>
      </c>
      <c r="I1876" s="2" t="s">
        <v>29</v>
      </c>
      <c r="J1876" s="2" t="s">
        <v>25</v>
      </c>
      <c r="K1876" s="2" t="s">
        <v>17</v>
      </c>
      <c r="L1876" s="7">
        <f>Table3[[#This Row],[Revenue]]-Table3[[#This Row],[Ad Spend]]</f>
        <v>337.19</v>
      </c>
      <c r="M1876" s="11">
        <v>142.79</v>
      </c>
    </row>
    <row r="1877" spans="1:13" ht="15.75" customHeight="1" x14ac:dyDescent="0.3">
      <c r="A1877" s="4" t="s">
        <v>320</v>
      </c>
      <c r="B1877">
        <f t="shared" si="29"/>
        <v>4</v>
      </c>
      <c r="C1877" s="2" t="s">
        <v>63</v>
      </c>
      <c r="D1877" s="2" t="s">
        <v>669</v>
      </c>
      <c r="E1877" s="7">
        <v>133.69999999999999</v>
      </c>
      <c r="F1877" s="2">
        <v>9</v>
      </c>
      <c r="G1877" s="7">
        <v>272.58999999999997</v>
      </c>
      <c r="H1877" s="2" t="s">
        <v>49</v>
      </c>
      <c r="I1877" s="2" t="s">
        <v>29</v>
      </c>
      <c r="J1877" s="2" t="s">
        <v>16</v>
      </c>
      <c r="K1877" s="2" t="s">
        <v>17</v>
      </c>
      <c r="L1877" s="7">
        <f>Table3[[#This Row],[Revenue]]-Table3[[#This Row],[Ad Spend]]</f>
        <v>138.88999999999999</v>
      </c>
      <c r="M1877" s="11">
        <v>121.98</v>
      </c>
    </row>
    <row r="1878" spans="1:13" ht="15.75" customHeight="1" x14ac:dyDescent="0.3">
      <c r="A1878" s="4" t="s">
        <v>342</v>
      </c>
      <c r="B1878">
        <f t="shared" si="29"/>
        <v>3</v>
      </c>
      <c r="C1878" s="2" t="s">
        <v>63</v>
      </c>
      <c r="D1878" s="2" t="s">
        <v>224</v>
      </c>
      <c r="E1878" s="7">
        <v>76.069999999999993</v>
      </c>
      <c r="F1878" s="2">
        <v>9</v>
      </c>
      <c r="G1878" s="7">
        <v>129.46</v>
      </c>
      <c r="H1878" s="2" t="s">
        <v>301</v>
      </c>
      <c r="I1878" s="2" t="s">
        <v>15</v>
      </c>
      <c r="J1878" s="2" t="s">
        <v>87</v>
      </c>
      <c r="K1878" s="2" t="s">
        <v>17</v>
      </c>
      <c r="L1878" s="7">
        <f>Table3[[#This Row],[Revenue]]-Table3[[#This Row],[Ad Spend]]</f>
        <v>53.390000000000015</v>
      </c>
      <c r="M1878" s="11">
        <v>149.32</v>
      </c>
    </row>
    <row r="1879" spans="1:13" ht="15.75" customHeight="1" x14ac:dyDescent="0.3">
      <c r="A1879" s="4" t="s">
        <v>834</v>
      </c>
      <c r="B1879">
        <f t="shared" si="29"/>
        <v>11</v>
      </c>
      <c r="C1879" s="2" t="s">
        <v>32</v>
      </c>
      <c r="D1879" s="2" t="s">
        <v>852</v>
      </c>
      <c r="E1879" s="7">
        <v>46.66</v>
      </c>
      <c r="F1879" s="2">
        <v>4</v>
      </c>
      <c r="G1879" s="7">
        <v>29.78</v>
      </c>
      <c r="H1879" s="2" t="s">
        <v>65</v>
      </c>
      <c r="I1879" s="2" t="s">
        <v>15</v>
      </c>
      <c r="J1879" s="2" t="s">
        <v>36</v>
      </c>
      <c r="K1879" s="2" t="s">
        <v>17</v>
      </c>
      <c r="L1879" s="7">
        <f>Table3[[#This Row],[Revenue]]-Table3[[#This Row],[Ad Spend]]</f>
        <v>-16.879999999999995</v>
      </c>
      <c r="M1879" s="11">
        <v>125.12</v>
      </c>
    </row>
    <row r="1880" spans="1:13" ht="15.75" customHeight="1" x14ac:dyDescent="0.3">
      <c r="A1880" s="4" t="s">
        <v>194</v>
      </c>
      <c r="B1880">
        <f t="shared" si="29"/>
        <v>11</v>
      </c>
      <c r="C1880" s="2" t="s">
        <v>32</v>
      </c>
      <c r="D1880" s="2" t="s">
        <v>842</v>
      </c>
      <c r="E1880" s="7">
        <v>94.87</v>
      </c>
      <c r="F1880" s="2">
        <v>9</v>
      </c>
      <c r="G1880" s="7">
        <v>49.14</v>
      </c>
      <c r="H1880" s="2" t="s">
        <v>161</v>
      </c>
      <c r="I1880" s="2" t="s">
        <v>29</v>
      </c>
      <c r="J1880" s="2" t="s">
        <v>53</v>
      </c>
      <c r="K1880" s="2" t="s">
        <v>17</v>
      </c>
      <c r="L1880" s="7">
        <f>Table3[[#This Row],[Revenue]]-Table3[[#This Row],[Ad Spend]]</f>
        <v>-45.730000000000004</v>
      </c>
      <c r="M1880" s="11">
        <v>117.09</v>
      </c>
    </row>
    <row r="1881" spans="1:13" ht="15.75" customHeight="1" x14ac:dyDescent="0.3">
      <c r="A1881" s="4" t="s">
        <v>115</v>
      </c>
      <c r="B1881">
        <f t="shared" si="29"/>
        <v>2</v>
      </c>
      <c r="C1881" s="2" t="s">
        <v>12</v>
      </c>
      <c r="D1881" s="2" t="s">
        <v>1365</v>
      </c>
      <c r="E1881" s="7">
        <v>146</v>
      </c>
      <c r="F1881" s="2">
        <v>10</v>
      </c>
      <c r="G1881" s="7">
        <v>404.11</v>
      </c>
      <c r="H1881" s="2" t="s">
        <v>461</v>
      </c>
      <c r="I1881" s="2" t="s">
        <v>35</v>
      </c>
      <c r="J1881" s="2" t="s">
        <v>87</v>
      </c>
      <c r="K1881" s="2" t="s">
        <v>17</v>
      </c>
      <c r="L1881" s="7">
        <f>Table3[[#This Row],[Revenue]]-Table3[[#This Row],[Ad Spend]]</f>
        <v>258.11</v>
      </c>
      <c r="M1881" s="11">
        <v>144.12</v>
      </c>
    </row>
    <row r="1882" spans="1:13" ht="15.75" customHeight="1" x14ac:dyDescent="0.3">
      <c r="A1882" s="4" t="s">
        <v>836</v>
      </c>
      <c r="B1882">
        <f t="shared" si="29"/>
        <v>11</v>
      </c>
      <c r="C1882" s="2" t="s">
        <v>12</v>
      </c>
      <c r="D1882" s="2" t="s">
        <v>537</v>
      </c>
      <c r="E1882" s="7">
        <v>28.86</v>
      </c>
      <c r="F1882" s="2">
        <v>10</v>
      </c>
      <c r="G1882" s="7">
        <v>260.19</v>
      </c>
      <c r="H1882" s="2" t="s">
        <v>990</v>
      </c>
      <c r="I1882" s="2" t="s">
        <v>15</v>
      </c>
      <c r="J1882" s="2" t="s">
        <v>87</v>
      </c>
      <c r="K1882" s="2" t="s">
        <v>17</v>
      </c>
      <c r="L1882" s="7">
        <f>Table3[[#This Row],[Revenue]]-Table3[[#This Row],[Ad Spend]]</f>
        <v>231.32999999999998</v>
      </c>
      <c r="M1882" s="11">
        <v>152.41999999999999</v>
      </c>
    </row>
    <row r="1883" spans="1:13" ht="15.75" customHeight="1" x14ac:dyDescent="0.3">
      <c r="A1883" s="4" t="s">
        <v>22</v>
      </c>
      <c r="B1883">
        <f t="shared" si="29"/>
        <v>4</v>
      </c>
      <c r="C1883" s="2" t="s">
        <v>19</v>
      </c>
      <c r="D1883" s="2" t="s">
        <v>373</v>
      </c>
      <c r="E1883" s="7">
        <v>16.190000000000001</v>
      </c>
      <c r="F1883" s="2">
        <v>10</v>
      </c>
      <c r="G1883" s="7">
        <v>39.71</v>
      </c>
      <c r="H1883" s="2" t="s">
        <v>481</v>
      </c>
      <c r="I1883" s="2" t="s">
        <v>29</v>
      </c>
      <c r="J1883" s="2" t="s">
        <v>30</v>
      </c>
      <c r="K1883" s="2" t="s">
        <v>17</v>
      </c>
      <c r="L1883" s="7">
        <f>Table3[[#This Row],[Revenue]]-Table3[[#This Row],[Ad Spend]]</f>
        <v>23.52</v>
      </c>
      <c r="M1883" s="11">
        <v>117.73</v>
      </c>
    </row>
    <row r="1884" spans="1:13" ht="15.75" customHeight="1" x14ac:dyDescent="0.3">
      <c r="A1884" s="4" t="s">
        <v>502</v>
      </c>
      <c r="B1884">
        <f t="shared" si="29"/>
        <v>12</v>
      </c>
      <c r="C1884" s="2" t="s">
        <v>19</v>
      </c>
      <c r="D1884" s="2" t="s">
        <v>912</v>
      </c>
      <c r="E1884" s="7">
        <v>113.88</v>
      </c>
      <c r="F1884" s="2">
        <v>8</v>
      </c>
      <c r="G1884" s="7">
        <v>301.31</v>
      </c>
      <c r="H1884" s="2" t="s">
        <v>229</v>
      </c>
      <c r="I1884" s="2" t="s">
        <v>15</v>
      </c>
      <c r="J1884" s="2" t="s">
        <v>53</v>
      </c>
      <c r="K1884" s="2" t="s">
        <v>17</v>
      </c>
      <c r="L1884" s="7">
        <f>Table3[[#This Row],[Revenue]]-Table3[[#This Row],[Ad Spend]]</f>
        <v>187.43</v>
      </c>
      <c r="M1884" s="11">
        <v>96.93</v>
      </c>
    </row>
    <row r="1885" spans="1:13" ht="15.75" customHeight="1" x14ac:dyDescent="0.3">
      <c r="A1885" s="4" t="s">
        <v>619</v>
      </c>
      <c r="B1885">
        <f t="shared" si="29"/>
        <v>1</v>
      </c>
      <c r="C1885" s="2" t="s">
        <v>19</v>
      </c>
      <c r="D1885" s="2" t="s">
        <v>1415</v>
      </c>
      <c r="E1885" s="7">
        <v>67.25</v>
      </c>
      <c r="F1885" s="2">
        <v>1</v>
      </c>
      <c r="G1885" s="7">
        <v>446.11</v>
      </c>
      <c r="H1885" s="2" t="s">
        <v>306</v>
      </c>
      <c r="I1885" s="2" t="s">
        <v>29</v>
      </c>
      <c r="J1885" s="2" t="s">
        <v>87</v>
      </c>
      <c r="K1885" s="2" t="s">
        <v>17</v>
      </c>
      <c r="L1885" s="7">
        <f>Table3[[#This Row],[Revenue]]-Table3[[#This Row],[Ad Spend]]</f>
        <v>378.86</v>
      </c>
      <c r="M1885" s="11">
        <v>145.59</v>
      </c>
    </row>
    <row r="1886" spans="1:13" ht="15.75" customHeight="1" x14ac:dyDescent="0.3">
      <c r="A1886" s="4" t="s">
        <v>659</v>
      </c>
      <c r="B1886">
        <f t="shared" si="29"/>
        <v>4</v>
      </c>
      <c r="C1886" s="2" t="s">
        <v>12</v>
      </c>
      <c r="D1886" s="2" t="s">
        <v>114</v>
      </c>
      <c r="E1886" s="7">
        <v>34.380000000000003</v>
      </c>
      <c r="F1886" s="2">
        <v>2</v>
      </c>
      <c r="G1886" s="7">
        <v>394.96</v>
      </c>
      <c r="H1886" s="2" t="s">
        <v>910</v>
      </c>
      <c r="I1886" s="2" t="s">
        <v>29</v>
      </c>
      <c r="J1886" s="2" t="s">
        <v>30</v>
      </c>
      <c r="K1886" s="2" t="s">
        <v>17</v>
      </c>
      <c r="L1886" s="7">
        <f>Table3[[#This Row],[Revenue]]-Table3[[#This Row],[Ad Spend]]</f>
        <v>360.58</v>
      </c>
      <c r="M1886" s="11">
        <v>116.53</v>
      </c>
    </row>
    <row r="1887" spans="1:13" ht="15.75" customHeight="1" x14ac:dyDescent="0.3">
      <c r="A1887" s="4" t="s">
        <v>353</v>
      </c>
      <c r="B1887">
        <f t="shared" si="29"/>
        <v>1</v>
      </c>
      <c r="C1887" s="2" t="s">
        <v>63</v>
      </c>
      <c r="D1887" s="2" t="s">
        <v>976</v>
      </c>
      <c r="E1887" s="7">
        <v>110.97</v>
      </c>
      <c r="F1887" s="2">
        <v>1</v>
      </c>
      <c r="G1887" s="7">
        <v>262.92</v>
      </c>
      <c r="H1887" s="2" t="s">
        <v>856</v>
      </c>
      <c r="I1887" s="2" t="s">
        <v>35</v>
      </c>
      <c r="J1887" s="2" t="s">
        <v>25</v>
      </c>
      <c r="K1887" s="2" t="s">
        <v>17</v>
      </c>
      <c r="L1887" s="7">
        <f>Table3[[#This Row],[Revenue]]-Table3[[#This Row],[Ad Spend]]</f>
        <v>151.95000000000002</v>
      </c>
      <c r="M1887" s="11">
        <v>144.43</v>
      </c>
    </row>
    <row r="1888" spans="1:13" ht="15.75" customHeight="1" x14ac:dyDescent="0.3">
      <c r="A1888" s="4" t="s">
        <v>238</v>
      </c>
      <c r="B1888">
        <f t="shared" si="29"/>
        <v>3</v>
      </c>
      <c r="C1888" s="2" t="s">
        <v>19</v>
      </c>
      <c r="D1888" s="2" t="s">
        <v>1185</v>
      </c>
      <c r="E1888" s="7">
        <v>41.1</v>
      </c>
      <c r="F1888" s="2">
        <v>9</v>
      </c>
      <c r="G1888" s="7">
        <v>30.92</v>
      </c>
      <c r="H1888" s="2" t="s">
        <v>781</v>
      </c>
      <c r="I1888" s="2" t="s">
        <v>35</v>
      </c>
      <c r="J1888" s="2" t="s">
        <v>25</v>
      </c>
      <c r="K1888" s="2" t="s">
        <v>17</v>
      </c>
      <c r="L1888" s="7">
        <f>Table3[[#This Row],[Revenue]]-Table3[[#This Row],[Ad Spend]]</f>
        <v>-10.18</v>
      </c>
      <c r="M1888" s="11">
        <v>111.52</v>
      </c>
    </row>
    <row r="1889" spans="1:13" ht="15.75" customHeight="1" x14ac:dyDescent="0.3">
      <c r="A1889" s="4" t="s">
        <v>252</v>
      </c>
      <c r="B1889">
        <f t="shared" si="29"/>
        <v>11</v>
      </c>
      <c r="C1889" s="2" t="s">
        <v>19</v>
      </c>
      <c r="D1889" s="2" t="s">
        <v>1299</v>
      </c>
      <c r="E1889" s="7">
        <v>19.62</v>
      </c>
      <c r="F1889" s="2">
        <v>3</v>
      </c>
      <c r="G1889" s="7">
        <v>23.11</v>
      </c>
      <c r="H1889" s="2" t="s">
        <v>990</v>
      </c>
      <c r="I1889" s="2" t="s">
        <v>35</v>
      </c>
      <c r="J1889" s="2" t="s">
        <v>25</v>
      </c>
      <c r="K1889" s="2" t="s">
        <v>17</v>
      </c>
      <c r="L1889" s="7">
        <f>Table3[[#This Row],[Revenue]]-Table3[[#This Row],[Ad Spend]]</f>
        <v>3.4899999999999984</v>
      </c>
      <c r="M1889" s="11">
        <v>154.68</v>
      </c>
    </row>
    <row r="1890" spans="1:13" ht="15.75" customHeight="1" x14ac:dyDescent="0.3">
      <c r="A1890" s="4" t="s">
        <v>40</v>
      </c>
      <c r="B1890">
        <f t="shared" si="29"/>
        <v>3</v>
      </c>
      <c r="C1890" s="2" t="s">
        <v>32</v>
      </c>
      <c r="D1890" s="2" t="s">
        <v>1482</v>
      </c>
      <c r="E1890" s="7">
        <v>63.35</v>
      </c>
      <c r="F1890" s="2">
        <v>10</v>
      </c>
      <c r="G1890" s="7">
        <v>28.25</v>
      </c>
      <c r="H1890" s="2" t="s">
        <v>1461</v>
      </c>
      <c r="I1890" s="2" t="s">
        <v>15</v>
      </c>
      <c r="J1890" s="2" t="s">
        <v>16</v>
      </c>
      <c r="K1890" s="2" t="s">
        <v>17</v>
      </c>
      <c r="L1890" s="7">
        <f>Table3[[#This Row],[Revenue]]-Table3[[#This Row],[Ad Spend]]</f>
        <v>-35.1</v>
      </c>
      <c r="M1890" s="11">
        <v>85.23</v>
      </c>
    </row>
    <row r="1891" spans="1:13" ht="15.75" customHeight="1" x14ac:dyDescent="0.3">
      <c r="A1891" s="4" t="s">
        <v>153</v>
      </c>
      <c r="B1891">
        <f t="shared" si="29"/>
        <v>1</v>
      </c>
      <c r="C1891" s="2" t="s">
        <v>12</v>
      </c>
      <c r="D1891" s="2" t="s">
        <v>344</v>
      </c>
      <c r="E1891" s="7">
        <v>10.3</v>
      </c>
      <c r="F1891" s="2">
        <v>0</v>
      </c>
      <c r="G1891" s="7">
        <v>279.25</v>
      </c>
      <c r="H1891" s="2" t="s">
        <v>161</v>
      </c>
      <c r="I1891" s="2" t="s">
        <v>35</v>
      </c>
      <c r="J1891" s="2" t="s">
        <v>25</v>
      </c>
      <c r="K1891" s="2" t="s">
        <v>46</v>
      </c>
      <c r="L1891" s="7">
        <f>Table3[[#This Row],[Revenue]]-Table3[[#This Row],[Ad Spend]]</f>
        <v>268.95</v>
      </c>
      <c r="M1891" s="11">
        <v>119.96</v>
      </c>
    </row>
    <row r="1892" spans="1:13" ht="15.75" customHeight="1" x14ac:dyDescent="0.3">
      <c r="A1892" s="4" t="s">
        <v>676</v>
      </c>
      <c r="B1892">
        <f t="shared" si="29"/>
        <v>4</v>
      </c>
      <c r="C1892" s="2" t="s">
        <v>32</v>
      </c>
      <c r="D1892" s="2" t="s">
        <v>1483</v>
      </c>
      <c r="E1892" s="7">
        <v>103.88</v>
      </c>
      <c r="F1892" s="2">
        <v>9</v>
      </c>
      <c r="G1892" s="7">
        <v>193.52</v>
      </c>
      <c r="H1892" s="2" t="s">
        <v>681</v>
      </c>
      <c r="I1892" s="2" t="s">
        <v>35</v>
      </c>
      <c r="J1892" s="2" t="s">
        <v>25</v>
      </c>
      <c r="K1892" s="2" t="s">
        <v>17</v>
      </c>
      <c r="L1892" s="7">
        <f>Table3[[#This Row],[Revenue]]-Table3[[#This Row],[Ad Spend]]</f>
        <v>89.640000000000015</v>
      </c>
      <c r="M1892" s="11">
        <v>151.62</v>
      </c>
    </row>
    <row r="1893" spans="1:13" ht="15.75" customHeight="1" x14ac:dyDescent="0.3">
      <c r="A1893" s="4" t="s">
        <v>499</v>
      </c>
      <c r="B1893">
        <f t="shared" si="29"/>
        <v>4</v>
      </c>
      <c r="C1893" s="2" t="s">
        <v>19</v>
      </c>
      <c r="D1893" s="2" t="s">
        <v>893</v>
      </c>
      <c r="E1893" s="7">
        <v>44.24</v>
      </c>
      <c r="F1893" s="2">
        <v>7</v>
      </c>
      <c r="G1893" s="7">
        <v>474.99</v>
      </c>
      <c r="H1893" s="2" t="s">
        <v>1251</v>
      </c>
      <c r="I1893" s="2" t="s">
        <v>35</v>
      </c>
      <c r="J1893" s="2" t="s">
        <v>30</v>
      </c>
      <c r="K1893" s="2" t="s">
        <v>17</v>
      </c>
      <c r="L1893" s="7">
        <f>Table3[[#This Row],[Revenue]]-Table3[[#This Row],[Ad Spend]]</f>
        <v>430.75</v>
      </c>
      <c r="M1893" s="11">
        <v>148.84</v>
      </c>
    </row>
    <row r="1894" spans="1:13" ht="15.75" customHeight="1" x14ac:dyDescent="0.3">
      <c r="A1894" s="4" t="s">
        <v>324</v>
      </c>
      <c r="B1894">
        <f t="shared" si="29"/>
        <v>3</v>
      </c>
      <c r="C1894" s="2" t="s">
        <v>19</v>
      </c>
      <c r="D1894" s="2" t="s">
        <v>23</v>
      </c>
      <c r="E1894" s="7">
        <v>149.81</v>
      </c>
      <c r="F1894" s="2">
        <v>4</v>
      </c>
      <c r="G1894" s="7">
        <v>207.64</v>
      </c>
      <c r="H1894" s="2" t="s">
        <v>1484</v>
      </c>
      <c r="I1894" s="2" t="s">
        <v>29</v>
      </c>
      <c r="J1894" s="2" t="s">
        <v>30</v>
      </c>
      <c r="K1894" s="2" t="s">
        <v>17</v>
      </c>
      <c r="L1894" s="7">
        <f>Table3[[#This Row],[Revenue]]-Table3[[#This Row],[Ad Spend]]</f>
        <v>57.829999999999984</v>
      </c>
      <c r="M1894" s="11">
        <v>110.09</v>
      </c>
    </row>
    <row r="1895" spans="1:13" ht="15.75" customHeight="1" x14ac:dyDescent="0.3">
      <c r="A1895" s="4" t="s">
        <v>175</v>
      </c>
      <c r="B1895">
        <f t="shared" si="29"/>
        <v>3</v>
      </c>
      <c r="C1895" s="2" t="s">
        <v>19</v>
      </c>
      <c r="D1895" s="2" t="s">
        <v>1485</v>
      </c>
      <c r="E1895" s="7">
        <v>110.34</v>
      </c>
      <c r="F1895" s="2">
        <v>2</v>
      </c>
      <c r="G1895" s="7">
        <v>495.66</v>
      </c>
      <c r="H1895" s="2" t="s">
        <v>681</v>
      </c>
      <c r="I1895" s="2" t="s">
        <v>15</v>
      </c>
      <c r="J1895" s="2" t="s">
        <v>25</v>
      </c>
      <c r="K1895" s="2" t="s">
        <v>17</v>
      </c>
      <c r="L1895" s="7">
        <f>Table3[[#This Row],[Revenue]]-Table3[[#This Row],[Ad Spend]]</f>
        <v>385.32000000000005</v>
      </c>
      <c r="M1895" s="11">
        <v>147.78</v>
      </c>
    </row>
    <row r="1896" spans="1:13" ht="15.75" customHeight="1" x14ac:dyDescent="0.3">
      <c r="A1896" s="4" t="s">
        <v>178</v>
      </c>
      <c r="B1896">
        <f t="shared" si="29"/>
        <v>12</v>
      </c>
      <c r="C1896" s="2" t="s">
        <v>63</v>
      </c>
      <c r="D1896" s="2" t="s">
        <v>492</v>
      </c>
      <c r="E1896" s="7">
        <v>25.7</v>
      </c>
      <c r="F1896" s="2">
        <v>3</v>
      </c>
      <c r="G1896" s="7">
        <v>458.2</v>
      </c>
      <c r="H1896" s="2" t="s">
        <v>725</v>
      </c>
      <c r="I1896" s="2" t="s">
        <v>29</v>
      </c>
      <c r="J1896" s="2" t="s">
        <v>25</v>
      </c>
      <c r="K1896" s="2" t="s">
        <v>17</v>
      </c>
      <c r="L1896" s="7">
        <f>Table3[[#This Row],[Revenue]]-Table3[[#This Row],[Ad Spend]]</f>
        <v>432.5</v>
      </c>
      <c r="M1896" s="11">
        <v>142.33000000000001</v>
      </c>
    </row>
    <row r="1897" spans="1:13" ht="15.75" customHeight="1" x14ac:dyDescent="0.3">
      <c r="A1897" s="4" t="s">
        <v>673</v>
      </c>
      <c r="B1897">
        <f t="shared" si="29"/>
        <v>12</v>
      </c>
      <c r="C1897" s="2" t="s">
        <v>32</v>
      </c>
      <c r="D1897" s="2" t="s">
        <v>188</v>
      </c>
      <c r="E1897" s="7">
        <v>57.61</v>
      </c>
      <c r="F1897" s="2">
        <v>4</v>
      </c>
      <c r="G1897" s="7">
        <v>470.36</v>
      </c>
      <c r="H1897" s="2" t="s">
        <v>667</v>
      </c>
      <c r="I1897" s="2" t="s">
        <v>15</v>
      </c>
      <c r="J1897" s="2" t="s">
        <v>16</v>
      </c>
      <c r="K1897" s="2" t="s">
        <v>17</v>
      </c>
      <c r="L1897" s="7">
        <f>Table3[[#This Row],[Revenue]]-Table3[[#This Row],[Ad Spend]]</f>
        <v>412.75</v>
      </c>
      <c r="M1897" s="11">
        <v>157.9</v>
      </c>
    </row>
    <row r="1898" spans="1:13" ht="15.75" customHeight="1" x14ac:dyDescent="0.3">
      <c r="A1898" s="4" t="s">
        <v>755</v>
      </c>
      <c r="B1898">
        <f t="shared" si="29"/>
        <v>2</v>
      </c>
      <c r="C1898" s="2" t="s">
        <v>63</v>
      </c>
      <c r="D1898" s="2" t="s">
        <v>1305</v>
      </c>
      <c r="E1898" s="7">
        <v>29.31</v>
      </c>
      <c r="F1898" s="2">
        <v>8</v>
      </c>
      <c r="G1898" s="7">
        <v>107.13</v>
      </c>
      <c r="H1898" s="2" t="s">
        <v>235</v>
      </c>
      <c r="I1898" s="2" t="s">
        <v>35</v>
      </c>
      <c r="J1898" s="2" t="s">
        <v>53</v>
      </c>
      <c r="K1898" s="2" t="s">
        <v>17</v>
      </c>
      <c r="L1898" s="7">
        <f>Table3[[#This Row],[Revenue]]-Table3[[#This Row],[Ad Spend]]</f>
        <v>77.819999999999993</v>
      </c>
      <c r="M1898" s="11">
        <v>123</v>
      </c>
    </row>
    <row r="1899" spans="1:13" ht="15.75" customHeight="1" x14ac:dyDescent="0.3">
      <c r="A1899" s="4" t="s">
        <v>380</v>
      </c>
      <c r="B1899">
        <f t="shared" si="29"/>
        <v>2</v>
      </c>
      <c r="C1899" s="2" t="s">
        <v>19</v>
      </c>
      <c r="D1899" s="2" t="s">
        <v>358</v>
      </c>
      <c r="E1899" s="7">
        <v>149.57</v>
      </c>
      <c r="F1899" s="2">
        <v>5</v>
      </c>
      <c r="G1899" s="7">
        <v>52.93</v>
      </c>
      <c r="H1899" s="2" t="s">
        <v>61</v>
      </c>
      <c r="I1899" s="2" t="s">
        <v>29</v>
      </c>
      <c r="J1899" s="2" t="s">
        <v>30</v>
      </c>
      <c r="K1899" s="2" t="s">
        <v>17</v>
      </c>
      <c r="L1899" s="7">
        <f>Table3[[#This Row],[Revenue]]-Table3[[#This Row],[Ad Spend]]</f>
        <v>-96.639999999999986</v>
      </c>
      <c r="M1899" s="11">
        <v>138.38</v>
      </c>
    </row>
    <row r="1900" spans="1:13" ht="15.75" customHeight="1" x14ac:dyDescent="0.3">
      <c r="A1900" s="4" t="s">
        <v>409</v>
      </c>
      <c r="B1900">
        <f t="shared" si="29"/>
        <v>11</v>
      </c>
      <c r="C1900" s="2" t="s">
        <v>12</v>
      </c>
      <c r="D1900" s="2" t="s">
        <v>965</v>
      </c>
      <c r="E1900" s="7">
        <v>97.34</v>
      </c>
      <c r="F1900" s="2">
        <v>9</v>
      </c>
      <c r="G1900" s="7">
        <v>222.51</v>
      </c>
      <c r="H1900" s="2" t="s">
        <v>52</v>
      </c>
      <c r="I1900" s="2" t="s">
        <v>35</v>
      </c>
      <c r="J1900" s="2" t="s">
        <v>25</v>
      </c>
      <c r="K1900" s="2" t="s">
        <v>17</v>
      </c>
      <c r="L1900" s="7">
        <f>Table3[[#This Row],[Revenue]]-Table3[[#This Row],[Ad Spend]]</f>
        <v>125.16999999999999</v>
      </c>
      <c r="M1900" s="11">
        <v>127.03</v>
      </c>
    </row>
    <row r="1901" spans="1:13" ht="15.75" customHeight="1" x14ac:dyDescent="0.3">
      <c r="A1901" s="4" t="s">
        <v>269</v>
      </c>
      <c r="B1901">
        <f t="shared" si="29"/>
        <v>12</v>
      </c>
      <c r="C1901" s="2" t="s">
        <v>19</v>
      </c>
      <c r="D1901" s="2" t="s">
        <v>1300</v>
      </c>
      <c r="E1901" s="7">
        <v>130.03</v>
      </c>
      <c r="F1901" s="2">
        <v>6</v>
      </c>
      <c r="G1901" s="7">
        <v>453.02</v>
      </c>
      <c r="H1901" s="2" t="s">
        <v>52</v>
      </c>
      <c r="I1901" s="2" t="s">
        <v>15</v>
      </c>
      <c r="J1901" s="2" t="s">
        <v>25</v>
      </c>
      <c r="K1901" s="2" t="s">
        <v>17</v>
      </c>
      <c r="L1901" s="7">
        <f>Table3[[#This Row],[Revenue]]-Table3[[#This Row],[Ad Spend]]</f>
        <v>322.99</v>
      </c>
      <c r="M1901" s="11">
        <v>123.05</v>
      </c>
    </row>
    <row r="1902" spans="1:13" ht="15.75" customHeight="1" x14ac:dyDescent="0.3">
      <c r="A1902" s="4" t="s">
        <v>342</v>
      </c>
      <c r="B1902">
        <f t="shared" si="29"/>
        <v>3</v>
      </c>
      <c r="C1902" s="2" t="s">
        <v>32</v>
      </c>
      <c r="D1902" s="2" t="s">
        <v>440</v>
      </c>
      <c r="E1902" s="7">
        <v>10.59</v>
      </c>
      <c r="F1902" s="2">
        <v>3</v>
      </c>
      <c r="G1902" s="7">
        <v>53.48</v>
      </c>
      <c r="H1902" s="2" t="s">
        <v>1486</v>
      </c>
      <c r="I1902" s="2" t="s">
        <v>29</v>
      </c>
      <c r="J1902" s="2" t="s">
        <v>87</v>
      </c>
      <c r="K1902" s="2" t="s">
        <v>17</v>
      </c>
      <c r="L1902" s="7">
        <f>Table3[[#This Row],[Revenue]]-Table3[[#This Row],[Ad Spend]]</f>
        <v>42.89</v>
      </c>
      <c r="M1902" s="11">
        <v>46.84</v>
      </c>
    </row>
    <row r="1903" spans="1:13" ht="15.75" customHeight="1" x14ac:dyDescent="0.3">
      <c r="A1903" s="4" t="s">
        <v>214</v>
      </c>
      <c r="B1903">
        <f t="shared" si="29"/>
        <v>3</v>
      </c>
      <c r="C1903" s="2" t="s">
        <v>32</v>
      </c>
      <c r="D1903" s="2" t="s">
        <v>1483</v>
      </c>
      <c r="E1903" s="7">
        <v>46.07</v>
      </c>
      <c r="F1903" s="2">
        <v>8</v>
      </c>
      <c r="G1903" s="7">
        <v>261.12</v>
      </c>
      <c r="H1903" s="2" t="s">
        <v>681</v>
      </c>
      <c r="I1903" s="2" t="s">
        <v>15</v>
      </c>
      <c r="J1903" s="2" t="s">
        <v>87</v>
      </c>
      <c r="K1903" s="2" t="s">
        <v>17</v>
      </c>
      <c r="L1903" s="7">
        <f>Table3[[#This Row],[Revenue]]-Table3[[#This Row],[Ad Spend]]</f>
        <v>215.05</v>
      </c>
      <c r="M1903" s="11">
        <v>151.65</v>
      </c>
    </row>
    <row r="1904" spans="1:13" ht="15.75" customHeight="1" x14ac:dyDescent="0.3">
      <c r="A1904" s="4" t="s">
        <v>97</v>
      </c>
      <c r="B1904">
        <f t="shared" si="29"/>
        <v>12</v>
      </c>
      <c r="C1904" s="2" t="s">
        <v>12</v>
      </c>
      <c r="D1904" s="2" t="s">
        <v>1444</v>
      </c>
      <c r="E1904" s="7">
        <v>58.03</v>
      </c>
      <c r="F1904" s="2">
        <v>3</v>
      </c>
      <c r="G1904" s="7">
        <v>335.5</v>
      </c>
      <c r="H1904" s="2" t="s">
        <v>408</v>
      </c>
      <c r="I1904" s="2" t="s">
        <v>29</v>
      </c>
      <c r="J1904" s="2" t="s">
        <v>30</v>
      </c>
      <c r="K1904" s="2" t="s">
        <v>17</v>
      </c>
      <c r="L1904" s="7">
        <f>Table3[[#This Row],[Revenue]]-Table3[[#This Row],[Ad Spend]]</f>
        <v>277.47000000000003</v>
      </c>
      <c r="M1904" s="11">
        <v>156.94</v>
      </c>
    </row>
    <row r="1905" spans="1:13" ht="15.75" customHeight="1" x14ac:dyDescent="0.3">
      <c r="A1905" s="4" t="s">
        <v>18</v>
      </c>
      <c r="B1905">
        <f t="shared" si="29"/>
        <v>3</v>
      </c>
      <c r="C1905" s="2" t="s">
        <v>32</v>
      </c>
      <c r="D1905" s="2" t="s">
        <v>985</v>
      </c>
      <c r="E1905" s="7">
        <v>119.29</v>
      </c>
      <c r="F1905" s="2">
        <v>6</v>
      </c>
      <c r="G1905" s="7">
        <v>240.68</v>
      </c>
      <c r="H1905" s="2" t="s">
        <v>395</v>
      </c>
      <c r="I1905" s="2" t="s">
        <v>29</v>
      </c>
      <c r="J1905" s="2" t="s">
        <v>25</v>
      </c>
      <c r="K1905" s="2" t="s">
        <v>17</v>
      </c>
      <c r="L1905" s="7">
        <f>Table3[[#This Row],[Revenue]]-Table3[[#This Row],[Ad Spend]]</f>
        <v>121.39</v>
      </c>
      <c r="M1905" s="11">
        <v>147.63999999999999</v>
      </c>
    </row>
    <row r="1906" spans="1:13" ht="15.75" customHeight="1" x14ac:dyDescent="0.3">
      <c r="A1906" s="4" t="s">
        <v>162</v>
      </c>
      <c r="B1906">
        <f t="shared" si="29"/>
        <v>4</v>
      </c>
      <c r="C1906" s="2" t="s">
        <v>63</v>
      </c>
      <c r="D1906" s="2" t="s">
        <v>534</v>
      </c>
      <c r="E1906" s="7">
        <v>27</v>
      </c>
      <c r="F1906" s="2">
        <v>1</v>
      </c>
      <c r="G1906" s="7">
        <v>162.93</v>
      </c>
      <c r="H1906" s="2" t="s">
        <v>301</v>
      </c>
      <c r="I1906" s="2" t="s">
        <v>29</v>
      </c>
      <c r="J1906" s="2" t="s">
        <v>30</v>
      </c>
      <c r="K1906" s="2" t="s">
        <v>17</v>
      </c>
      <c r="L1906" s="7">
        <f>Table3[[#This Row],[Revenue]]-Table3[[#This Row],[Ad Spend]]</f>
        <v>135.93</v>
      </c>
      <c r="M1906" s="11">
        <v>143.38</v>
      </c>
    </row>
    <row r="1907" spans="1:13" ht="15.75" customHeight="1" x14ac:dyDescent="0.3">
      <c r="A1907" s="4" t="s">
        <v>40</v>
      </c>
      <c r="B1907">
        <f t="shared" si="29"/>
        <v>3</v>
      </c>
      <c r="C1907" s="2" t="s">
        <v>12</v>
      </c>
      <c r="D1907" s="2" t="s">
        <v>1176</v>
      </c>
      <c r="E1907" s="7">
        <v>25.7</v>
      </c>
      <c r="F1907" s="2">
        <v>6</v>
      </c>
      <c r="G1907" s="7">
        <v>333.59</v>
      </c>
      <c r="H1907" s="2" t="s">
        <v>96</v>
      </c>
      <c r="I1907" s="2" t="s">
        <v>15</v>
      </c>
      <c r="J1907" s="2" t="s">
        <v>36</v>
      </c>
      <c r="K1907" s="2" t="s">
        <v>17</v>
      </c>
      <c r="L1907" s="7">
        <f>Table3[[#This Row],[Revenue]]-Table3[[#This Row],[Ad Spend]]</f>
        <v>307.89</v>
      </c>
      <c r="M1907" s="11">
        <v>139.15</v>
      </c>
    </row>
    <row r="1908" spans="1:13" ht="15.75" customHeight="1" x14ac:dyDescent="0.3">
      <c r="A1908" s="4" t="s">
        <v>43</v>
      </c>
      <c r="B1908">
        <f t="shared" si="29"/>
        <v>11</v>
      </c>
      <c r="C1908" s="2" t="s">
        <v>19</v>
      </c>
      <c r="D1908" s="2" t="s">
        <v>611</v>
      </c>
      <c r="E1908" s="7">
        <v>127.17</v>
      </c>
      <c r="F1908" s="2">
        <v>10</v>
      </c>
      <c r="G1908" s="7">
        <v>429.71</v>
      </c>
      <c r="H1908" s="2" t="s">
        <v>901</v>
      </c>
      <c r="I1908" s="2" t="s">
        <v>29</v>
      </c>
      <c r="J1908" s="2" t="s">
        <v>87</v>
      </c>
      <c r="K1908" s="2" t="s">
        <v>17</v>
      </c>
      <c r="L1908" s="7">
        <f>Table3[[#This Row],[Revenue]]-Table3[[#This Row],[Ad Spend]]</f>
        <v>302.53999999999996</v>
      </c>
      <c r="M1908" s="11">
        <v>120.71</v>
      </c>
    </row>
    <row r="1909" spans="1:13" ht="15.75" customHeight="1" x14ac:dyDescent="0.3">
      <c r="A1909" s="4" t="s">
        <v>914</v>
      </c>
      <c r="B1909">
        <f t="shared" si="29"/>
        <v>11</v>
      </c>
      <c r="C1909" s="2" t="s">
        <v>12</v>
      </c>
      <c r="D1909" s="2" t="s">
        <v>729</v>
      </c>
      <c r="E1909" s="7">
        <v>143.88999999999999</v>
      </c>
      <c r="F1909" s="2">
        <v>8</v>
      </c>
      <c r="G1909" s="7">
        <v>32.22</v>
      </c>
      <c r="H1909" s="2" t="s">
        <v>570</v>
      </c>
      <c r="I1909" s="2" t="s">
        <v>15</v>
      </c>
      <c r="J1909" s="2" t="s">
        <v>25</v>
      </c>
      <c r="K1909" s="2" t="s">
        <v>17</v>
      </c>
      <c r="L1909" s="7">
        <f>Table3[[#This Row],[Revenue]]-Table3[[#This Row],[Ad Spend]]</f>
        <v>-111.66999999999999</v>
      </c>
      <c r="M1909" s="11">
        <v>112.77</v>
      </c>
    </row>
    <row r="1910" spans="1:13" ht="15.75" customHeight="1" x14ac:dyDescent="0.3">
      <c r="A1910" s="4" t="s">
        <v>191</v>
      </c>
      <c r="B1910">
        <f t="shared" si="29"/>
        <v>11</v>
      </c>
      <c r="C1910" s="2" t="s">
        <v>12</v>
      </c>
      <c r="D1910" s="2" t="s">
        <v>635</v>
      </c>
      <c r="E1910" s="7">
        <v>43.95</v>
      </c>
      <c r="F1910" s="2">
        <v>1</v>
      </c>
      <c r="G1910" s="7">
        <v>411.87</v>
      </c>
      <c r="H1910" s="2" t="s">
        <v>1278</v>
      </c>
      <c r="I1910" s="2" t="s">
        <v>15</v>
      </c>
      <c r="J1910" s="2" t="s">
        <v>30</v>
      </c>
      <c r="K1910" s="2" t="s">
        <v>17</v>
      </c>
      <c r="L1910" s="7">
        <f>Table3[[#This Row],[Revenue]]-Table3[[#This Row],[Ad Spend]]</f>
        <v>367.92</v>
      </c>
      <c r="M1910" s="11">
        <v>186.49</v>
      </c>
    </row>
    <row r="1911" spans="1:13" ht="15.75" customHeight="1" x14ac:dyDescent="0.3">
      <c r="A1911" s="4" t="s">
        <v>102</v>
      </c>
      <c r="B1911">
        <f t="shared" si="29"/>
        <v>3</v>
      </c>
      <c r="C1911" s="2" t="s">
        <v>12</v>
      </c>
      <c r="D1911" s="2" t="s">
        <v>1279</v>
      </c>
      <c r="E1911" s="7">
        <v>116.94</v>
      </c>
      <c r="F1911" s="2">
        <v>3</v>
      </c>
      <c r="G1911" s="7">
        <v>54.91</v>
      </c>
      <c r="H1911" s="2" t="s">
        <v>321</v>
      </c>
      <c r="I1911" s="2" t="s">
        <v>35</v>
      </c>
      <c r="J1911" s="2" t="s">
        <v>53</v>
      </c>
      <c r="K1911" s="2" t="s">
        <v>17</v>
      </c>
      <c r="L1911" s="7">
        <f>Table3[[#This Row],[Revenue]]-Table3[[#This Row],[Ad Spend]]</f>
        <v>-62.03</v>
      </c>
      <c r="M1911" s="11">
        <v>87.51</v>
      </c>
    </row>
    <row r="1912" spans="1:13" ht="15.75" customHeight="1" x14ac:dyDescent="0.3">
      <c r="A1912" s="4" t="s">
        <v>783</v>
      </c>
      <c r="B1912">
        <f t="shared" si="29"/>
        <v>1</v>
      </c>
      <c r="C1912" s="2" t="s">
        <v>12</v>
      </c>
      <c r="D1912" s="2" t="s">
        <v>1132</v>
      </c>
      <c r="E1912" s="7">
        <v>92.24</v>
      </c>
      <c r="F1912" s="2">
        <v>0</v>
      </c>
      <c r="G1912" s="7">
        <v>25.55</v>
      </c>
      <c r="H1912" s="2" t="s">
        <v>1478</v>
      </c>
      <c r="I1912" s="2" t="s">
        <v>15</v>
      </c>
      <c r="J1912" s="2" t="s">
        <v>36</v>
      </c>
      <c r="K1912" s="2" t="s">
        <v>46</v>
      </c>
      <c r="L1912" s="7">
        <f>Table3[[#This Row],[Revenue]]-Table3[[#This Row],[Ad Spend]]</f>
        <v>-66.69</v>
      </c>
      <c r="M1912" s="11">
        <v>47.44</v>
      </c>
    </row>
    <row r="1913" spans="1:13" ht="15.75" customHeight="1" x14ac:dyDescent="0.3">
      <c r="A1913" s="4" t="s">
        <v>181</v>
      </c>
      <c r="B1913">
        <f t="shared" si="29"/>
        <v>11</v>
      </c>
      <c r="C1913" s="2" t="s">
        <v>32</v>
      </c>
      <c r="D1913" s="2" t="s">
        <v>51</v>
      </c>
      <c r="E1913" s="7">
        <v>21.99</v>
      </c>
      <c r="F1913" s="2">
        <v>7</v>
      </c>
      <c r="G1913" s="7">
        <v>426.83</v>
      </c>
      <c r="H1913" s="2" t="s">
        <v>301</v>
      </c>
      <c r="I1913" s="2" t="s">
        <v>15</v>
      </c>
      <c r="J1913" s="2" t="s">
        <v>53</v>
      </c>
      <c r="K1913" s="2" t="s">
        <v>17</v>
      </c>
      <c r="L1913" s="7">
        <f>Table3[[#This Row],[Revenue]]-Table3[[#This Row],[Ad Spend]]</f>
        <v>404.84</v>
      </c>
      <c r="M1913" s="11">
        <v>149.74</v>
      </c>
    </row>
    <row r="1914" spans="1:13" ht="15.75" customHeight="1" x14ac:dyDescent="0.3">
      <c r="A1914" s="4" t="s">
        <v>290</v>
      </c>
      <c r="B1914">
        <f t="shared" si="29"/>
        <v>1</v>
      </c>
      <c r="C1914" s="2" t="s">
        <v>12</v>
      </c>
      <c r="D1914" s="2" t="s">
        <v>1487</v>
      </c>
      <c r="E1914" s="7">
        <v>37.24</v>
      </c>
      <c r="F1914" s="2">
        <v>1</v>
      </c>
      <c r="G1914" s="7">
        <v>469.29</v>
      </c>
      <c r="H1914" s="2" t="s">
        <v>389</v>
      </c>
      <c r="I1914" s="2" t="s">
        <v>35</v>
      </c>
      <c r="J1914" s="2" t="s">
        <v>25</v>
      </c>
      <c r="K1914" s="2" t="s">
        <v>17</v>
      </c>
      <c r="L1914" s="7">
        <f>Table3[[#This Row],[Revenue]]-Table3[[#This Row],[Ad Spend]]</f>
        <v>432.05</v>
      </c>
      <c r="M1914" s="11">
        <v>114.85</v>
      </c>
    </row>
    <row r="1915" spans="1:13" ht="15.75" customHeight="1" x14ac:dyDescent="0.3">
      <c r="A1915" s="4" t="s">
        <v>834</v>
      </c>
      <c r="B1915">
        <f t="shared" si="29"/>
        <v>11</v>
      </c>
      <c r="C1915" s="2" t="s">
        <v>32</v>
      </c>
      <c r="D1915" s="2" t="s">
        <v>565</v>
      </c>
      <c r="E1915" s="7">
        <v>35.5</v>
      </c>
      <c r="F1915" s="2">
        <v>3</v>
      </c>
      <c r="G1915" s="7">
        <v>198.32</v>
      </c>
      <c r="H1915" s="2" t="s">
        <v>389</v>
      </c>
      <c r="I1915" s="2" t="s">
        <v>35</v>
      </c>
      <c r="J1915" s="2" t="s">
        <v>25</v>
      </c>
      <c r="K1915" s="2" t="s">
        <v>17</v>
      </c>
      <c r="L1915" s="7">
        <f>Table3[[#This Row],[Revenue]]-Table3[[#This Row],[Ad Spend]]</f>
        <v>162.82</v>
      </c>
      <c r="M1915" s="11">
        <v>109.19</v>
      </c>
    </row>
    <row r="1916" spans="1:13" ht="15.75" customHeight="1" x14ac:dyDescent="0.3">
      <c r="A1916" s="4" t="s">
        <v>659</v>
      </c>
      <c r="B1916">
        <f t="shared" si="29"/>
        <v>4</v>
      </c>
      <c r="C1916" s="2" t="s">
        <v>63</v>
      </c>
      <c r="D1916" s="2" t="s">
        <v>83</v>
      </c>
      <c r="E1916" s="7">
        <v>102.19</v>
      </c>
      <c r="F1916" s="2">
        <v>7</v>
      </c>
      <c r="G1916" s="7">
        <v>315.3</v>
      </c>
      <c r="H1916" s="2" t="s">
        <v>61</v>
      </c>
      <c r="I1916" s="2" t="s">
        <v>29</v>
      </c>
      <c r="J1916" s="2" t="s">
        <v>87</v>
      </c>
      <c r="K1916" s="2" t="s">
        <v>17</v>
      </c>
      <c r="L1916" s="7">
        <f>Table3[[#This Row],[Revenue]]-Table3[[#This Row],[Ad Spend]]</f>
        <v>213.11</v>
      </c>
      <c r="M1916" s="11">
        <v>139.96</v>
      </c>
    </row>
    <row r="1917" spans="1:13" ht="15.75" customHeight="1" x14ac:dyDescent="0.3">
      <c r="A1917" s="4" t="s">
        <v>220</v>
      </c>
      <c r="B1917">
        <f t="shared" si="29"/>
        <v>12</v>
      </c>
      <c r="C1917" s="2" t="s">
        <v>12</v>
      </c>
      <c r="D1917" s="2" t="s">
        <v>743</v>
      </c>
      <c r="E1917" s="7">
        <v>143.57</v>
      </c>
      <c r="F1917" s="2">
        <v>2</v>
      </c>
      <c r="G1917" s="7">
        <v>456.36</v>
      </c>
      <c r="H1917" s="2" t="s">
        <v>282</v>
      </c>
      <c r="I1917" s="2" t="s">
        <v>35</v>
      </c>
      <c r="J1917" s="2" t="s">
        <v>25</v>
      </c>
      <c r="K1917" s="2" t="s">
        <v>17</v>
      </c>
      <c r="L1917" s="7">
        <f>Table3[[#This Row],[Revenue]]-Table3[[#This Row],[Ad Spend]]</f>
        <v>312.79000000000002</v>
      </c>
      <c r="M1917" s="11">
        <v>183.79</v>
      </c>
    </row>
    <row r="1918" spans="1:13" ht="15.75" customHeight="1" x14ac:dyDescent="0.3">
      <c r="A1918" s="4" t="s">
        <v>247</v>
      </c>
      <c r="B1918">
        <f t="shared" si="29"/>
        <v>3</v>
      </c>
      <c r="C1918" s="2" t="s">
        <v>19</v>
      </c>
      <c r="D1918" s="2" t="s">
        <v>103</v>
      </c>
      <c r="E1918" s="7">
        <v>32.64</v>
      </c>
      <c r="F1918" s="2">
        <v>2</v>
      </c>
      <c r="G1918" s="7">
        <v>38.69</v>
      </c>
      <c r="H1918" s="2" t="s">
        <v>1125</v>
      </c>
      <c r="I1918" s="2" t="s">
        <v>15</v>
      </c>
      <c r="J1918" s="2" t="s">
        <v>25</v>
      </c>
      <c r="K1918" s="2" t="s">
        <v>17</v>
      </c>
      <c r="L1918" s="7">
        <f>Table3[[#This Row],[Revenue]]-Table3[[#This Row],[Ad Spend]]</f>
        <v>6.0499999999999972</v>
      </c>
      <c r="M1918" s="11">
        <v>75.72</v>
      </c>
    </row>
    <row r="1919" spans="1:13" ht="15.75" customHeight="1" x14ac:dyDescent="0.3">
      <c r="A1919" s="4" t="s">
        <v>110</v>
      </c>
      <c r="B1919">
        <f t="shared" si="29"/>
        <v>4</v>
      </c>
      <c r="C1919" s="2" t="s">
        <v>32</v>
      </c>
      <c r="D1919" s="2" t="s">
        <v>492</v>
      </c>
      <c r="E1919" s="7">
        <v>114.17</v>
      </c>
      <c r="F1919" s="2">
        <v>6</v>
      </c>
      <c r="G1919" s="7">
        <v>378.28</v>
      </c>
      <c r="H1919" s="2" t="s">
        <v>58</v>
      </c>
      <c r="I1919" s="2" t="s">
        <v>35</v>
      </c>
      <c r="J1919" s="2" t="s">
        <v>36</v>
      </c>
      <c r="K1919" s="2" t="s">
        <v>17</v>
      </c>
      <c r="L1919" s="7">
        <f>Table3[[#This Row],[Revenue]]-Table3[[#This Row],[Ad Spend]]</f>
        <v>264.10999999999996</v>
      </c>
      <c r="M1919" s="11">
        <v>130.41999999999999</v>
      </c>
    </row>
    <row r="1920" spans="1:13" ht="15.75" customHeight="1" x14ac:dyDescent="0.3">
      <c r="A1920" s="4" t="s">
        <v>914</v>
      </c>
      <c r="B1920">
        <f t="shared" si="29"/>
        <v>11</v>
      </c>
      <c r="C1920" s="2" t="s">
        <v>19</v>
      </c>
      <c r="D1920" s="2" t="s">
        <v>1317</v>
      </c>
      <c r="E1920" s="7">
        <v>66.459999999999994</v>
      </c>
      <c r="F1920" s="2">
        <v>0</v>
      </c>
      <c r="G1920" s="7">
        <v>289.24</v>
      </c>
      <c r="H1920" s="2" t="s">
        <v>471</v>
      </c>
      <c r="I1920" s="2" t="s">
        <v>29</v>
      </c>
      <c r="J1920" s="2" t="s">
        <v>25</v>
      </c>
      <c r="K1920" s="2" t="s">
        <v>46</v>
      </c>
      <c r="L1920" s="7">
        <f>Table3[[#This Row],[Revenue]]-Table3[[#This Row],[Ad Spend]]</f>
        <v>222.78000000000003</v>
      </c>
      <c r="M1920" s="11">
        <v>124.84</v>
      </c>
    </row>
    <row r="1921" spans="1:13" ht="15.75" customHeight="1" x14ac:dyDescent="0.3">
      <c r="A1921" s="4" t="s">
        <v>623</v>
      </c>
      <c r="B1921">
        <f t="shared" si="29"/>
        <v>1</v>
      </c>
      <c r="C1921" s="2" t="s">
        <v>63</v>
      </c>
      <c r="D1921" s="2" t="s">
        <v>329</v>
      </c>
      <c r="E1921" s="7">
        <v>101.38</v>
      </c>
      <c r="F1921" s="2">
        <v>10</v>
      </c>
      <c r="G1921" s="7">
        <v>472.48</v>
      </c>
      <c r="H1921" s="2" t="s">
        <v>81</v>
      </c>
      <c r="I1921" s="2" t="s">
        <v>15</v>
      </c>
      <c r="J1921" s="2" t="s">
        <v>30</v>
      </c>
      <c r="K1921" s="2" t="s">
        <v>17</v>
      </c>
      <c r="L1921" s="7">
        <f>Table3[[#This Row],[Revenue]]-Table3[[#This Row],[Ad Spend]]</f>
        <v>371.1</v>
      </c>
      <c r="M1921" s="11">
        <v>130.97</v>
      </c>
    </row>
    <row r="1922" spans="1:13" ht="15.75" customHeight="1" x14ac:dyDescent="0.3">
      <c r="A1922" s="4" t="s">
        <v>356</v>
      </c>
      <c r="B1922">
        <f t="shared" si="29"/>
        <v>3</v>
      </c>
      <c r="C1922" s="2" t="s">
        <v>32</v>
      </c>
      <c r="D1922" s="2" t="s">
        <v>1</v>
      </c>
      <c r="E1922" s="7">
        <v>78.819999999999993</v>
      </c>
      <c r="F1922" s="2">
        <v>1</v>
      </c>
      <c r="G1922" s="7">
        <v>467.38</v>
      </c>
      <c r="H1922" s="2" t="s">
        <v>24</v>
      </c>
      <c r="I1922" s="2" t="s">
        <v>35</v>
      </c>
      <c r="J1922" s="2" t="s">
        <v>36</v>
      </c>
      <c r="K1922" s="2" t="s">
        <v>17</v>
      </c>
      <c r="L1922" s="7">
        <f>Table3[[#This Row],[Revenue]]-Table3[[#This Row],[Ad Spend]]</f>
        <v>388.56</v>
      </c>
      <c r="M1922" s="11">
        <v>140.51</v>
      </c>
    </row>
    <row r="1923" spans="1:13" ht="15.75" customHeight="1" x14ac:dyDescent="0.3">
      <c r="A1923" s="4" t="s">
        <v>115</v>
      </c>
      <c r="B1923">
        <f t="shared" ref="B1923:B1986" si="30">MONTH(A1923)</f>
        <v>2</v>
      </c>
      <c r="C1923" s="2" t="s">
        <v>19</v>
      </c>
      <c r="D1923" s="2" t="s">
        <v>1009</v>
      </c>
      <c r="E1923" s="7">
        <v>81.400000000000006</v>
      </c>
      <c r="F1923" s="2">
        <v>1</v>
      </c>
      <c r="G1923" s="7">
        <v>387.05</v>
      </c>
      <c r="H1923" s="2" t="s">
        <v>213</v>
      </c>
      <c r="I1923" s="2" t="s">
        <v>29</v>
      </c>
      <c r="J1923" s="2" t="s">
        <v>25</v>
      </c>
      <c r="K1923" s="2" t="s">
        <v>17</v>
      </c>
      <c r="L1923" s="7">
        <f>Table3[[#This Row],[Revenue]]-Table3[[#This Row],[Ad Spend]]</f>
        <v>305.64999999999998</v>
      </c>
      <c r="M1923" s="11">
        <v>115.85</v>
      </c>
    </row>
    <row r="1924" spans="1:13" ht="15.75" customHeight="1" x14ac:dyDescent="0.3">
      <c r="A1924" s="4" t="s">
        <v>783</v>
      </c>
      <c r="B1924">
        <f t="shared" si="30"/>
        <v>1</v>
      </c>
      <c r="C1924" s="2" t="s">
        <v>12</v>
      </c>
      <c r="D1924" s="2" t="s">
        <v>80</v>
      </c>
      <c r="E1924" s="7">
        <v>9.07</v>
      </c>
      <c r="F1924" s="2">
        <v>10</v>
      </c>
      <c r="G1924" s="7">
        <v>484.22</v>
      </c>
      <c r="H1924" s="2" t="s">
        <v>141</v>
      </c>
      <c r="I1924" s="2" t="s">
        <v>35</v>
      </c>
      <c r="J1924" s="2" t="s">
        <v>53</v>
      </c>
      <c r="K1924" s="2" t="s">
        <v>17</v>
      </c>
      <c r="L1924" s="7">
        <f>Table3[[#This Row],[Revenue]]-Table3[[#This Row],[Ad Spend]]</f>
        <v>475.15000000000003</v>
      </c>
      <c r="M1924" s="11">
        <v>149.18</v>
      </c>
    </row>
    <row r="1925" spans="1:13" ht="15.75" customHeight="1" x14ac:dyDescent="0.3">
      <c r="A1925" s="4" t="s">
        <v>76</v>
      </c>
      <c r="B1925">
        <f t="shared" si="30"/>
        <v>1</v>
      </c>
      <c r="C1925" s="2" t="s">
        <v>32</v>
      </c>
      <c r="D1925" s="2" t="s">
        <v>1199</v>
      </c>
      <c r="E1925" s="7">
        <v>5.57</v>
      </c>
      <c r="F1925" s="2">
        <v>6</v>
      </c>
      <c r="G1925" s="7">
        <v>401.15</v>
      </c>
      <c r="H1925" s="2" t="s">
        <v>301</v>
      </c>
      <c r="I1925" s="2" t="s">
        <v>29</v>
      </c>
      <c r="J1925" s="2" t="s">
        <v>53</v>
      </c>
      <c r="K1925" s="2" t="s">
        <v>17</v>
      </c>
      <c r="L1925" s="7">
        <f>Table3[[#This Row],[Revenue]]-Table3[[#This Row],[Ad Spend]]</f>
        <v>395.58</v>
      </c>
      <c r="M1925" s="11">
        <v>144.63999999999999</v>
      </c>
    </row>
    <row r="1926" spans="1:13" ht="15.75" customHeight="1" x14ac:dyDescent="0.3">
      <c r="A1926" s="4" t="s">
        <v>254</v>
      </c>
      <c r="B1926">
        <f t="shared" si="30"/>
        <v>11</v>
      </c>
      <c r="C1926" s="2" t="s">
        <v>32</v>
      </c>
      <c r="D1926" s="2" t="s">
        <v>1091</v>
      </c>
      <c r="E1926" s="7">
        <v>136.32</v>
      </c>
      <c r="F1926" s="2">
        <v>9</v>
      </c>
      <c r="G1926" s="7">
        <v>195.76</v>
      </c>
      <c r="H1926" s="2" t="s">
        <v>166</v>
      </c>
      <c r="I1926" s="2" t="s">
        <v>29</v>
      </c>
      <c r="J1926" s="2" t="s">
        <v>16</v>
      </c>
      <c r="K1926" s="2" t="s">
        <v>17</v>
      </c>
      <c r="L1926" s="7">
        <f>Table3[[#This Row],[Revenue]]-Table3[[#This Row],[Ad Spend]]</f>
        <v>59.44</v>
      </c>
      <c r="M1926" s="11">
        <v>139.59</v>
      </c>
    </row>
    <row r="1927" spans="1:13" ht="15.75" customHeight="1" x14ac:dyDescent="0.3">
      <c r="A1927" s="4" t="s">
        <v>238</v>
      </c>
      <c r="B1927">
        <f t="shared" si="30"/>
        <v>3</v>
      </c>
      <c r="C1927" s="2" t="s">
        <v>19</v>
      </c>
      <c r="D1927" s="2" t="s">
        <v>430</v>
      </c>
      <c r="E1927" s="7">
        <v>36.68</v>
      </c>
      <c r="F1927" s="2">
        <v>2</v>
      </c>
      <c r="G1927" s="7">
        <v>255.86</v>
      </c>
      <c r="H1927" s="2" t="s">
        <v>1488</v>
      </c>
      <c r="I1927" s="2" t="s">
        <v>35</v>
      </c>
      <c r="J1927" s="2" t="s">
        <v>25</v>
      </c>
      <c r="K1927" s="2" t="s">
        <v>17</v>
      </c>
      <c r="L1927" s="7">
        <f>Table3[[#This Row],[Revenue]]-Table3[[#This Row],[Ad Spend]]</f>
        <v>219.18</v>
      </c>
      <c r="M1927" s="11">
        <v>127.78</v>
      </c>
    </row>
    <row r="1928" spans="1:13" ht="15.75" customHeight="1" x14ac:dyDescent="0.3">
      <c r="A1928" s="4" t="s">
        <v>589</v>
      </c>
      <c r="B1928">
        <f t="shared" si="30"/>
        <v>12</v>
      </c>
      <c r="C1928" s="2" t="s">
        <v>63</v>
      </c>
      <c r="D1928" s="2" t="s">
        <v>1489</v>
      </c>
      <c r="E1928" s="7">
        <v>51.67</v>
      </c>
      <c r="F1928" s="2">
        <v>1</v>
      </c>
      <c r="G1928" s="7">
        <v>113.57</v>
      </c>
      <c r="H1928" s="2" t="s">
        <v>1490</v>
      </c>
      <c r="I1928" s="2" t="s">
        <v>15</v>
      </c>
      <c r="J1928" s="2" t="s">
        <v>30</v>
      </c>
      <c r="K1928" s="2" t="s">
        <v>17</v>
      </c>
      <c r="L1928" s="7">
        <f>Table3[[#This Row],[Revenue]]-Table3[[#This Row],[Ad Spend]]</f>
        <v>61.899999999999991</v>
      </c>
      <c r="M1928" s="11">
        <v>55.93</v>
      </c>
    </row>
    <row r="1929" spans="1:13" ht="15.75" customHeight="1" x14ac:dyDescent="0.3">
      <c r="A1929" s="4" t="s">
        <v>56</v>
      </c>
      <c r="B1929">
        <f t="shared" si="30"/>
        <v>12</v>
      </c>
      <c r="C1929" s="2" t="s">
        <v>63</v>
      </c>
      <c r="D1929" s="2" t="s">
        <v>1143</v>
      </c>
      <c r="E1929" s="7">
        <v>9.25</v>
      </c>
      <c r="F1929" s="2">
        <v>4</v>
      </c>
      <c r="G1929" s="7">
        <v>488.65</v>
      </c>
      <c r="H1929" s="2" t="s">
        <v>301</v>
      </c>
      <c r="I1929" s="2" t="s">
        <v>29</v>
      </c>
      <c r="J1929" s="2" t="s">
        <v>30</v>
      </c>
      <c r="K1929" s="2" t="s">
        <v>17</v>
      </c>
      <c r="L1929" s="7">
        <f>Table3[[#This Row],[Revenue]]-Table3[[#This Row],[Ad Spend]]</f>
        <v>479.4</v>
      </c>
      <c r="M1929" s="11">
        <v>149.37</v>
      </c>
    </row>
    <row r="1930" spans="1:13" ht="15.75" customHeight="1" x14ac:dyDescent="0.3">
      <c r="A1930" s="4" t="s">
        <v>475</v>
      </c>
      <c r="B1930">
        <f t="shared" si="30"/>
        <v>3</v>
      </c>
      <c r="C1930" s="2" t="s">
        <v>19</v>
      </c>
      <c r="D1930" s="2" t="s">
        <v>1424</v>
      </c>
      <c r="E1930" s="7">
        <v>41.06</v>
      </c>
      <c r="F1930" s="2">
        <v>0</v>
      </c>
      <c r="G1930" s="7">
        <v>347.44</v>
      </c>
      <c r="H1930" s="2" t="s">
        <v>330</v>
      </c>
      <c r="I1930" s="2" t="s">
        <v>29</v>
      </c>
      <c r="J1930" s="2" t="s">
        <v>25</v>
      </c>
      <c r="K1930" s="2" t="s">
        <v>46</v>
      </c>
      <c r="L1930" s="7">
        <f>Table3[[#This Row],[Revenue]]-Table3[[#This Row],[Ad Spend]]</f>
        <v>306.38</v>
      </c>
      <c r="M1930" s="11">
        <v>126.3</v>
      </c>
    </row>
    <row r="1931" spans="1:13" ht="15.75" customHeight="1" x14ac:dyDescent="0.3">
      <c r="A1931" s="4" t="s">
        <v>475</v>
      </c>
      <c r="B1931">
        <f t="shared" si="30"/>
        <v>3</v>
      </c>
      <c r="C1931" s="2" t="s">
        <v>19</v>
      </c>
      <c r="D1931" s="2" t="s">
        <v>737</v>
      </c>
      <c r="E1931" s="7">
        <v>91.78</v>
      </c>
      <c r="F1931" s="2">
        <v>10</v>
      </c>
      <c r="G1931" s="7">
        <v>159.28</v>
      </c>
      <c r="H1931" s="2" t="s">
        <v>225</v>
      </c>
      <c r="I1931" s="2" t="s">
        <v>35</v>
      </c>
      <c r="J1931" s="2" t="s">
        <v>30</v>
      </c>
      <c r="K1931" s="2" t="s">
        <v>17</v>
      </c>
      <c r="L1931" s="7">
        <f>Table3[[#This Row],[Revenue]]-Table3[[#This Row],[Ad Spend]]</f>
        <v>67.5</v>
      </c>
      <c r="M1931" s="11">
        <v>125.53</v>
      </c>
    </row>
    <row r="1932" spans="1:13" ht="15.75" customHeight="1" x14ac:dyDescent="0.3">
      <c r="A1932" s="4" t="s">
        <v>499</v>
      </c>
      <c r="B1932">
        <f t="shared" si="30"/>
        <v>4</v>
      </c>
      <c r="C1932" s="2" t="s">
        <v>19</v>
      </c>
      <c r="D1932" s="2" t="s">
        <v>899</v>
      </c>
      <c r="E1932" s="7">
        <v>104.59</v>
      </c>
      <c r="F1932" s="2">
        <v>4</v>
      </c>
      <c r="G1932" s="7">
        <v>417.59</v>
      </c>
      <c r="H1932" s="2" t="s">
        <v>422</v>
      </c>
      <c r="I1932" s="2" t="s">
        <v>29</v>
      </c>
      <c r="J1932" s="2" t="s">
        <v>30</v>
      </c>
      <c r="K1932" s="2" t="s">
        <v>17</v>
      </c>
      <c r="L1932" s="7">
        <f>Table3[[#This Row],[Revenue]]-Table3[[#This Row],[Ad Spend]]</f>
        <v>313</v>
      </c>
      <c r="M1932" s="11">
        <v>139.66</v>
      </c>
    </row>
    <row r="1933" spans="1:13" ht="15.75" customHeight="1" x14ac:dyDescent="0.3">
      <c r="A1933" s="4" t="s">
        <v>236</v>
      </c>
      <c r="B1933">
        <f t="shared" si="30"/>
        <v>4</v>
      </c>
      <c r="C1933" s="2" t="s">
        <v>32</v>
      </c>
      <c r="D1933" s="2" t="s">
        <v>1159</v>
      </c>
      <c r="E1933" s="7">
        <v>14.81</v>
      </c>
      <c r="F1933" s="2">
        <v>0</v>
      </c>
      <c r="G1933" s="7">
        <v>333.7</v>
      </c>
      <c r="H1933" s="2" t="s">
        <v>990</v>
      </c>
      <c r="I1933" s="2" t="s">
        <v>15</v>
      </c>
      <c r="J1933" s="2" t="s">
        <v>16</v>
      </c>
      <c r="K1933" s="2" t="s">
        <v>46</v>
      </c>
      <c r="L1933" s="7">
        <f>Table3[[#This Row],[Revenue]]-Table3[[#This Row],[Ad Spend]]</f>
        <v>318.89</v>
      </c>
      <c r="M1933" s="11">
        <v>156.54</v>
      </c>
    </row>
    <row r="1934" spans="1:13" ht="15.75" customHeight="1" x14ac:dyDescent="0.3">
      <c r="A1934" s="4" t="s">
        <v>273</v>
      </c>
      <c r="B1934">
        <f t="shared" si="30"/>
        <v>11</v>
      </c>
      <c r="C1934" s="2" t="s">
        <v>19</v>
      </c>
      <c r="D1934" s="2" t="s">
        <v>1244</v>
      </c>
      <c r="E1934" s="7">
        <v>12.19</v>
      </c>
      <c r="F1934" s="2">
        <v>3</v>
      </c>
      <c r="G1934" s="7">
        <v>129.05000000000001</v>
      </c>
      <c r="H1934" s="2" t="s">
        <v>198</v>
      </c>
      <c r="I1934" s="2" t="s">
        <v>35</v>
      </c>
      <c r="J1934" s="2" t="s">
        <v>53</v>
      </c>
      <c r="K1934" s="2" t="s">
        <v>17</v>
      </c>
      <c r="L1934" s="7">
        <f>Table3[[#This Row],[Revenue]]-Table3[[#This Row],[Ad Spend]]</f>
        <v>116.86000000000001</v>
      </c>
      <c r="M1934" s="11">
        <v>110.81</v>
      </c>
    </row>
    <row r="1935" spans="1:13" ht="15.75" customHeight="1" x14ac:dyDescent="0.3">
      <c r="A1935" s="4" t="s">
        <v>139</v>
      </c>
      <c r="B1935">
        <f t="shared" si="30"/>
        <v>12</v>
      </c>
      <c r="C1935" s="2" t="s">
        <v>12</v>
      </c>
      <c r="D1935" s="2" t="s">
        <v>1143</v>
      </c>
      <c r="E1935" s="7">
        <v>68.63</v>
      </c>
      <c r="F1935" s="2">
        <v>6</v>
      </c>
      <c r="G1935" s="7">
        <v>82.51</v>
      </c>
      <c r="H1935" s="2" t="s">
        <v>535</v>
      </c>
      <c r="I1935" s="2" t="s">
        <v>15</v>
      </c>
      <c r="J1935" s="2" t="s">
        <v>30</v>
      </c>
      <c r="K1935" s="2" t="s">
        <v>17</v>
      </c>
      <c r="L1935" s="7">
        <f>Table3[[#This Row],[Revenue]]-Table3[[#This Row],[Ad Spend]]</f>
        <v>13.88000000000001</v>
      </c>
      <c r="M1935" s="11">
        <v>120.9</v>
      </c>
    </row>
    <row r="1936" spans="1:13" ht="15.75" customHeight="1" x14ac:dyDescent="0.3">
      <c r="A1936" s="4" t="s">
        <v>258</v>
      </c>
      <c r="B1936">
        <f t="shared" si="30"/>
        <v>2</v>
      </c>
      <c r="C1936" s="2" t="s">
        <v>63</v>
      </c>
      <c r="D1936" s="2" t="s">
        <v>127</v>
      </c>
      <c r="E1936" s="7">
        <v>134.05000000000001</v>
      </c>
      <c r="F1936" s="2">
        <v>2</v>
      </c>
      <c r="G1936" s="7">
        <v>398.14</v>
      </c>
      <c r="H1936" s="2" t="s">
        <v>374</v>
      </c>
      <c r="I1936" s="2" t="s">
        <v>29</v>
      </c>
      <c r="J1936" s="2" t="s">
        <v>25</v>
      </c>
      <c r="K1936" s="2" t="s">
        <v>17</v>
      </c>
      <c r="L1936" s="7">
        <f>Table3[[#This Row],[Revenue]]-Table3[[#This Row],[Ad Spend]]</f>
        <v>264.08999999999997</v>
      </c>
      <c r="M1936" s="11">
        <v>120.43</v>
      </c>
    </row>
    <row r="1937" spans="1:13" ht="15.75" customHeight="1" x14ac:dyDescent="0.3">
      <c r="A1937" s="4" t="s">
        <v>120</v>
      </c>
      <c r="B1937">
        <f t="shared" si="30"/>
        <v>3</v>
      </c>
      <c r="C1937" s="2" t="s">
        <v>12</v>
      </c>
      <c r="D1937" s="2" t="s">
        <v>1240</v>
      </c>
      <c r="E1937" s="7">
        <v>137.16999999999999</v>
      </c>
      <c r="F1937" s="2">
        <v>6</v>
      </c>
      <c r="G1937" s="7">
        <v>184.48</v>
      </c>
      <c r="H1937" s="2" t="s">
        <v>42</v>
      </c>
      <c r="I1937" s="2" t="s">
        <v>15</v>
      </c>
      <c r="J1937" s="2" t="s">
        <v>30</v>
      </c>
      <c r="K1937" s="2" t="s">
        <v>17</v>
      </c>
      <c r="L1937" s="7">
        <f>Table3[[#This Row],[Revenue]]-Table3[[#This Row],[Ad Spend]]</f>
        <v>47.31</v>
      </c>
      <c r="M1937" s="11">
        <v>113.38</v>
      </c>
    </row>
    <row r="1938" spans="1:13" ht="15.75" customHeight="1" x14ac:dyDescent="0.3">
      <c r="A1938" s="4" t="s">
        <v>519</v>
      </c>
      <c r="B1938">
        <f t="shared" si="30"/>
        <v>4</v>
      </c>
      <c r="C1938" s="2" t="s">
        <v>19</v>
      </c>
      <c r="D1938" s="2" t="s">
        <v>841</v>
      </c>
      <c r="E1938" s="7">
        <v>89.85</v>
      </c>
      <c r="F1938" s="2">
        <v>3</v>
      </c>
      <c r="G1938" s="7">
        <v>91.38</v>
      </c>
      <c r="H1938" s="2" t="s">
        <v>52</v>
      </c>
      <c r="I1938" s="2" t="s">
        <v>15</v>
      </c>
      <c r="J1938" s="2" t="s">
        <v>36</v>
      </c>
      <c r="K1938" s="2" t="s">
        <v>17</v>
      </c>
      <c r="L1938" s="7">
        <f>Table3[[#This Row],[Revenue]]-Table3[[#This Row],[Ad Spend]]</f>
        <v>1.5300000000000011</v>
      </c>
      <c r="M1938" s="11">
        <v>117.12</v>
      </c>
    </row>
    <row r="1939" spans="1:13" ht="15.75" customHeight="1" x14ac:dyDescent="0.3">
      <c r="A1939" s="4" t="s">
        <v>88</v>
      </c>
      <c r="B1939">
        <f t="shared" si="30"/>
        <v>11</v>
      </c>
      <c r="C1939" s="2" t="s">
        <v>63</v>
      </c>
      <c r="D1939" s="2" t="s">
        <v>1483</v>
      </c>
      <c r="E1939" s="7">
        <v>9.16</v>
      </c>
      <c r="F1939" s="2">
        <v>6</v>
      </c>
      <c r="G1939" s="7">
        <v>242.69</v>
      </c>
      <c r="H1939" s="2" t="s">
        <v>413</v>
      </c>
      <c r="I1939" s="2" t="s">
        <v>35</v>
      </c>
      <c r="J1939" s="2" t="s">
        <v>16</v>
      </c>
      <c r="K1939" s="2" t="s">
        <v>17</v>
      </c>
      <c r="L1939" s="7">
        <f>Table3[[#This Row],[Revenue]]-Table3[[#This Row],[Ad Spend]]</f>
        <v>233.53</v>
      </c>
      <c r="M1939" s="11">
        <v>126.02</v>
      </c>
    </row>
    <row r="1940" spans="1:13" ht="15.75" customHeight="1" x14ac:dyDescent="0.3">
      <c r="A1940" s="4" t="s">
        <v>84</v>
      </c>
      <c r="B1940">
        <f t="shared" si="30"/>
        <v>10</v>
      </c>
      <c r="C1940" s="2" t="s">
        <v>32</v>
      </c>
      <c r="D1940" s="2" t="s">
        <v>581</v>
      </c>
      <c r="E1940" s="7">
        <v>138.69</v>
      </c>
      <c r="F1940" s="2">
        <v>5</v>
      </c>
      <c r="G1940" s="7">
        <v>468.03</v>
      </c>
      <c r="H1940" s="2" t="s">
        <v>489</v>
      </c>
      <c r="I1940" s="2" t="s">
        <v>29</v>
      </c>
      <c r="J1940" s="2" t="s">
        <v>30</v>
      </c>
      <c r="K1940" s="2" t="s">
        <v>17</v>
      </c>
      <c r="L1940" s="7">
        <f>Table3[[#This Row],[Revenue]]-Table3[[#This Row],[Ad Spend]]</f>
        <v>329.34</v>
      </c>
      <c r="M1940" s="11">
        <v>144.86000000000001</v>
      </c>
    </row>
    <row r="1941" spans="1:13" ht="15.75" customHeight="1" x14ac:dyDescent="0.3">
      <c r="A1941" s="4" t="s">
        <v>579</v>
      </c>
      <c r="B1941">
        <f t="shared" si="30"/>
        <v>1</v>
      </c>
      <c r="C1941" s="2" t="s">
        <v>19</v>
      </c>
      <c r="D1941" s="2" t="s">
        <v>984</v>
      </c>
      <c r="E1941" s="7">
        <v>52.57</v>
      </c>
      <c r="F1941" s="2">
        <v>8</v>
      </c>
      <c r="G1941" s="7">
        <v>183.34</v>
      </c>
      <c r="H1941" s="2" t="s">
        <v>161</v>
      </c>
      <c r="I1941" s="2" t="s">
        <v>35</v>
      </c>
      <c r="J1941" s="2" t="s">
        <v>16</v>
      </c>
      <c r="K1941" s="2" t="s">
        <v>17</v>
      </c>
      <c r="L1941" s="7">
        <f>Table3[[#This Row],[Revenue]]-Table3[[#This Row],[Ad Spend]]</f>
        <v>130.77000000000001</v>
      </c>
      <c r="M1941" s="11">
        <v>123.85</v>
      </c>
    </row>
    <row r="1942" spans="1:13" ht="15.75" customHeight="1" x14ac:dyDescent="0.3">
      <c r="A1942" s="4" t="s">
        <v>656</v>
      </c>
      <c r="B1942">
        <f t="shared" si="30"/>
        <v>4</v>
      </c>
      <c r="C1942" s="2" t="s">
        <v>32</v>
      </c>
      <c r="D1942" s="2" t="s">
        <v>989</v>
      </c>
      <c r="E1942" s="7">
        <v>92.23</v>
      </c>
      <c r="F1942" s="2">
        <v>3</v>
      </c>
      <c r="G1942" s="7">
        <v>334.4</v>
      </c>
      <c r="H1942" s="2" t="s">
        <v>204</v>
      </c>
      <c r="I1942" s="2" t="s">
        <v>15</v>
      </c>
      <c r="J1942" s="2" t="s">
        <v>53</v>
      </c>
      <c r="K1942" s="2" t="s">
        <v>17</v>
      </c>
      <c r="L1942" s="7">
        <f>Table3[[#This Row],[Revenue]]-Table3[[#This Row],[Ad Spend]]</f>
        <v>242.16999999999996</v>
      </c>
      <c r="M1942" s="11">
        <v>138.43</v>
      </c>
    </row>
    <row r="1943" spans="1:13" ht="15.75" customHeight="1" x14ac:dyDescent="0.3">
      <c r="A1943" s="4" t="s">
        <v>187</v>
      </c>
      <c r="B1943">
        <f t="shared" si="30"/>
        <v>1</v>
      </c>
      <c r="C1943" s="2" t="s">
        <v>32</v>
      </c>
      <c r="D1943" s="2" t="s">
        <v>1315</v>
      </c>
      <c r="E1943" s="7">
        <v>123.34</v>
      </c>
      <c r="F1943" s="2">
        <v>5</v>
      </c>
      <c r="G1943" s="7">
        <v>454.93</v>
      </c>
      <c r="H1943" s="2" t="s">
        <v>104</v>
      </c>
      <c r="I1943" s="2" t="s">
        <v>29</v>
      </c>
      <c r="J1943" s="2" t="s">
        <v>30</v>
      </c>
      <c r="K1943" s="2" t="s">
        <v>17</v>
      </c>
      <c r="L1943" s="7">
        <f>Table3[[#This Row],[Revenue]]-Table3[[#This Row],[Ad Spend]]</f>
        <v>331.59000000000003</v>
      </c>
      <c r="M1943" s="11">
        <v>114.34</v>
      </c>
    </row>
    <row r="1944" spans="1:13" ht="15.75" customHeight="1" x14ac:dyDescent="0.3">
      <c r="A1944" s="4" t="s">
        <v>340</v>
      </c>
      <c r="B1944">
        <f t="shared" si="30"/>
        <v>11</v>
      </c>
      <c r="C1944" s="2" t="s">
        <v>19</v>
      </c>
      <c r="D1944" s="2" t="s">
        <v>468</v>
      </c>
      <c r="E1944" s="7">
        <v>145.29</v>
      </c>
      <c r="F1944" s="2">
        <v>0</v>
      </c>
      <c r="G1944" s="7">
        <v>103.99</v>
      </c>
      <c r="H1944" s="2" t="s">
        <v>498</v>
      </c>
      <c r="I1944" s="2" t="s">
        <v>15</v>
      </c>
      <c r="J1944" s="2" t="s">
        <v>25</v>
      </c>
      <c r="K1944" s="2" t="s">
        <v>46</v>
      </c>
      <c r="L1944" s="7">
        <f>Table3[[#This Row],[Revenue]]-Table3[[#This Row],[Ad Spend]]</f>
        <v>-41.3</v>
      </c>
      <c r="M1944" s="11">
        <v>98.2</v>
      </c>
    </row>
    <row r="1945" spans="1:13" ht="15.75" customHeight="1" x14ac:dyDescent="0.3">
      <c r="A1945" s="4" t="s">
        <v>230</v>
      </c>
      <c r="B1945">
        <f t="shared" si="30"/>
        <v>1</v>
      </c>
      <c r="C1945" s="2" t="s">
        <v>32</v>
      </c>
      <c r="D1945" s="2" t="s">
        <v>487</v>
      </c>
      <c r="E1945" s="7">
        <v>64.150000000000006</v>
      </c>
      <c r="F1945" s="2">
        <v>9</v>
      </c>
      <c r="G1945" s="7">
        <v>275.88</v>
      </c>
      <c r="H1945" s="2" t="s">
        <v>956</v>
      </c>
      <c r="I1945" s="2" t="s">
        <v>35</v>
      </c>
      <c r="J1945" s="2" t="s">
        <v>16</v>
      </c>
      <c r="K1945" s="2" t="s">
        <v>17</v>
      </c>
      <c r="L1945" s="7">
        <f>Table3[[#This Row],[Revenue]]-Table3[[#This Row],[Ad Spend]]</f>
        <v>211.73</v>
      </c>
      <c r="M1945" s="11">
        <v>107.04</v>
      </c>
    </row>
    <row r="1946" spans="1:13" ht="15.75" customHeight="1" x14ac:dyDescent="0.3">
      <c r="A1946" s="4" t="s">
        <v>368</v>
      </c>
      <c r="B1946">
        <f t="shared" si="30"/>
        <v>3</v>
      </c>
      <c r="C1946" s="2" t="s">
        <v>32</v>
      </c>
      <c r="D1946" s="2" t="s">
        <v>1491</v>
      </c>
      <c r="E1946" s="7">
        <v>5.86</v>
      </c>
      <c r="F1946" s="2">
        <v>2</v>
      </c>
      <c r="G1946" s="7">
        <v>69.099999999999994</v>
      </c>
      <c r="H1946" s="2" t="s">
        <v>394</v>
      </c>
      <c r="I1946" s="2" t="s">
        <v>29</v>
      </c>
      <c r="J1946" s="2" t="s">
        <v>87</v>
      </c>
      <c r="K1946" s="2" t="s">
        <v>17</v>
      </c>
      <c r="L1946" s="7">
        <f>Table3[[#This Row],[Revenue]]-Table3[[#This Row],[Ad Spend]]</f>
        <v>63.239999999999995</v>
      </c>
      <c r="M1946" s="11">
        <v>128.49</v>
      </c>
    </row>
    <row r="1947" spans="1:13" ht="15.75" customHeight="1" x14ac:dyDescent="0.3">
      <c r="A1947" s="4" t="s">
        <v>335</v>
      </c>
      <c r="B1947">
        <f t="shared" si="30"/>
        <v>11</v>
      </c>
      <c r="C1947" s="2" t="s">
        <v>63</v>
      </c>
      <c r="D1947" s="2" t="s">
        <v>677</v>
      </c>
      <c r="E1947" s="7">
        <v>99.57</v>
      </c>
      <c r="F1947" s="2">
        <v>9</v>
      </c>
      <c r="G1947" s="7">
        <v>85.24</v>
      </c>
      <c r="H1947" s="2" t="s">
        <v>1337</v>
      </c>
      <c r="I1947" s="2" t="s">
        <v>29</v>
      </c>
      <c r="J1947" s="2" t="s">
        <v>87</v>
      </c>
      <c r="K1947" s="2" t="s">
        <v>17</v>
      </c>
      <c r="L1947" s="7">
        <f>Table3[[#This Row],[Revenue]]-Table3[[#This Row],[Ad Spend]]</f>
        <v>-14.329999999999998</v>
      </c>
      <c r="M1947" s="11">
        <v>101.36</v>
      </c>
    </row>
    <row r="1948" spans="1:13" ht="15.75" customHeight="1" x14ac:dyDescent="0.3">
      <c r="A1948" s="4" t="s">
        <v>755</v>
      </c>
      <c r="B1948">
        <f t="shared" si="30"/>
        <v>2</v>
      </c>
      <c r="C1948" s="2" t="s">
        <v>63</v>
      </c>
      <c r="D1948" s="2" t="s">
        <v>1492</v>
      </c>
      <c r="E1948" s="7">
        <v>13.84</v>
      </c>
      <c r="F1948" s="2">
        <v>5</v>
      </c>
      <c r="G1948" s="7">
        <v>408.74</v>
      </c>
      <c r="H1948" s="2" t="s">
        <v>225</v>
      </c>
      <c r="I1948" s="2" t="s">
        <v>35</v>
      </c>
      <c r="J1948" s="2" t="s">
        <v>30</v>
      </c>
      <c r="K1948" s="2" t="s">
        <v>17</v>
      </c>
      <c r="L1948" s="7">
        <f>Table3[[#This Row],[Revenue]]-Table3[[#This Row],[Ad Spend]]</f>
        <v>394.90000000000003</v>
      </c>
      <c r="M1948" s="11">
        <v>120.53</v>
      </c>
    </row>
    <row r="1949" spans="1:13" ht="15.75" customHeight="1" x14ac:dyDescent="0.3">
      <c r="A1949" s="4" t="s">
        <v>216</v>
      </c>
      <c r="B1949">
        <f t="shared" si="30"/>
        <v>2</v>
      </c>
      <c r="C1949" s="2" t="s">
        <v>63</v>
      </c>
      <c r="D1949" s="2" t="s">
        <v>1317</v>
      </c>
      <c r="E1949" s="7">
        <v>103.81</v>
      </c>
      <c r="F1949" s="2">
        <v>5</v>
      </c>
      <c r="G1949" s="7">
        <v>233.19</v>
      </c>
      <c r="H1949" s="2" t="s">
        <v>96</v>
      </c>
      <c r="I1949" s="2" t="s">
        <v>35</v>
      </c>
      <c r="J1949" s="2" t="s">
        <v>25</v>
      </c>
      <c r="K1949" s="2" t="s">
        <v>17</v>
      </c>
      <c r="L1949" s="7">
        <f>Table3[[#This Row],[Revenue]]-Table3[[#This Row],[Ad Spend]]</f>
        <v>129.38</v>
      </c>
      <c r="M1949" s="11">
        <v>138.94999999999999</v>
      </c>
    </row>
    <row r="1950" spans="1:13" ht="15.75" customHeight="1" x14ac:dyDescent="0.3">
      <c r="A1950" s="4" t="s">
        <v>522</v>
      </c>
      <c r="B1950">
        <f t="shared" si="30"/>
        <v>1</v>
      </c>
      <c r="C1950" s="2" t="s">
        <v>32</v>
      </c>
      <c r="D1950" s="2" t="s">
        <v>1493</v>
      </c>
      <c r="E1950" s="7">
        <v>18.25</v>
      </c>
      <c r="F1950" s="2">
        <v>8</v>
      </c>
      <c r="G1950" s="7">
        <v>271.5</v>
      </c>
      <c r="H1950" s="2" t="s">
        <v>367</v>
      </c>
      <c r="I1950" s="2" t="s">
        <v>29</v>
      </c>
      <c r="J1950" s="2" t="s">
        <v>36</v>
      </c>
      <c r="K1950" s="2" t="s">
        <v>17</v>
      </c>
      <c r="L1950" s="7">
        <f>Table3[[#This Row],[Revenue]]-Table3[[#This Row],[Ad Spend]]</f>
        <v>253.25</v>
      </c>
      <c r="M1950" s="11">
        <v>166.24</v>
      </c>
    </row>
    <row r="1951" spans="1:13" ht="15.75" customHeight="1" x14ac:dyDescent="0.3">
      <c r="A1951" s="4" t="s">
        <v>792</v>
      </c>
      <c r="B1951">
        <f t="shared" si="30"/>
        <v>2</v>
      </c>
      <c r="C1951" s="2" t="s">
        <v>63</v>
      </c>
      <c r="D1951" s="2" t="s">
        <v>1441</v>
      </c>
      <c r="E1951" s="7">
        <v>65.48</v>
      </c>
      <c r="F1951" s="2">
        <v>10</v>
      </c>
      <c r="G1951" s="7">
        <v>294.82</v>
      </c>
      <c r="H1951" s="2" t="s">
        <v>61</v>
      </c>
      <c r="I1951" s="2" t="s">
        <v>15</v>
      </c>
      <c r="J1951" s="2" t="s">
        <v>30</v>
      </c>
      <c r="K1951" s="2" t="s">
        <v>17</v>
      </c>
      <c r="L1951" s="7">
        <f>Table3[[#This Row],[Revenue]]-Table3[[#This Row],[Ad Spend]]</f>
        <v>229.33999999999997</v>
      </c>
      <c r="M1951" s="11">
        <v>137.37</v>
      </c>
    </row>
    <row r="1952" spans="1:13" ht="15.75" customHeight="1" x14ac:dyDescent="0.3">
      <c r="A1952" s="4" t="s">
        <v>688</v>
      </c>
      <c r="B1952">
        <f t="shared" si="30"/>
        <v>3</v>
      </c>
      <c r="C1952" s="2" t="s">
        <v>19</v>
      </c>
      <c r="D1952" s="2" t="s">
        <v>539</v>
      </c>
      <c r="E1952" s="7">
        <v>79.7</v>
      </c>
      <c r="F1952" s="2">
        <v>7</v>
      </c>
      <c r="G1952" s="7">
        <v>301.17</v>
      </c>
      <c r="H1952" s="2" t="s">
        <v>161</v>
      </c>
      <c r="I1952" s="2" t="s">
        <v>35</v>
      </c>
      <c r="J1952" s="2" t="s">
        <v>16</v>
      </c>
      <c r="K1952" s="2" t="s">
        <v>17</v>
      </c>
      <c r="L1952" s="7">
        <f>Table3[[#This Row],[Revenue]]-Table3[[#This Row],[Ad Spend]]</f>
        <v>221.47000000000003</v>
      </c>
      <c r="M1952" s="11">
        <v>121.02</v>
      </c>
    </row>
    <row r="1953" spans="1:13" ht="15.75" customHeight="1" x14ac:dyDescent="0.3">
      <c r="A1953" s="4" t="s">
        <v>105</v>
      </c>
      <c r="B1953">
        <f t="shared" si="30"/>
        <v>1</v>
      </c>
      <c r="C1953" s="2" t="s">
        <v>19</v>
      </c>
      <c r="D1953" s="2" t="s">
        <v>1419</v>
      </c>
      <c r="E1953" s="7">
        <v>120.15</v>
      </c>
      <c r="F1953" s="2">
        <v>0</v>
      </c>
      <c r="G1953" s="7">
        <v>35.42</v>
      </c>
      <c r="H1953" s="2" t="s">
        <v>1093</v>
      </c>
      <c r="I1953" s="2" t="s">
        <v>29</v>
      </c>
      <c r="J1953" s="2" t="s">
        <v>53</v>
      </c>
      <c r="K1953" s="2" t="s">
        <v>46</v>
      </c>
      <c r="L1953" s="7">
        <f>Table3[[#This Row],[Revenue]]-Table3[[#This Row],[Ad Spend]]</f>
        <v>-84.73</v>
      </c>
      <c r="M1953" s="11">
        <v>111.31</v>
      </c>
    </row>
    <row r="1954" spans="1:13" ht="15.75" customHeight="1" x14ac:dyDescent="0.3">
      <c r="A1954" s="4" t="s">
        <v>184</v>
      </c>
      <c r="B1954">
        <f t="shared" si="30"/>
        <v>3</v>
      </c>
      <c r="C1954" s="2" t="s">
        <v>19</v>
      </c>
      <c r="D1954" s="2" t="s">
        <v>1176</v>
      </c>
      <c r="E1954" s="7">
        <v>142.80000000000001</v>
      </c>
      <c r="F1954" s="2">
        <v>5</v>
      </c>
      <c r="G1954" s="7">
        <v>432.18</v>
      </c>
      <c r="H1954" s="2" t="s">
        <v>45</v>
      </c>
      <c r="I1954" s="2" t="s">
        <v>35</v>
      </c>
      <c r="J1954" s="2" t="s">
        <v>25</v>
      </c>
      <c r="K1954" s="2" t="s">
        <v>17</v>
      </c>
      <c r="L1954" s="7">
        <f>Table3[[#This Row],[Revenue]]-Table3[[#This Row],[Ad Spend]]</f>
        <v>289.38</v>
      </c>
      <c r="M1954" s="11">
        <v>124.84</v>
      </c>
    </row>
    <row r="1955" spans="1:13" ht="15.75" customHeight="1" x14ac:dyDescent="0.3">
      <c r="A1955" s="4" t="s">
        <v>123</v>
      </c>
      <c r="B1955">
        <f t="shared" si="30"/>
        <v>4</v>
      </c>
      <c r="C1955" s="2" t="s">
        <v>12</v>
      </c>
      <c r="D1955" s="2" t="s">
        <v>1018</v>
      </c>
      <c r="E1955" s="7">
        <v>105.98</v>
      </c>
      <c r="F1955" s="2">
        <v>8</v>
      </c>
      <c r="G1955" s="7">
        <v>486.63</v>
      </c>
      <c r="H1955" s="2" t="s">
        <v>1366</v>
      </c>
      <c r="I1955" s="2" t="s">
        <v>15</v>
      </c>
      <c r="J1955" s="2" t="s">
        <v>87</v>
      </c>
      <c r="K1955" s="2" t="s">
        <v>17</v>
      </c>
      <c r="L1955" s="7">
        <f>Table3[[#This Row],[Revenue]]-Table3[[#This Row],[Ad Spend]]</f>
        <v>380.65</v>
      </c>
      <c r="M1955" s="11">
        <v>188.77</v>
      </c>
    </row>
    <row r="1956" spans="1:13" ht="15.75" customHeight="1" x14ac:dyDescent="0.3">
      <c r="A1956" s="4" t="s">
        <v>673</v>
      </c>
      <c r="B1956">
        <f t="shared" si="30"/>
        <v>12</v>
      </c>
      <c r="C1956" s="2" t="s">
        <v>32</v>
      </c>
      <c r="D1956" s="2" t="s">
        <v>899</v>
      </c>
      <c r="E1956" s="7">
        <v>16.260000000000002</v>
      </c>
      <c r="F1956" s="2">
        <v>7</v>
      </c>
      <c r="G1956" s="7">
        <v>45.82</v>
      </c>
      <c r="H1956" s="2" t="s">
        <v>201</v>
      </c>
      <c r="I1956" s="2" t="s">
        <v>15</v>
      </c>
      <c r="J1956" s="2" t="s">
        <v>87</v>
      </c>
      <c r="K1956" s="2" t="s">
        <v>17</v>
      </c>
      <c r="L1956" s="7">
        <f>Table3[[#This Row],[Revenue]]-Table3[[#This Row],[Ad Spend]]</f>
        <v>29.56</v>
      </c>
      <c r="M1956" s="11">
        <v>116.2</v>
      </c>
    </row>
    <row r="1957" spans="1:13" ht="15.75" customHeight="1" x14ac:dyDescent="0.3">
      <c r="A1957" s="4" t="s">
        <v>656</v>
      </c>
      <c r="B1957">
        <f t="shared" si="30"/>
        <v>4</v>
      </c>
      <c r="C1957" s="2" t="s">
        <v>12</v>
      </c>
      <c r="D1957" s="2" t="s">
        <v>98</v>
      </c>
      <c r="E1957" s="7">
        <v>129.16</v>
      </c>
      <c r="F1957" s="2">
        <v>10</v>
      </c>
      <c r="G1957" s="7">
        <v>412.35</v>
      </c>
      <c r="H1957" s="2" t="s">
        <v>422</v>
      </c>
      <c r="I1957" s="2" t="s">
        <v>35</v>
      </c>
      <c r="J1957" s="2" t="s">
        <v>53</v>
      </c>
      <c r="K1957" s="2" t="s">
        <v>17</v>
      </c>
      <c r="L1957" s="7">
        <f>Table3[[#This Row],[Revenue]]-Table3[[#This Row],[Ad Spend]]</f>
        <v>283.19000000000005</v>
      </c>
      <c r="M1957" s="11">
        <v>131.13999999999999</v>
      </c>
    </row>
    <row r="1958" spans="1:13" ht="15.75" customHeight="1" x14ac:dyDescent="0.3">
      <c r="A1958" s="4" t="s">
        <v>37</v>
      </c>
      <c r="B1958">
        <f t="shared" si="30"/>
        <v>12</v>
      </c>
      <c r="C1958" s="2" t="s">
        <v>12</v>
      </c>
      <c r="D1958" s="2" t="s">
        <v>1239</v>
      </c>
      <c r="E1958" s="7">
        <v>121.85</v>
      </c>
      <c r="F1958" s="2">
        <v>6</v>
      </c>
      <c r="G1958" s="7">
        <v>466.14</v>
      </c>
      <c r="H1958" s="2" t="s">
        <v>395</v>
      </c>
      <c r="I1958" s="2" t="s">
        <v>15</v>
      </c>
      <c r="J1958" s="2" t="s">
        <v>36</v>
      </c>
      <c r="K1958" s="2" t="s">
        <v>17</v>
      </c>
      <c r="L1958" s="7">
        <f>Table3[[#This Row],[Revenue]]-Table3[[#This Row],[Ad Spend]]</f>
        <v>344.28999999999996</v>
      </c>
      <c r="M1958" s="11">
        <v>153.07</v>
      </c>
    </row>
    <row r="1959" spans="1:13" ht="15.75" customHeight="1" x14ac:dyDescent="0.3">
      <c r="A1959" s="4" t="s">
        <v>428</v>
      </c>
      <c r="B1959">
        <f t="shared" si="30"/>
        <v>3</v>
      </c>
      <c r="C1959" s="2" t="s">
        <v>19</v>
      </c>
      <c r="D1959" s="2" t="s">
        <v>223</v>
      </c>
      <c r="E1959" s="7">
        <v>93.33</v>
      </c>
      <c r="F1959" s="2">
        <v>4</v>
      </c>
      <c r="G1959" s="7">
        <v>403.53</v>
      </c>
      <c r="H1959" s="2" t="s">
        <v>664</v>
      </c>
      <c r="I1959" s="2" t="s">
        <v>15</v>
      </c>
      <c r="J1959" s="2" t="s">
        <v>25</v>
      </c>
      <c r="K1959" s="2" t="s">
        <v>17</v>
      </c>
      <c r="L1959" s="7">
        <f>Table3[[#This Row],[Revenue]]-Table3[[#This Row],[Ad Spend]]</f>
        <v>310.2</v>
      </c>
      <c r="M1959" s="11">
        <v>164.2</v>
      </c>
    </row>
    <row r="1960" spans="1:13" ht="15.75" customHeight="1" x14ac:dyDescent="0.3">
      <c r="A1960" s="4" t="s">
        <v>126</v>
      </c>
      <c r="B1960">
        <f t="shared" si="30"/>
        <v>11</v>
      </c>
      <c r="C1960" s="2" t="s">
        <v>63</v>
      </c>
      <c r="D1960" s="2" t="s">
        <v>1132</v>
      </c>
      <c r="E1960" s="7">
        <v>58.67</v>
      </c>
      <c r="F1960" s="2">
        <v>0</v>
      </c>
      <c r="G1960" s="7">
        <v>135.25</v>
      </c>
      <c r="H1960" s="2" t="s">
        <v>34</v>
      </c>
      <c r="I1960" s="2" t="s">
        <v>15</v>
      </c>
      <c r="J1960" s="2" t="s">
        <v>87</v>
      </c>
      <c r="K1960" s="2" t="s">
        <v>46</v>
      </c>
      <c r="L1960" s="7">
        <f>Table3[[#This Row],[Revenue]]-Table3[[#This Row],[Ad Spend]]</f>
        <v>76.58</v>
      </c>
      <c r="M1960" s="11">
        <v>132.07</v>
      </c>
    </row>
    <row r="1961" spans="1:13" ht="15.75" customHeight="1" x14ac:dyDescent="0.3">
      <c r="A1961" s="4" t="s">
        <v>175</v>
      </c>
      <c r="B1961">
        <f t="shared" si="30"/>
        <v>3</v>
      </c>
      <c r="C1961" s="2" t="s">
        <v>63</v>
      </c>
      <c r="D1961" s="2" t="s">
        <v>986</v>
      </c>
      <c r="E1961" s="7">
        <v>89.98</v>
      </c>
      <c r="F1961" s="2">
        <v>2</v>
      </c>
      <c r="G1961" s="7">
        <v>263.45</v>
      </c>
      <c r="H1961" s="2" t="s">
        <v>933</v>
      </c>
      <c r="I1961" s="2" t="s">
        <v>35</v>
      </c>
      <c r="J1961" s="2" t="s">
        <v>53</v>
      </c>
      <c r="K1961" s="2" t="s">
        <v>17</v>
      </c>
      <c r="L1961" s="7">
        <f>Table3[[#This Row],[Revenue]]-Table3[[#This Row],[Ad Spend]]</f>
        <v>173.46999999999997</v>
      </c>
      <c r="M1961" s="11">
        <v>107.27</v>
      </c>
    </row>
    <row r="1962" spans="1:13" ht="15.75" customHeight="1" x14ac:dyDescent="0.3">
      <c r="A1962" s="4" t="s">
        <v>108</v>
      </c>
      <c r="B1962">
        <f t="shared" si="30"/>
        <v>3</v>
      </c>
      <c r="C1962" s="2" t="s">
        <v>19</v>
      </c>
      <c r="D1962" s="2" t="s">
        <v>868</v>
      </c>
      <c r="E1962" s="7">
        <v>143.72</v>
      </c>
      <c r="F1962" s="2">
        <v>8</v>
      </c>
      <c r="G1962" s="7">
        <v>310.39</v>
      </c>
      <c r="H1962" s="2" t="s">
        <v>529</v>
      </c>
      <c r="I1962" s="2" t="s">
        <v>15</v>
      </c>
      <c r="J1962" s="2" t="s">
        <v>25</v>
      </c>
      <c r="K1962" s="2" t="s">
        <v>17</v>
      </c>
      <c r="L1962" s="7">
        <f>Table3[[#This Row],[Revenue]]-Table3[[#This Row],[Ad Spend]]</f>
        <v>166.67</v>
      </c>
      <c r="M1962" s="11">
        <v>141.72</v>
      </c>
    </row>
    <row r="1963" spans="1:13" ht="15.75" customHeight="1" x14ac:dyDescent="0.3">
      <c r="A1963" s="4" t="s">
        <v>274</v>
      </c>
      <c r="B1963">
        <f t="shared" si="30"/>
        <v>12</v>
      </c>
      <c r="C1963" s="2" t="s">
        <v>63</v>
      </c>
      <c r="D1963" s="2" t="s">
        <v>828</v>
      </c>
      <c r="E1963" s="7">
        <v>114.94</v>
      </c>
      <c r="F1963" s="2">
        <v>3</v>
      </c>
      <c r="G1963" s="7">
        <v>223.28</v>
      </c>
      <c r="H1963" s="2" t="s">
        <v>1494</v>
      </c>
      <c r="I1963" s="2" t="s">
        <v>35</v>
      </c>
      <c r="J1963" s="2" t="s">
        <v>30</v>
      </c>
      <c r="K1963" s="2" t="s">
        <v>17</v>
      </c>
      <c r="L1963" s="7">
        <f>Table3[[#This Row],[Revenue]]-Table3[[#This Row],[Ad Spend]]</f>
        <v>108.34</v>
      </c>
      <c r="M1963" s="11">
        <v>113.29</v>
      </c>
    </row>
    <row r="1964" spans="1:13" ht="15.75" customHeight="1" x14ac:dyDescent="0.3">
      <c r="A1964" s="4" t="s">
        <v>169</v>
      </c>
      <c r="B1964">
        <f t="shared" si="30"/>
        <v>2</v>
      </c>
      <c r="C1964" s="2" t="s">
        <v>63</v>
      </c>
      <c r="D1964" s="2" t="s">
        <v>251</v>
      </c>
      <c r="E1964" s="7">
        <v>132.33000000000001</v>
      </c>
      <c r="F1964" s="2">
        <v>5</v>
      </c>
      <c r="G1964" s="7">
        <v>262.79000000000002</v>
      </c>
      <c r="H1964" s="2" t="s">
        <v>1309</v>
      </c>
      <c r="I1964" s="2" t="s">
        <v>29</v>
      </c>
      <c r="J1964" s="2" t="s">
        <v>25</v>
      </c>
      <c r="K1964" s="2" t="s">
        <v>17</v>
      </c>
      <c r="L1964" s="7">
        <f>Table3[[#This Row],[Revenue]]-Table3[[#This Row],[Ad Spend]]</f>
        <v>130.46</v>
      </c>
      <c r="M1964" s="11">
        <v>97.65</v>
      </c>
    </row>
    <row r="1965" spans="1:13" ht="15.75" customHeight="1" x14ac:dyDescent="0.3">
      <c r="A1965" s="4" t="s">
        <v>18</v>
      </c>
      <c r="B1965">
        <f t="shared" si="30"/>
        <v>3</v>
      </c>
      <c r="C1965" s="2" t="s">
        <v>12</v>
      </c>
      <c r="D1965" s="2" t="s">
        <v>1231</v>
      </c>
      <c r="E1965" s="7">
        <v>33.950000000000003</v>
      </c>
      <c r="F1965" s="2">
        <v>6</v>
      </c>
      <c r="G1965" s="7">
        <v>454.57</v>
      </c>
      <c r="H1965" s="2" t="s">
        <v>990</v>
      </c>
      <c r="I1965" s="2" t="s">
        <v>29</v>
      </c>
      <c r="J1965" s="2" t="s">
        <v>36</v>
      </c>
      <c r="K1965" s="2" t="s">
        <v>17</v>
      </c>
      <c r="L1965" s="7">
        <f>Table3[[#This Row],[Revenue]]-Table3[[#This Row],[Ad Spend]]</f>
        <v>420.62</v>
      </c>
      <c r="M1965" s="11">
        <v>155.26</v>
      </c>
    </row>
    <row r="1966" spans="1:13" ht="15.75" customHeight="1" x14ac:dyDescent="0.3">
      <c r="A1966" s="4" t="s">
        <v>208</v>
      </c>
      <c r="B1966">
        <f t="shared" si="30"/>
        <v>11</v>
      </c>
      <c r="C1966" s="2" t="s">
        <v>19</v>
      </c>
      <c r="D1966" s="2" t="s">
        <v>1376</v>
      </c>
      <c r="E1966" s="7">
        <v>128.76</v>
      </c>
      <c r="F1966" s="2">
        <v>3</v>
      </c>
      <c r="G1966" s="7">
        <v>155.82</v>
      </c>
      <c r="H1966" s="2" t="s">
        <v>471</v>
      </c>
      <c r="I1966" s="2" t="s">
        <v>15</v>
      </c>
      <c r="J1966" s="2" t="s">
        <v>25</v>
      </c>
      <c r="K1966" s="2" t="s">
        <v>17</v>
      </c>
      <c r="L1966" s="7">
        <f>Table3[[#This Row],[Revenue]]-Table3[[#This Row],[Ad Spend]]</f>
        <v>27.060000000000002</v>
      </c>
      <c r="M1966" s="11">
        <v>127.81</v>
      </c>
    </row>
    <row r="1967" spans="1:13" ht="15.75" customHeight="1" x14ac:dyDescent="0.3">
      <c r="A1967" s="4" t="s">
        <v>172</v>
      </c>
      <c r="B1967">
        <f t="shared" si="30"/>
        <v>2</v>
      </c>
      <c r="C1967" s="2" t="s">
        <v>19</v>
      </c>
      <c r="D1967" s="2" t="s">
        <v>706</v>
      </c>
      <c r="E1967" s="7">
        <v>61.74</v>
      </c>
      <c r="F1967" s="2">
        <v>10</v>
      </c>
      <c r="G1967" s="7">
        <v>57.06</v>
      </c>
      <c r="H1967" s="2" t="s">
        <v>49</v>
      </c>
      <c r="I1967" s="2" t="s">
        <v>29</v>
      </c>
      <c r="J1967" s="2" t="s">
        <v>25</v>
      </c>
      <c r="K1967" s="2" t="s">
        <v>17</v>
      </c>
      <c r="L1967" s="7">
        <f>Table3[[#This Row],[Revenue]]-Table3[[#This Row],[Ad Spend]]</f>
        <v>-4.68</v>
      </c>
      <c r="M1967" s="11">
        <v>126.51</v>
      </c>
    </row>
    <row r="1968" spans="1:13" ht="15.75" customHeight="1" x14ac:dyDescent="0.3">
      <c r="A1968" s="4" t="s">
        <v>356</v>
      </c>
      <c r="B1968">
        <f t="shared" si="30"/>
        <v>3</v>
      </c>
      <c r="C1968" s="2" t="s">
        <v>32</v>
      </c>
      <c r="D1968" s="2" t="s">
        <v>606</v>
      </c>
      <c r="E1968" s="7">
        <v>125.53</v>
      </c>
      <c r="F1968" s="2">
        <v>8</v>
      </c>
      <c r="G1968" s="7">
        <v>261.70999999999998</v>
      </c>
      <c r="H1968" s="2" t="s">
        <v>28</v>
      </c>
      <c r="I1968" s="2" t="s">
        <v>15</v>
      </c>
      <c r="J1968" s="2" t="s">
        <v>25</v>
      </c>
      <c r="K1968" s="2" t="s">
        <v>17</v>
      </c>
      <c r="L1968" s="7">
        <f>Table3[[#This Row],[Revenue]]-Table3[[#This Row],[Ad Spend]]</f>
        <v>136.17999999999998</v>
      </c>
      <c r="M1968" s="11">
        <v>134.05000000000001</v>
      </c>
    </row>
    <row r="1969" spans="1:13" ht="15.75" customHeight="1" x14ac:dyDescent="0.3">
      <c r="A1969" s="4" t="s">
        <v>252</v>
      </c>
      <c r="B1969">
        <f t="shared" si="30"/>
        <v>11</v>
      </c>
      <c r="C1969" s="2" t="s">
        <v>32</v>
      </c>
      <c r="D1969" s="2" t="s">
        <v>1118</v>
      </c>
      <c r="E1969" s="7">
        <v>93.45</v>
      </c>
      <c r="F1969" s="2">
        <v>9</v>
      </c>
      <c r="G1969" s="7">
        <v>420.52</v>
      </c>
      <c r="H1969" s="2" t="s">
        <v>858</v>
      </c>
      <c r="I1969" s="2" t="s">
        <v>29</v>
      </c>
      <c r="J1969" s="2" t="s">
        <v>53</v>
      </c>
      <c r="K1969" s="2" t="s">
        <v>17</v>
      </c>
      <c r="L1969" s="7">
        <f>Table3[[#This Row],[Revenue]]-Table3[[#This Row],[Ad Spend]]</f>
        <v>327.07</v>
      </c>
      <c r="M1969" s="11">
        <v>168.48</v>
      </c>
    </row>
    <row r="1970" spans="1:13" ht="15.75" customHeight="1" x14ac:dyDescent="0.3">
      <c r="A1970" s="4" t="s">
        <v>56</v>
      </c>
      <c r="B1970">
        <f t="shared" si="30"/>
        <v>12</v>
      </c>
      <c r="C1970" s="2" t="s">
        <v>12</v>
      </c>
      <c r="D1970" s="2" t="s">
        <v>602</v>
      </c>
      <c r="E1970" s="7">
        <v>53.02</v>
      </c>
      <c r="F1970" s="2">
        <v>6</v>
      </c>
      <c r="G1970" s="7">
        <v>480.12</v>
      </c>
      <c r="H1970" s="2" t="s">
        <v>198</v>
      </c>
      <c r="I1970" s="2" t="s">
        <v>35</v>
      </c>
      <c r="J1970" s="2" t="s">
        <v>87</v>
      </c>
      <c r="K1970" s="2" t="s">
        <v>17</v>
      </c>
      <c r="L1970" s="7">
        <f>Table3[[#This Row],[Revenue]]-Table3[[#This Row],[Ad Spend]]</f>
        <v>427.1</v>
      </c>
      <c r="M1970" s="11">
        <v>116.6</v>
      </c>
    </row>
    <row r="1971" spans="1:13" ht="15.75" customHeight="1" x14ac:dyDescent="0.3">
      <c r="A1971" s="4" t="s">
        <v>676</v>
      </c>
      <c r="B1971">
        <f t="shared" si="30"/>
        <v>4</v>
      </c>
      <c r="C1971" s="2" t="s">
        <v>63</v>
      </c>
      <c r="D1971" s="2" t="s">
        <v>919</v>
      </c>
      <c r="E1971" s="7">
        <v>56.49</v>
      </c>
      <c r="F1971" s="2">
        <v>1</v>
      </c>
      <c r="G1971" s="7">
        <v>484.5</v>
      </c>
      <c r="H1971" s="2" t="s">
        <v>240</v>
      </c>
      <c r="I1971" s="2" t="s">
        <v>29</v>
      </c>
      <c r="J1971" s="2" t="s">
        <v>30</v>
      </c>
      <c r="K1971" s="2" t="s">
        <v>17</v>
      </c>
      <c r="L1971" s="7">
        <f>Table3[[#This Row],[Revenue]]-Table3[[#This Row],[Ad Spend]]</f>
        <v>428.01</v>
      </c>
      <c r="M1971" s="11">
        <v>146.16</v>
      </c>
    </row>
    <row r="1972" spans="1:13" ht="15.75" customHeight="1" x14ac:dyDescent="0.3">
      <c r="A1972" s="4" t="s">
        <v>383</v>
      </c>
      <c r="B1972">
        <f t="shared" si="30"/>
        <v>12</v>
      </c>
      <c r="C1972" s="2" t="s">
        <v>19</v>
      </c>
      <c r="D1972" s="2" t="s">
        <v>992</v>
      </c>
      <c r="E1972" s="7">
        <v>11.54</v>
      </c>
      <c r="F1972" s="2">
        <v>10</v>
      </c>
      <c r="G1972" s="7">
        <v>462.75</v>
      </c>
      <c r="H1972" s="2" t="s">
        <v>34</v>
      </c>
      <c r="I1972" s="2" t="s">
        <v>35</v>
      </c>
      <c r="J1972" s="2" t="s">
        <v>30</v>
      </c>
      <c r="K1972" s="2" t="s">
        <v>17</v>
      </c>
      <c r="L1972" s="7">
        <f>Table3[[#This Row],[Revenue]]-Table3[[#This Row],[Ad Spend]]</f>
        <v>451.21</v>
      </c>
      <c r="M1972" s="11">
        <v>121.86</v>
      </c>
    </row>
    <row r="1973" spans="1:13" ht="15.75" customHeight="1" x14ac:dyDescent="0.3">
      <c r="A1973" s="4" t="s">
        <v>280</v>
      </c>
      <c r="B1973">
        <f t="shared" si="30"/>
        <v>2</v>
      </c>
      <c r="C1973" s="2" t="s">
        <v>63</v>
      </c>
      <c r="D1973" s="2" t="s">
        <v>217</v>
      </c>
      <c r="E1973" s="7">
        <v>18.61</v>
      </c>
      <c r="F1973" s="2">
        <v>9</v>
      </c>
      <c r="G1973" s="7">
        <v>279.39</v>
      </c>
      <c r="H1973" s="2" t="s">
        <v>249</v>
      </c>
      <c r="I1973" s="2" t="s">
        <v>35</v>
      </c>
      <c r="J1973" s="2" t="s">
        <v>36</v>
      </c>
      <c r="K1973" s="2" t="s">
        <v>17</v>
      </c>
      <c r="L1973" s="7">
        <f>Table3[[#This Row],[Revenue]]-Table3[[#This Row],[Ad Spend]]</f>
        <v>260.77999999999997</v>
      </c>
      <c r="M1973" s="11">
        <v>108</v>
      </c>
    </row>
    <row r="1974" spans="1:13" ht="15.75" customHeight="1" x14ac:dyDescent="0.3">
      <c r="A1974" s="4" t="s">
        <v>50</v>
      </c>
      <c r="B1974">
        <f t="shared" si="30"/>
        <v>12</v>
      </c>
      <c r="C1974" s="2" t="s">
        <v>19</v>
      </c>
      <c r="D1974" s="2" t="s">
        <v>655</v>
      </c>
      <c r="E1974" s="7">
        <v>8.42</v>
      </c>
      <c r="F1974" s="2">
        <v>8</v>
      </c>
      <c r="G1974" s="7">
        <v>379.83</v>
      </c>
      <c r="H1974" s="2" t="s">
        <v>820</v>
      </c>
      <c r="I1974" s="2" t="s">
        <v>35</v>
      </c>
      <c r="J1974" s="2" t="s">
        <v>30</v>
      </c>
      <c r="K1974" s="2" t="s">
        <v>17</v>
      </c>
      <c r="L1974" s="7">
        <f>Table3[[#This Row],[Revenue]]-Table3[[#This Row],[Ad Spend]]</f>
        <v>371.40999999999997</v>
      </c>
      <c r="M1974" s="11">
        <v>119.1</v>
      </c>
    </row>
    <row r="1975" spans="1:13" ht="15.75" customHeight="1" x14ac:dyDescent="0.3">
      <c r="A1975" s="4" t="s">
        <v>502</v>
      </c>
      <c r="B1975">
        <f t="shared" si="30"/>
        <v>12</v>
      </c>
      <c r="C1975" s="2" t="s">
        <v>19</v>
      </c>
      <c r="D1975" s="2" t="s">
        <v>495</v>
      </c>
      <c r="E1975" s="7">
        <v>35.11</v>
      </c>
      <c r="F1975" s="2">
        <v>2</v>
      </c>
      <c r="G1975" s="7">
        <v>38.450000000000003</v>
      </c>
      <c r="H1975" s="2" t="s">
        <v>757</v>
      </c>
      <c r="I1975" s="2" t="s">
        <v>29</v>
      </c>
      <c r="J1975" s="2" t="s">
        <v>30</v>
      </c>
      <c r="K1975" s="2" t="s">
        <v>17</v>
      </c>
      <c r="L1975" s="7">
        <f>Table3[[#This Row],[Revenue]]-Table3[[#This Row],[Ad Spend]]</f>
        <v>3.3400000000000034</v>
      </c>
      <c r="M1975" s="11">
        <v>79.150000000000006</v>
      </c>
    </row>
    <row r="1976" spans="1:13" ht="15.75" customHeight="1" x14ac:dyDescent="0.3">
      <c r="A1976" s="4" t="s">
        <v>82</v>
      </c>
      <c r="B1976">
        <f t="shared" si="30"/>
        <v>4</v>
      </c>
      <c r="C1976" s="2" t="s">
        <v>12</v>
      </c>
      <c r="D1976" s="2" t="s">
        <v>906</v>
      </c>
      <c r="E1976" s="7">
        <v>99.77</v>
      </c>
      <c r="F1976" s="2">
        <v>6</v>
      </c>
      <c r="G1976" s="7">
        <v>471.15</v>
      </c>
      <c r="H1976" s="2" t="s">
        <v>744</v>
      </c>
      <c r="I1976" s="2" t="s">
        <v>15</v>
      </c>
      <c r="J1976" s="2" t="s">
        <v>87</v>
      </c>
      <c r="K1976" s="2" t="s">
        <v>17</v>
      </c>
      <c r="L1976" s="7">
        <f>Table3[[#This Row],[Revenue]]-Table3[[#This Row],[Ad Spend]]</f>
        <v>371.38</v>
      </c>
      <c r="M1976" s="11">
        <v>123.51</v>
      </c>
    </row>
    <row r="1977" spans="1:13" ht="15.75" customHeight="1" x14ac:dyDescent="0.3">
      <c r="A1977" s="4" t="s">
        <v>340</v>
      </c>
      <c r="B1977">
        <f t="shared" si="30"/>
        <v>11</v>
      </c>
      <c r="C1977" s="2" t="s">
        <v>63</v>
      </c>
      <c r="D1977" s="2" t="s">
        <v>1495</v>
      </c>
      <c r="E1977" s="7">
        <v>99.65</v>
      </c>
      <c r="F1977" s="2">
        <v>10</v>
      </c>
      <c r="G1977" s="7">
        <v>189.65</v>
      </c>
      <c r="H1977" s="2" t="s">
        <v>286</v>
      </c>
      <c r="I1977" s="2" t="s">
        <v>35</v>
      </c>
      <c r="J1977" s="2" t="s">
        <v>36</v>
      </c>
      <c r="K1977" s="2" t="s">
        <v>17</v>
      </c>
      <c r="L1977" s="7">
        <f>Table3[[#This Row],[Revenue]]-Table3[[#This Row],[Ad Spend]]</f>
        <v>90</v>
      </c>
      <c r="M1977" s="11">
        <v>116.68</v>
      </c>
    </row>
    <row r="1978" spans="1:13" ht="15.75" customHeight="1" x14ac:dyDescent="0.3">
      <c r="A1978" s="4" t="s">
        <v>293</v>
      </c>
      <c r="B1978">
        <f t="shared" si="30"/>
        <v>11</v>
      </c>
      <c r="C1978" s="2" t="s">
        <v>12</v>
      </c>
      <c r="D1978" s="2" t="s">
        <v>560</v>
      </c>
      <c r="E1978" s="7">
        <v>42.2</v>
      </c>
      <c r="F1978" s="2">
        <v>9</v>
      </c>
      <c r="G1978" s="7">
        <v>483.92</v>
      </c>
      <c r="H1978" s="2" t="s">
        <v>229</v>
      </c>
      <c r="I1978" s="2" t="s">
        <v>15</v>
      </c>
      <c r="J1978" s="2" t="s">
        <v>25</v>
      </c>
      <c r="K1978" s="2" t="s">
        <v>17</v>
      </c>
      <c r="L1978" s="7">
        <f>Table3[[#This Row],[Revenue]]-Table3[[#This Row],[Ad Spend]]</f>
        <v>441.72</v>
      </c>
      <c r="M1978" s="11">
        <v>99.27</v>
      </c>
    </row>
    <row r="1979" spans="1:13" ht="15.75" customHeight="1" x14ac:dyDescent="0.3">
      <c r="A1979" s="4" t="s">
        <v>409</v>
      </c>
      <c r="B1979">
        <f t="shared" si="30"/>
        <v>11</v>
      </c>
      <c r="C1979" s="2" t="s">
        <v>12</v>
      </c>
      <c r="D1979" s="2" t="s">
        <v>569</v>
      </c>
      <c r="E1979" s="7">
        <v>118.08</v>
      </c>
      <c r="F1979" s="2">
        <v>6</v>
      </c>
      <c r="G1979" s="7">
        <v>292.13</v>
      </c>
      <c r="H1979" s="2" t="s">
        <v>24</v>
      </c>
      <c r="I1979" s="2" t="s">
        <v>35</v>
      </c>
      <c r="J1979" s="2" t="s">
        <v>25</v>
      </c>
      <c r="K1979" s="2" t="s">
        <v>17</v>
      </c>
      <c r="L1979" s="7">
        <f>Table3[[#This Row],[Revenue]]-Table3[[#This Row],[Ad Spend]]</f>
        <v>174.05</v>
      </c>
      <c r="M1979" s="11">
        <v>141.59</v>
      </c>
    </row>
    <row r="1980" spans="1:13" ht="15.75" customHeight="1" x14ac:dyDescent="0.3">
      <c r="A1980" s="4" t="s">
        <v>37</v>
      </c>
      <c r="B1980">
        <f t="shared" si="30"/>
        <v>12</v>
      </c>
      <c r="C1980" s="2" t="s">
        <v>32</v>
      </c>
      <c r="D1980" s="2" t="s">
        <v>245</v>
      </c>
      <c r="E1980" s="7">
        <v>144.12</v>
      </c>
      <c r="F1980" s="2">
        <v>2</v>
      </c>
      <c r="G1980" s="7">
        <v>301.44</v>
      </c>
      <c r="H1980" s="2" t="s">
        <v>1090</v>
      </c>
      <c r="I1980" s="2" t="s">
        <v>35</v>
      </c>
      <c r="J1980" s="2" t="s">
        <v>53</v>
      </c>
      <c r="K1980" s="2" t="s">
        <v>17</v>
      </c>
      <c r="L1980" s="7">
        <f>Table3[[#This Row],[Revenue]]-Table3[[#This Row],[Ad Spend]]</f>
        <v>157.32</v>
      </c>
      <c r="M1980" s="11">
        <v>164.84</v>
      </c>
    </row>
    <row r="1981" spans="1:13" ht="15.75" customHeight="1" x14ac:dyDescent="0.3">
      <c r="A1981" s="4" t="s">
        <v>504</v>
      </c>
      <c r="B1981">
        <f t="shared" si="30"/>
        <v>12</v>
      </c>
      <c r="C1981" s="2" t="s">
        <v>19</v>
      </c>
      <c r="D1981" s="2" t="s">
        <v>1070</v>
      </c>
      <c r="E1981" s="7">
        <v>145.96</v>
      </c>
      <c r="F1981" s="2">
        <v>5</v>
      </c>
      <c r="G1981" s="7">
        <v>155.94</v>
      </c>
      <c r="H1981" s="2" t="s">
        <v>625</v>
      </c>
      <c r="I1981" s="2" t="s">
        <v>15</v>
      </c>
      <c r="J1981" s="2" t="s">
        <v>53</v>
      </c>
      <c r="K1981" s="2" t="s">
        <v>17</v>
      </c>
      <c r="L1981" s="7">
        <f>Table3[[#This Row],[Revenue]]-Table3[[#This Row],[Ad Spend]]</f>
        <v>9.9799999999999898</v>
      </c>
      <c r="M1981" s="11">
        <v>107.34</v>
      </c>
    </row>
    <row r="1982" spans="1:13" ht="15.75" customHeight="1" x14ac:dyDescent="0.3">
      <c r="A1982" s="4" t="s">
        <v>1061</v>
      </c>
      <c r="B1982">
        <f t="shared" si="30"/>
        <v>4</v>
      </c>
      <c r="C1982" s="2" t="s">
        <v>63</v>
      </c>
      <c r="D1982" s="2" t="s">
        <v>795</v>
      </c>
      <c r="E1982" s="7">
        <v>117.3</v>
      </c>
      <c r="F1982" s="2">
        <v>6</v>
      </c>
      <c r="G1982" s="7">
        <v>325.67</v>
      </c>
      <c r="H1982" s="2" t="s">
        <v>147</v>
      </c>
      <c r="I1982" s="2" t="s">
        <v>29</v>
      </c>
      <c r="J1982" s="2" t="s">
        <v>25</v>
      </c>
      <c r="K1982" s="2" t="s">
        <v>17</v>
      </c>
      <c r="L1982" s="7">
        <f>Table3[[#This Row],[Revenue]]-Table3[[#This Row],[Ad Spend]]</f>
        <v>208.37</v>
      </c>
      <c r="M1982" s="11">
        <v>141.74</v>
      </c>
    </row>
    <row r="1983" spans="1:13" ht="15.75" customHeight="1" x14ac:dyDescent="0.3">
      <c r="A1983" s="4" t="s">
        <v>515</v>
      </c>
      <c r="B1983">
        <f t="shared" si="30"/>
        <v>3</v>
      </c>
      <c r="C1983" s="2" t="s">
        <v>32</v>
      </c>
      <c r="D1983" s="2" t="s">
        <v>215</v>
      </c>
      <c r="E1983" s="7">
        <v>83.8</v>
      </c>
      <c r="F1983" s="2">
        <v>7</v>
      </c>
      <c r="G1983" s="7">
        <v>492.14</v>
      </c>
      <c r="H1983" s="2" t="s">
        <v>161</v>
      </c>
      <c r="I1983" s="2" t="s">
        <v>15</v>
      </c>
      <c r="J1983" s="2" t="s">
        <v>30</v>
      </c>
      <c r="K1983" s="2" t="s">
        <v>17</v>
      </c>
      <c r="L1983" s="7">
        <f>Table3[[#This Row],[Revenue]]-Table3[[#This Row],[Ad Spend]]</f>
        <v>408.34</v>
      </c>
      <c r="M1983" s="11">
        <v>123.44</v>
      </c>
    </row>
    <row r="1984" spans="1:13" ht="15.75" customHeight="1" x14ac:dyDescent="0.3">
      <c r="A1984" s="4" t="s">
        <v>216</v>
      </c>
      <c r="B1984">
        <f t="shared" si="30"/>
        <v>2</v>
      </c>
      <c r="C1984" s="2" t="s">
        <v>63</v>
      </c>
      <c r="D1984" s="2" t="s">
        <v>1496</v>
      </c>
      <c r="E1984" s="7">
        <v>15.64</v>
      </c>
      <c r="F1984" s="2">
        <v>3</v>
      </c>
      <c r="G1984" s="7">
        <v>439.41</v>
      </c>
      <c r="H1984" s="2" t="s">
        <v>401</v>
      </c>
      <c r="I1984" s="2" t="s">
        <v>35</v>
      </c>
      <c r="J1984" s="2" t="s">
        <v>16</v>
      </c>
      <c r="K1984" s="2" t="s">
        <v>17</v>
      </c>
      <c r="L1984" s="7">
        <f>Table3[[#This Row],[Revenue]]-Table3[[#This Row],[Ad Spend]]</f>
        <v>423.77000000000004</v>
      </c>
      <c r="M1984" s="11">
        <v>140.59</v>
      </c>
    </row>
    <row r="1985" spans="1:13" ht="15.75" customHeight="1" x14ac:dyDescent="0.3">
      <c r="A1985" s="4" t="s">
        <v>504</v>
      </c>
      <c r="B1985">
        <f t="shared" si="30"/>
        <v>12</v>
      </c>
      <c r="C1985" s="2" t="s">
        <v>19</v>
      </c>
      <c r="D1985" s="2" t="s">
        <v>251</v>
      </c>
      <c r="E1985" s="7">
        <v>100.82</v>
      </c>
      <c r="F1985" s="2">
        <v>10</v>
      </c>
      <c r="G1985" s="7">
        <v>195.31</v>
      </c>
      <c r="H1985" s="2" t="s">
        <v>14</v>
      </c>
      <c r="I1985" s="2" t="s">
        <v>29</v>
      </c>
      <c r="J1985" s="2" t="s">
        <v>25</v>
      </c>
      <c r="K1985" s="2" t="s">
        <v>17</v>
      </c>
      <c r="L1985" s="7">
        <f>Table3[[#This Row],[Revenue]]-Table3[[#This Row],[Ad Spend]]</f>
        <v>94.490000000000009</v>
      </c>
      <c r="M1985" s="11">
        <v>117.78</v>
      </c>
    </row>
    <row r="1986" spans="1:13" ht="15.75" customHeight="1" x14ac:dyDescent="0.3">
      <c r="A1986" s="4" t="s">
        <v>194</v>
      </c>
      <c r="B1986">
        <f t="shared" si="30"/>
        <v>11</v>
      </c>
      <c r="C1986" s="2" t="s">
        <v>19</v>
      </c>
      <c r="D1986" s="2" t="s">
        <v>593</v>
      </c>
      <c r="E1986" s="7">
        <v>117.93</v>
      </c>
      <c r="F1986" s="2">
        <v>0</v>
      </c>
      <c r="G1986" s="7">
        <v>279.23</v>
      </c>
      <c r="H1986" s="2" t="s">
        <v>467</v>
      </c>
      <c r="I1986" s="2" t="s">
        <v>35</v>
      </c>
      <c r="J1986" s="2" t="s">
        <v>25</v>
      </c>
      <c r="K1986" s="2" t="s">
        <v>46</v>
      </c>
      <c r="L1986" s="7">
        <f>Table3[[#This Row],[Revenue]]-Table3[[#This Row],[Ad Spend]]</f>
        <v>161.30000000000001</v>
      </c>
      <c r="M1986" s="11">
        <v>148.09</v>
      </c>
    </row>
    <row r="1987" spans="1:13" ht="15.75" customHeight="1" x14ac:dyDescent="0.3">
      <c r="A1987" s="4" t="s">
        <v>159</v>
      </c>
      <c r="B1987">
        <f t="shared" ref="B1987:B2001" si="31">MONTH(A1987)</f>
        <v>2</v>
      </c>
      <c r="C1987" s="2" t="s">
        <v>19</v>
      </c>
      <c r="D1987" s="2" t="s">
        <v>1012</v>
      </c>
      <c r="E1987" s="7">
        <v>71.37</v>
      </c>
      <c r="F1987" s="2">
        <v>6</v>
      </c>
      <c r="G1987" s="7">
        <v>321.07</v>
      </c>
      <c r="H1987" s="2" t="s">
        <v>364</v>
      </c>
      <c r="I1987" s="2" t="s">
        <v>15</v>
      </c>
      <c r="J1987" s="2" t="s">
        <v>16</v>
      </c>
      <c r="K1987" s="2" t="s">
        <v>17</v>
      </c>
      <c r="L1987" s="7">
        <f>Table3[[#This Row],[Revenue]]-Table3[[#This Row],[Ad Spend]]</f>
        <v>249.7</v>
      </c>
      <c r="M1987" s="11">
        <v>124.52</v>
      </c>
    </row>
    <row r="1988" spans="1:13" ht="15.75" customHeight="1" x14ac:dyDescent="0.3">
      <c r="A1988" s="4" t="s">
        <v>402</v>
      </c>
      <c r="B1988">
        <f t="shared" si="31"/>
        <v>3</v>
      </c>
      <c r="C1988" s="2" t="s">
        <v>32</v>
      </c>
      <c r="D1988" s="2" t="s">
        <v>1462</v>
      </c>
      <c r="E1988" s="7">
        <v>50.83</v>
      </c>
      <c r="F1988" s="2">
        <v>10</v>
      </c>
      <c r="G1988" s="7">
        <v>41.81</v>
      </c>
      <c r="H1988" s="2" t="s">
        <v>147</v>
      </c>
      <c r="I1988" s="2" t="s">
        <v>15</v>
      </c>
      <c r="J1988" s="2" t="s">
        <v>25</v>
      </c>
      <c r="K1988" s="2" t="s">
        <v>17</v>
      </c>
      <c r="L1988" s="7">
        <f>Table3[[#This Row],[Revenue]]-Table3[[#This Row],[Ad Spend]]</f>
        <v>-9.019999999999996</v>
      </c>
      <c r="M1988" s="11">
        <v>145.63999999999999</v>
      </c>
    </row>
    <row r="1989" spans="1:13" ht="15.75" customHeight="1" x14ac:dyDescent="0.3">
      <c r="A1989" s="4" t="s">
        <v>515</v>
      </c>
      <c r="B1989">
        <f t="shared" si="31"/>
        <v>3</v>
      </c>
      <c r="C1989" s="2" t="s">
        <v>12</v>
      </c>
      <c r="D1989" s="2" t="s">
        <v>835</v>
      </c>
      <c r="E1989" s="7">
        <v>89.36</v>
      </c>
      <c r="F1989" s="2">
        <v>6</v>
      </c>
      <c r="G1989" s="7">
        <v>196.14</v>
      </c>
      <c r="H1989" s="2" t="s">
        <v>1497</v>
      </c>
      <c r="I1989" s="2" t="s">
        <v>29</v>
      </c>
      <c r="J1989" s="2" t="s">
        <v>30</v>
      </c>
      <c r="K1989" s="2" t="s">
        <v>17</v>
      </c>
      <c r="L1989" s="7">
        <f>Table3[[#This Row],[Revenue]]-Table3[[#This Row],[Ad Spend]]</f>
        <v>106.77999999999999</v>
      </c>
      <c r="M1989" s="11">
        <v>101.19</v>
      </c>
    </row>
    <row r="1990" spans="1:13" ht="15.75" customHeight="1" x14ac:dyDescent="0.3">
      <c r="A1990" s="4" t="s">
        <v>335</v>
      </c>
      <c r="B1990">
        <f t="shared" si="31"/>
        <v>11</v>
      </c>
      <c r="C1990" s="2" t="s">
        <v>12</v>
      </c>
      <c r="D1990" s="2" t="s">
        <v>1379</v>
      </c>
      <c r="E1990" s="7">
        <v>28.21</v>
      </c>
      <c r="F1990" s="2">
        <v>9</v>
      </c>
      <c r="G1990" s="7">
        <v>245.1</v>
      </c>
      <c r="H1990" s="2" t="s">
        <v>45</v>
      </c>
      <c r="I1990" s="2" t="s">
        <v>15</v>
      </c>
      <c r="J1990" s="2" t="s">
        <v>36</v>
      </c>
      <c r="K1990" s="2" t="s">
        <v>17</v>
      </c>
      <c r="L1990" s="7">
        <f>Table3[[#This Row],[Revenue]]-Table3[[#This Row],[Ad Spend]]</f>
        <v>216.89</v>
      </c>
      <c r="M1990" s="11">
        <v>129.55000000000001</v>
      </c>
    </row>
    <row r="1991" spans="1:13" ht="15.75" customHeight="1" x14ac:dyDescent="0.3">
      <c r="A1991" s="4" t="s">
        <v>62</v>
      </c>
      <c r="B1991">
        <f t="shared" si="31"/>
        <v>2</v>
      </c>
      <c r="C1991" s="2" t="s">
        <v>32</v>
      </c>
      <c r="D1991" s="2" t="s">
        <v>1425</v>
      </c>
      <c r="E1991" s="7">
        <v>129.82</v>
      </c>
      <c r="F1991" s="2">
        <v>5</v>
      </c>
      <c r="G1991" s="7">
        <v>317.29000000000002</v>
      </c>
      <c r="H1991" s="2" t="s">
        <v>207</v>
      </c>
      <c r="I1991" s="2" t="s">
        <v>35</v>
      </c>
      <c r="J1991" s="2" t="s">
        <v>30</v>
      </c>
      <c r="K1991" s="2" t="s">
        <v>17</v>
      </c>
      <c r="L1991" s="7">
        <f>Table3[[#This Row],[Revenue]]-Table3[[#This Row],[Ad Spend]]</f>
        <v>187.47000000000003</v>
      </c>
      <c r="M1991" s="11">
        <v>168.15</v>
      </c>
    </row>
    <row r="1992" spans="1:13" ht="15.75" customHeight="1" x14ac:dyDescent="0.3">
      <c r="A1992" s="4" t="s">
        <v>875</v>
      </c>
      <c r="B1992">
        <f t="shared" si="31"/>
        <v>12</v>
      </c>
      <c r="C1992" s="2" t="s">
        <v>63</v>
      </c>
      <c r="D1992" s="2" t="s">
        <v>1325</v>
      </c>
      <c r="E1992" s="7">
        <v>146.49</v>
      </c>
      <c r="F1992" s="2">
        <v>8</v>
      </c>
      <c r="G1992" s="7">
        <v>88.45</v>
      </c>
      <c r="H1992" s="2" t="s">
        <v>467</v>
      </c>
      <c r="I1992" s="2" t="s">
        <v>29</v>
      </c>
      <c r="J1992" s="2" t="s">
        <v>30</v>
      </c>
      <c r="K1992" s="2" t="s">
        <v>17</v>
      </c>
      <c r="L1992" s="7">
        <f>Table3[[#This Row],[Revenue]]-Table3[[#This Row],[Ad Spend]]</f>
        <v>-58.040000000000006</v>
      </c>
      <c r="M1992" s="11">
        <v>140.01</v>
      </c>
    </row>
    <row r="1993" spans="1:13" ht="15.75" customHeight="1" x14ac:dyDescent="0.3">
      <c r="A1993" s="4" t="s">
        <v>84</v>
      </c>
      <c r="B1993">
        <f t="shared" si="31"/>
        <v>10</v>
      </c>
      <c r="C1993" s="2" t="s">
        <v>32</v>
      </c>
      <c r="D1993" s="2" t="s">
        <v>959</v>
      </c>
      <c r="E1993" s="7">
        <v>141.08000000000001</v>
      </c>
      <c r="F1993" s="2">
        <v>0</v>
      </c>
      <c r="G1993" s="7">
        <v>478.22</v>
      </c>
      <c r="H1993" s="2" t="s">
        <v>286</v>
      </c>
      <c r="I1993" s="2" t="s">
        <v>15</v>
      </c>
      <c r="J1993" s="2" t="s">
        <v>25</v>
      </c>
      <c r="K1993" s="2" t="s">
        <v>46</v>
      </c>
      <c r="L1993" s="7">
        <f>Table3[[#This Row],[Revenue]]-Table3[[#This Row],[Ad Spend]]</f>
        <v>337.14</v>
      </c>
      <c r="M1993" s="11">
        <v>120.6</v>
      </c>
    </row>
    <row r="1994" spans="1:13" ht="15.75" customHeight="1" x14ac:dyDescent="0.3">
      <c r="A1994" s="4" t="s">
        <v>406</v>
      </c>
      <c r="B1994">
        <f t="shared" si="31"/>
        <v>1</v>
      </c>
      <c r="C1994" s="2" t="s">
        <v>12</v>
      </c>
      <c r="D1994" s="2" t="s">
        <v>1419</v>
      </c>
      <c r="E1994" s="7">
        <v>46.61</v>
      </c>
      <c r="F1994" s="2">
        <v>0</v>
      </c>
      <c r="G1994" s="7">
        <v>55.84</v>
      </c>
      <c r="H1994" s="2" t="s">
        <v>1274</v>
      </c>
      <c r="I1994" s="2" t="s">
        <v>29</v>
      </c>
      <c r="J1994" s="2" t="s">
        <v>53</v>
      </c>
      <c r="K1994" s="2" t="s">
        <v>46</v>
      </c>
      <c r="L1994" s="7">
        <f>Table3[[#This Row],[Revenue]]-Table3[[#This Row],[Ad Spend]]</f>
        <v>9.230000000000004</v>
      </c>
      <c r="M1994" s="11">
        <v>89.5</v>
      </c>
    </row>
    <row r="1995" spans="1:13" ht="15.75" customHeight="1" x14ac:dyDescent="0.3">
      <c r="A1995" s="4" t="s">
        <v>226</v>
      </c>
      <c r="B1995">
        <f t="shared" si="31"/>
        <v>2</v>
      </c>
      <c r="C1995" s="2" t="s">
        <v>19</v>
      </c>
      <c r="D1995" s="2" t="s">
        <v>1071</v>
      </c>
      <c r="E1995" s="7">
        <v>10.62</v>
      </c>
      <c r="F1995" s="2">
        <v>1</v>
      </c>
      <c r="G1995" s="7">
        <v>41.36</v>
      </c>
      <c r="H1995" s="2" t="s">
        <v>1490</v>
      </c>
      <c r="I1995" s="2" t="s">
        <v>29</v>
      </c>
      <c r="J1995" s="2" t="s">
        <v>30</v>
      </c>
      <c r="K1995" s="2" t="s">
        <v>17</v>
      </c>
      <c r="L1995" s="7">
        <f>Table3[[#This Row],[Revenue]]-Table3[[#This Row],[Ad Spend]]</f>
        <v>30.740000000000002</v>
      </c>
      <c r="M1995" s="11">
        <v>50.36</v>
      </c>
    </row>
    <row r="1996" spans="1:13" ht="15.75" customHeight="1" x14ac:dyDescent="0.3">
      <c r="A1996" s="4" t="s">
        <v>656</v>
      </c>
      <c r="B1996">
        <f t="shared" si="31"/>
        <v>4</v>
      </c>
      <c r="C1996" s="2" t="s">
        <v>63</v>
      </c>
      <c r="D1996" s="2" t="s">
        <v>912</v>
      </c>
      <c r="E1996" s="7">
        <v>39.18</v>
      </c>
      <c r="F1996" s="2">
        <v>10</v>
      </c>
      <c r="G1996" s="7">
        <v>384.25</v>
      </c>
      <c r="H1996" s="2" t="s">
        <v>477</v>
      </c>
      <c r="I1996" s="2" t="s">
        <v>29</v>
      </c>
      <c r="J1996" s="2" t="s">
        <v>16</v>
      </c>
      <c r="K1996" s="2" t="s">
        <v>17</v>
      </c>
      <c r="L1996" s="7">
        <f>Table3[[#This Row],[Revenue]]-Table3[[#This Row],[Ad Spend]]</f>
        <v>345.07</v>
      </c>
      <c r="M1996" s="11">
        <v>147.38999999999999</v>
      </c>
    </row>
    <row r="1997" spans="1:13" ht="15.75" customHeight="1" x14ac:dyDescent="0.3">
      <c r="A1997" s="4" t="s">
        <v>194</v>
      </c>
      <c r="B1997">
        <f t="shared" si="31"/>
        <v>11</v>
      </c>
      <c r="C1997" s="2" t="s">
        <v>12</v>
      </c>
      <c r="D1997" s="2" t="s">
        <v>436</v>
      </c>
      <c r="E1997" s="7">
        <v>44.81</v>
      </c>
      <c r="F1997" s="2">
        <v>4</v>
      </c>
      <c r="G1997" s="7">
        <v>316.5</v>
      </c>
      <c r="H1997" s="2" t="s">
        <v>1028</v>
      </c>
      <c r="I1997" s="2" t="s">
        <v>29</v>
      </c>
      <c r="J1997" s="2" t="s">
        <v>30</v>
      </c>
      <c r="K1997" s="2" t="s">
        <v>17</v>
      </c>
      <c r="L1997" s="7">
        <f>Table3[[#This Row],[Revenue]]-Table3[[#This Row],[Ad Spend]]</f>
        <v>271.69</v>
      </c>
      <c r="M1997" s="11">
        <v>149.19</v>
      </c>
    </row>
    <row r="1998" spans="1:13" ht="15.75" customHeight="1" x14ac:dyDescent="0.3">
      <c r="A1998" s="4" t="s">
        <v>271</v>
      </c>
      <c r="B1998">
        <f t="shared" si="31"/>
        <v>1</v>
      </c>
      <c r="C1998" s="2" t="s">
        <v>32</v>
      </c>
      <c r="D1998" s="2" t="s">
        <v>1407</v>
      </c>
      <c r="E1998" s="7">
        <v>120.18</v>
      </c>
      <c r="F1998" s="2">
        <v>1</v>
      </c>
      <c r="G1998" s="7">
        <v>345.63</v>
      </c>
      <c r="H1998" s="2" t="s">
        <v>14</v>
      </c>
      <c r="I1998" s="2" t="s">
        <v>15</v>
      </c>
      <c r="J1998" s="2" t="s">
        <v>16</v>
      </c>
      <c r="K1998" s="2" t="s">
        <v>17</v>
      </c>
      <c r="L1998" s="7">
        <f>Table3[[#This Row],[Revenue]]-Table3[[#This Row],[Ad Spend]]</f>
        <v>225.45</v>
      </c>
      <c r="M1998" s="11">
        <v>119.61</v>
      </c>
    </row>
    <row r="1999" spans="1:13" ht="15.75" customHeight="1" x14ac:dyDescent="0.3">
      <c r="A1999" s="4" t="s">
        <v>309</v>
      </c>
      <c r="B1999">
        <f t="shared" si="31"/>
        <v>4</v>
      </c>
      <c r="C1999" s="2" t="s">
        <v>32</v>
      </c>
      <c r="D1999" s="2" t="s">
        <v>1437</v>
      </c>
      <c r="E1999" s="7">
        <v>144.99</v>
      </c>
      <c r="F1999" s="2">
        <v>2</v>
      </c>
      <c r="G1999" s="7">
        <v>38.22</v>
      </c>
      <c r="H1999" s="2" t="s">
        <v>225</v>
      </c>
      <c r="I1999" s="2" t="s">
        <v>15</v>
      </c>
      <c r="J1999" s="2" t="s">
        <v>30</v>
      </c>
      <c r="K1999" s="2" t="s">
        <v>17</v>
      </c>
      <c r="L1999" s="7">
        <f>Table3[[#This Row],[Revenue]]-Table3[[#This Row],[Ad Spend]]</f>
        <v>-106.77000000000001</v>
      </c>
      <c r="M1999" s="11">
        <v>118.52</v>
      </c>
    </row>
    <row r="2000" spans="1:13" ht="15.75" customHeight="1" x14ac:dyDescent="0.3">
      <c r="A2000" s="4" t="s">
        <v>421</v>
      </c>
      <c r="B2000">
        <f t="shared" si="31"/>
        <v>11</v>
      </c>
      <c r="C2000" s="2" t="s">
        <v>12</v>
      </c>
      <c r="D2000" s="2" t="s">
        <v>1155</v>
      </c>
      <c r="E2000" s="7">
        <v>101.44</v>
      </c>
      <c r="F2000" s="2">
        <v>1</v>
      </c>
      <c r="G2000" s="7">
        <v>116.26</v>
      </c>
      <c r="H2000" s="2" t="s">
        <v>1427</v>
      </c>
      <c r="I2000" s="2" t="s">
        <v>35</v>
      </c>
      <c r="J2000" s="2" t="s">
        <v>30</v>
      </c>
      <c r="K2000" s="2" t="s">
        <v>17</v>
      </c>
      <c r="L2000" s="7">
        <f>Table3[[#This Row],[Revenue]]-Table3[[#This Row],[Ad Spend]]</f>
        <v>14.820000000000007</v>
      </c>
      <c r="M2000" s="11">
        <v>95.49</v>
      </c>
    </row>
    <row r="2001" spans="1:13" ht="15.75" customHeight="1" x14ac:dyDescent="0.3">
      <c r="A2001" s="4" t="s">
        <v>230</v>
      </c>
      <c r="B2001">
        <f t="shared" si="31"/>
        <v>1</v>
      </c>
      <c r="C2001" s="2" t="s">
        <v>63</v>
      </c>
      <c r="D2001" s="2" t="s">
        <v>1122</v>
      </c>
      <c r="E2001" s="7">
        <v>115.86</v>
      </c>
      <c r="F2001" s="2">
        <v>6</v>
      </c>
      <c r="G2001" s="7">
        <v>111.51</v>
      </c>
      <c r="H2001" s="2" t="s">
        <v>695</v>
      </c>
      <c r="I2001" s="2" t="s">
        <v>29</v>
      </c>
      <c r="J2001" s="2" t="s">
        <v>30</v>
      </c>
      <c r="K2001" s="2" t="s">
        <v>17</v>
      </c>
      <c r="L2001" s="7">
        <f>Table3[[#This Row],[Revenue]]-Table3[[#This Row],[Ad Spend]]</f>
        <v>-4.3499999999999943</v>
      </c>
      <c r="M2001" s="11">
        <v>125.63</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E56BB-D104-41AF-B2FC-03073DFD4BE3}">
  <dimension ref="A2:U82"/>
  <sheetViews>
    <sheetView zoomScale="83" zoomScaleNormal="83" workbookViewId="0">
      <selection activeCell="A81" sqref="A81"/>
    </sheetView>
  </sheetViews>
  <sheetFormatPr defaultRowHeight="14.4" x14ac:dyDescent="0.3"/>
  <cols>
    <col min="1" max="1" width="14.21875" bestFit="1" customWidth="1"/>
    <col min="2" max="2" width="15.77734375" bestFit="1" customWidth="1"/>
    <col min="3" max="5" width="11.21875" bestFit="1" customWidth="1"/>
    <col min="6" max="6" width="10.21875" bestFit="1" customWidth="1"/>
    <col min="7" max="8" width="11.21875" bestFit="1" customWidth="1"/>
    <col min="9" max="9" width="14.88671875" bestFit="1" customWidth="1"/>
    <col min="10" max="12" width="11.21875" bestFit="1" customWidth="1"/>
    <col min="13" max="13" width="10.21875" bestFit="1" customWidth="1"/>
    <col min="14" max="14" width="12.21875" bestFit="1" customWidth="1"/>
    <col min="15" max="15" width="11.21875" bestFit="1" customWidth="1"/>
    <col min="16" max="16" width="20.44140625" bestFit="1" customWidth="1"/>
    <col min="17" max="17" width="19.6640625" bestFit="1" customWidth="1"/>
  </cols>
  <sheetData>
    <row r="2" spans="1:18" x14ac:dyDescent="0.3">
      <c r="A2" s="13" t="s">
        <v>1500</v>
      </c>
      <c r="B2" t="s">
        <v>1501</v>
      </c>
      <c r="E2" s="13" t="s">
        <v>1500</v>
      </c>
      <c r="F2" t="s">
        <v>1501</v>
      </c>
      <c r="G2" t="s">
        <v>1502</v>
      </c>
      <c r="H2" t="s">
        <v>1504</v>
      </c>
      <c r="I2" t="s">
        <v>1506</v>
      </c>
      <c r="L2" s="13" t="s">
        <v>1500</v>
      </c>
      <c r="M2" t="s">
        <v>1501</v>
      </c>
      <c r="N2" t="s">
        <v>1507</v>
      </c>
      <c r="O2" t="s">
        <v>1504</v>
      </c>
    </row>
    <row r="3" spans="1:18" x14ac:dyDescent="0.3">
      <c r="A3" s="14">
        <v>1</v>
      </c>
      <c r="B3" s="8">
        <v>83968.009999999966</v>
      </c>
      <c r="E3" s="14" t="s">
        <v>36</v>
      </c>
      <c r="F3" s="8">
        <v>52206.090000000004</v>
      </c>
      <c r="G3" s="8">
        <v>15683.49</v>
      </c>
      <c r="H3">
        <v>1008</v>
      </c>
      <c r="I3" s="8">
        <v>36522.6</v>
      </c>
      <c r="L3" s="14" t="s">
        <v>486</v>
      </c>
      <c r="M3" s="8">
        <v>2151.92</v>
      </c>
      <c r="N3" s="8">
        <v>358.65333333333336</v>
      </c>
      <c r="O3">
        <v>24</v>
      </c>
      <c r="Q3" s="16" t="s">
        <v>1500</v>
      </c>
      <c r="R3" s="16" t="s">
        <v>1501</v>
      </c>
    </row>
    <row r="4" spans="1:18" x14ac:dyDescent="0.3">
      <c r="A4" s="14">
        <v>2</v>
      </c>
      <c r="B4" s="8">
        <v>82724.439999999988</v>
      </c>
      <c r="E4" s="14" t="s">
        <v>53</v>
      </c>
      <c r="F4" s="8">
        <v>52642.29</v>
      </c>
      <c r="G4" s="8">
        <v>16541.219999999998</v>
      </c>
      <c r="H4">
        <v>1016</v>
      </c>
      <c r="I4" s="8">
        <v>36101.070000000022</v>
      </c>
      <c r="L4" s="14" t="s">
        <v>686</v>
      </c>
      <c r="M4" s="8">
        <v>1810.3600000000001</v>
      </c>
      <c r="N4" s="8">
        <v>301.72666666666669</v>
      </c>
      <c r="O4">
        <v>28</v>
      </c>
      <c r="Q4" s="14" t="s">
        <v>36</v>
      </c>
      <c r="R4" s="8">
        <v>52206.090000000004</v>
      </c>
    </row>
    <row r="5" spans="1:18" x14ac:dyDescent="0.3">
      <c r="A5" s="14">
        <v>3</v>
      </c>
      <c r="B5" s="8">
        <v>82774.929999999993</v>
      </c>
      <c r="E5" s="14" t="s">
        <v>16</v>
      </c>
      <c r="F5" s="8">
        <v>61423.67</v>
      </c>
      <c r="G5" s="8">
        <v>15982.489999999996</v>
      </c>
      <c r="H5">
        <v>1050</v>
      </c>
      <c r="I5" s="8">
        <v>45441.179999999993</v>
      </c>
      <c r="L5" s="14" t="s">
        <v>1124</v>
      </c>
      <c r="M5" s="8">
        <v>1888.5300000000002</v>
      </c>
      <c r="N5" s="8">
        <v>314.75500000000005</v>
      </c>
      <c r="O5">
        <v>36</v>
      </c>
      <c r="Q5" s="14" t="s">
        <v>53</v>
      </c>
      <c r="R5" s="8">
        <v>52642.29</v>
      </c>
    </row>
    <row r="6" spans="1:18" x14ac:dyDescent="0.3">
      <c r="A6" s="14">
        <v>4</v>
      </c>
      <c r="B6" s="8">
        <v>84160.859999999971</v>
      </c>
      <c r="E6" s="14" t="s">
        <v>87</v>
      </c>
      <c r="F6" s="8">
        <v>74979.959999999977</v>
      </c>
      <c r="G6" s="8">
        <v>22431.029999999992</v>
      </c>
      <c r="H6">
        <v>1345</v>
      </c>
      <c r="I6" s="8">
        <v>52548.930000000037</v>
      </c>
      <c r="L6" s="14" t="s">
        <v>697</v>
      </c>
      <c r="M6" s="8">
        <v>1849.0200000000002</v>
      </c>
      <c r="N6" s="8">
        <v>308.17</v>
      </c>
      <c r="O6">
        <v>31</v>
      </c>
      <c r="Q6" s="14" t="s">
        <v>16</v>
      </c>
      <c r="R6" s="8">
        <v>61423.67</v>
      </c>
    </row>
    <row r="7" spans="1:18" x14ac:dyDescent="0.3">
      <c r="A7" s="14">
        <v>10</v>
      </c>
      <c r="B7" s="8">
        <v>7894.4699999999993</v>
      </c>
      <c r="E7" s="14" t="s">
        <v>25</v>
      </c>
      <c r="F7" s="8">
        <v>129309.90999999999</v>
      </c>
      <c r="G7" s="8">
        <v>38623.120000000017</v>
      </c>
      <c r="H7">
        <v>2384</v>
      </c>
      <c r="I7" s="8">
        <v>90686.79</v>
      </c>
      <c r="L7" s="14" t="s">
        <v>817</v>
      </c>
      <c r="M7" s="8">
        <v>1813.0499999999997</v>
      </c>
      <c r="N7" s="8">
        <v>362.60999999999996</v>
      </c>
      <c r="O7">
        <v>25</v>
      </c>
      <c r="Q7" s="14" t="s">
        <v>87</v>
      </c>
      <c r="R7" s="8">
        <v>74979.959999999977</v>
      </c>
    </row>
    <row r="8" spans="1:18" x14ac:dyDescent="0.3">
      <c r="A8" s="14">
        <v>11</v>
      </c>
      <c r="B8" s="8">
        <v>100522.98999999998</v>
      </c>
      <c r="E8" s="14" t="s">
        <v>30</v>
      </c>
      <c r="F8" s="8">
        <v>152858.09000000005</v>
      </c>
      <c r="G8" s="8">
        <v>48055.789999999979</v>
      </c>
      <c r="H8">
        <v>3003</v>
      </c>
      <c r="I8" s="8">
        <v>104802.29999999997</v>
      </c>
      <c r="L8" s="14" t="s">
        <v>311</v>
      </c>
      <c r="M8" s="8">
        <v>1884.91</v>
      </c>
      <c r="N8" s="8">
        <v>376.98200000000003</v>
      </c>
      <c r="O8">
        <v>13</v>
      </c>
      <c r="Q8" s="14" t="s">
        <v>25</v>
      </c>
      <c r="R8" s="8">
        <v>129309.90999999999</v>
      </c>
    </row>
    <row r="9" spans="1:18" x14ac:dyDescent="0.3">
      <c r="A9" s="14">
        <v>12</v>
      </c>
      <c r="B9" s="8">
        <v>81374.310000000027</v>
      </c>
      <c r="E9" s="14" t="s">
        <v>1499</v>
      </c>
      <c r="F9" s="8">
        <v>523420.01</v>
      </c>
      <c r="G9" s="8">
        <v>157317.13999999998</v>
      </c>
      <c r="H9">
        <v>9806</v>
      </c>
      <c r="I9" s="8">
        <v>366102.87</v>
      </c>
      <c r="L9" s="14" t="s">
        <v>215</v>
      </c>
      <c r="M9" s="8">
        <v>1942.58</v>
      </c>
      <c r="N9" s="8">
        <v>323.76333333333332</v>
      </c>
      <c r="O9">
        <v>38</v>
      </c>
      <c r="Q9" s="14" t="s">
        <v>30</v>
      </c>
      <c r="R9" s="8">
        <v>152858.09000000005</v>
      </c>
    </row>
    <row r="10" spans="1:18" x14ac:dyDescent="0.3">
      <c r="A10" s="14" t="s">
        <v>1499</v>
      </c>
      <c r="B10" s="8">
        <v>523420.00999999989</v>
      </c>
      <c r="L10" s="14" t="s">
        <v>507</v>
      </c>
      <c r="M10" s="8">
        <v>2134.7199999999998</v>
      </c>
      <c r="N10" s="8">
        <v>266.83999999999997</v>
      </c>
      <c r="O10">
        <v>49</v>
      </c>
      <c r="Q10" s="18" t="s">
        <v>1499</v>
      </c>
      <c r="R10" s="19">
        <v>523420.01</v>
      </c>
    </row>
    <row r="11" spans="1:18" x14ac:dyDescent="0.3">
      <c r="L11" s="14" t="s">
        <v>223</v>
      </c>
      <c r="M11" s="8">
        <v>1935.62</v>
      </c>
      <c r="N11" s="8">
        <v>387.12399999999997</v>
      </c>
      <c r="O11">
        <v>38</v>
      </c>
    </row>
    <row r="12" spans="1:18" x14ac:dyDescent="0.3">
      <c r="L12" s="14" t="s">
        <v>632</v>
      </c>
      <c r="M12" s="8">
        <v>1796.51</v>
      </c>
      <c r="N12" s="8">
        <v>299.41833333333335</v>
      </c>
      <c r="O12">
        <v>16</v>
      </c>
    </row>
    <row r="13" spans="1:18" x14ac:dyDescent="0.3">
      <c r="L13" s="14" t="s">
        <v>1499</v>
      </c>
      <c r="M13" s="8">
        <v>19207.219999999994</v>
      </c>
      <c r="N13" s="8">
        <v>325.54610169491514</v>
      </c>
      <c r="O13">
        <v>298</v>
      </c>
    </row>
    <row r="17" spans="1:21" x14ac:dyDescent="0.3">
      <c r="A17" s="13" t="s">
        <v>1500</v>
      </c>
      <c r="B17" t="s">
        <v>1501</v>
      </c>
    </row>
    <row r="18" spans="1:21" x14ac:dyDescent="0.3">
      <c r="A18" s="14" t="s">
        <v>35</v>
      </c>
      <c r="B18" s="8">
        <v>167170.07000000009</v>
      </c>
      <c r="E18" s="13" t="s">
        <v>1501</v>
      </c>
      <c r="F18" s="13" t="s">
        <v>1498</v>
      </c>
    </row>
    <row r="19" spans="1:21" x14ac:dyDescent="0.3">
      <c r="A19" s="14" t="s">
        <v>15</v>
      </c>
      <c r="B19" s="8">
        <v>172273.33000000007</v>
      </c>
      <c r="E19" s="13" t="s">
        <v>1500</v>
      </c>
      <c r="F19" t="s">
        <v>16</v>
      </c>
      <c r="G19" t="s">
        <v>25</v>
      </c>
      <c r="H19" t="s">
        <v>30</v>
      </c>
      <c r="I19" t="s">
        <v>87</v>
      </c>
      <c r="J19" t="s">
        <v>36</v>
      </c>
      <c r="K19" t="s">
        <v>53</v>
      </c>
      <c r="L19" t="s">
        <v>1499</v>
      </c>
    </row>
    <row r="20" spans="1:21" x14ac:dyDescent="0.3">
      <c r="A20" s="14" t="s">
        <v>29</v>
      </c>
      <c r="B20" s="8">
        <v>183976.60999999993</v>
      </c>
      <c r="E20" s="14" t="s">
        <v>486</v>
      </c>
      <c r="F20" s="8">
        <v>653.35</v>
      </c>
      <c r="G20" s="8">
        <v>668.59999999999991</v>
      </c>
      <c r="H20" s="8">
        <v>829.97</v>
      </c>
      <c r="I20" s="8"/>
      <c r="J20" s="8"/>
      <c r="K20" s="8"/>
      <c r="L20" s="8">
        <v>2151.92</v>
      </c>
      <c r="N20" t="str">
        <f t="shared" ref="N20:N29" si="0">E20</f>
        <v>Clearly</v>
      </c>
      <c r="O20">
        <f t="shared" ref="O20:O29" si="1">F20</f>
        <v>653.35</v>
      </c>
      <c r="P20">
        <f t="shared" ref="P20:P29" si="2">G20</f>
        <v>668.59999999999991</v>
      </c>
      <c r="Q20">
        <f t="shared" ref="Q20:Q29" si="3">H20</f>
        <v>829.97</v>
      </c>
      <c r="R20">
        <f t="shared" ref="R20:R29" si="4">I20</f>
        <v>0</v>
      </c>
      <c r="S20">
        <f t="shared" ref="S20:S29" si="5">J20</f>
        <v>0</v>
      </c>
      <c r="T20">
        <f t="shared" ref="T20:T29" si="6">K20</f>
        <v>0</v>
      </c>
      <c r="U20">
        <f t="shared" ref="U20:U29" si="7">L20</f>
        <v>2151.92</v>
      </c>
    </row>
    <row r="21" spans="1:21" x14ac:dyDescent="0.3">
      <c r="A21" s="14" t="s">
        <v>1499</v>
      </c>
      <c r="B21" s="8">
        <v>523420.01000000007</v>
      </c>
      <c r="E21" s="14" t="s">
        <v>686</v>
      </c>
      <c r="F21" s="8"/>
      <c r="G21" s="8">
        <v>586.01</v>
      </c>
      <c r="H21" s="8">
        <v>462.65</v>
      </c>
      <c r="I21" s="8">
        <v>411.84</v>
      </c>
      <c r="J21" s="8"/>
      <c r="K21" s="8">
        <v>349.86</v>
      </c>
      <c r="L21" s="8">
        <v>1810.3599999999997</v>
      </c>
      <c r="N21" t="str">
        <f t="shared" si="0"/>
        <v>Cover</v>
      </c>
      <c r="O21">
        <f t="shared" si="1"/>
        <v>0</v>
      </c>
      <c r="P21">
        <f t="shared" si="2"/>
        <v>586.01</v>
      </c>
      <c r="Q21">
        <f t="shared" si="3"/>
        <v>462.65</v>
      </c>
      <c r="R21">
        <f t="shared" si="4"/>
        <v>411.84</v>
      </c>
      <c r="S21">
        <f t="shared" si="5"/>
        <v>0</v>
      </c>
      <c r="T21">
        <f t="shared" si="6"/>
        <v>349.86</v>
      </c>
      <c r="U21">
        <f t="shared" si="7"/>
        <v>1810.3599999999997</v>
      </c>
    </row>
    <row r="22" spans="1:21" x14ac:dyDescent="0.3">
      <c r="E22" s="14" t="s">
        <v>1124</v>
      </c>
      <c r="F22" s="8">
        <v>511.31</v>
      </c>
      <c r="G22" s="8">
        <v>405.61</v>
      </c>
      <c r="H22" s="8">
        <v>678.99</v>
      </c>
      <c r="I22" s="8">
        <v>292.62</v>
      </c>
      <c r="J22" s="8"/>
      <c r="K22" s="8"/>
      <c r="L22" s="8">
        <v>1888.5300000000002</v>
      </c>
      <c r="N22" t="str">
        <f t="shared" si="0"/>
        <v>Fill</v>
      </c>
      <c r="O22">
        <f t="shared" si="1"/>
        <v>511.31</v>
      </c>
      <c r="P22">
        <f t="shared" si="2"/>
        <v>405.61</v>
      </c>
      <c r="Q22">
        <f t="shared" si="3"/>
        <v>678.99</v>
      </c>
      <c r="R22">
        <f t="shared" si="4"/>
        <v>292.62</v>
      </c>
      <c r="S22">
        <f t="shared" si="5"/>
        <v>0</v>
      </c>
      <c r="T22">
        <f t="shared" si="6"/>
        <v>0</v>
      </c>
      <c r="U22">
        <f t="shared" si="7"/>
        <v>1888.5300000000002</v>
      </c>
    </row>
    <row r="23" spans="1:21" x14ac:dyDescent="0.3">
      <c r="E23" s="14" t="s">
        <v>697</v>
      </c>
      <c r="F23" s="8">
        <v>457.37</v>
      </c>
      <c r="G23" s="8">
        <v>698.62</v>
      </c>
      <c r="H23" s="8">
        <v>693.03</v>
      </c>
      <c r="I23" s="8"/>
      <c r="J23" s="8"/>
      <c r="K23" s="8"/>
      <c r="L23" s="8">
        <v>1849.02</v>
      </c>
      <c r="N23" t="str">
        <f t="shared" si="0"/>
        <v>Ok</v>
      </c>
      <c r="O23">
        <f t="shared" si="1"/>
        <v>457.37</v>
      </c>
      <c r="P23">
        <f t="shared" si="2"/>
        <v>698.62</v>
      </c>
      <c r="Q23">
        <f t="shared" si="3"/>
        <v>693.03</v>
      </c>
      <c r="R23">
        <f t="shared" si="4"/>
        <v>0</v>
      </c>
      <c r="S23">
        <f t="shared" si="5"/>
        <v>0</v>
      </c>
      <c r="T23">
        <f t="shared" si="6"/>
        <v>0</v>
      </c>
      <c r="U23">
        <f t="shared" si="7"/>
        <v>1849.02</v>
      </c>
    </row>
    <row r="24" spans="1:21" x14ac:dyDescent="0.3">
      <c r="E24" s="14" t="s">
        <v>817</v>
      </c>
      <c r="F24" s="8">
        <v>369.64</v>
      </c>
      <c r="G24" s="8">
        <v>326.02</v>
      </c>
      <c r="H24" s="8">
        <v>647.25</v>
      </c>
      <c r="I24" s="8"/>
      <c r="J24" s="8">
        <v>470.14</v>
      </c>
      <c r="K24" s="8"/>
      <c r="L24" s="8">
        <v>1813.0499999999997</v>
      </c>
      <c r="N24" t="str">
        <f t="shared" si="0"/>
        <v>Production</v>
      </c>
      <c r="O24">
        <f t="shared" si="1"/>
        <v>369.64</v>
      </c>
      <c r="P24">
        <f t="shared" si="2"/>
        <v>326.02</v>
      </c>
      <c r="Q24">
        <f t="shared" si="3"/>
        <v>647.25</v>
      </c>
      <c r="R24">
        <f t="shared" si="4"/>
        <v>0</v>
      </c>
      <c r="S24">
        <f t="shared" si="5"/>
        <v>470.14</v>
      </c>
      <c r="T24">
        <f t="shared" si="6"/>
        <v>0</v>
      </c>
      <c r="U24">
        <f t="shared" si="7"/>
        <v>1813.0499999999997</v>
      </c>
    </row>
    <row r="25" spans="1:21" x14ac:dyDescent="0.3">
      <c r="E25" s="14" t="s">
        <v>311</v>
      </c>
      <c r="F25" s="8"/>
      <c r="G25" s="8">
        <v>240.71</v>
      </c>
      <c r="H25" s="8">
        <v>389.48</v>
      </c>
      <c r="I25" s="8">
        <v>353.59</v>
      </c>
      <c r="J25" s="8">
        <v>901.13</v>
      </c>
      <c r="K25" s="8"/>
      <c r="L25" s="8">
        <v>1884.9099999999999</v>
      </c>
      <c r="N25" t="str">
        <f t="shared" si="0"/>
        <v>Professor</v>
      </c>
      <c r="O25">
        <f t="shared" si="1"/>
        <v>0</v>
      </c>
      <c r="P25">
        <f t="shared" si="2"/>
        <v>240.71</v>
      </c>
      <c r="Q25">
        <f t="shared" si="3"/>
        <v>389.48</v>
      </c>
      <c r="R25">
        <f t="shared" si="4"/>
        <v>353.59</v>
      </c>
      <c r="S25">
        <f t="shared" si="5"/>
        <v>901.13</v>
      </c>
      <c r="T25">
        <f t="shared" si="6"/>
        <v>0</v>
      </c>
      <c r="U25">
        <f t="shared" si="7"/>
        <v>1884.9099999999999</v>
      </c>
    </row>
    <row r="26" spans="1:21" x14ac:dyDescent="0.3">
      <c r="E26" s="14" t="s">
        <v>215</v>
      </c>
      <c r="F26" s="8"/>
      <c r="G26" s="8">
        <v>782.13</v>
      </c>
      <c r="H26" s="8">
        <v>895.4</v>
      </c>
      <c r="I26" s="8"/>
      <c r="J26" s="8">
        <v>265.05</v>
      </c>
      <c r="K26" s="8"/>
      <c r="L26" s="8">
        <v>1942.58</v>
      </c>
      <c r="N26" t="str">
        <f t="shared" si="0"/>
        <v>Skin</v>
      </c>
      <c r="O26">
        <f t="shared" si="1"/>
        <v>0</v>
      </c>
      <c r="P26">
        <f t="shared" si="2"/>
        <v>782.13</v>
      </c>
      <c r="Q26">
        <f t="shared" si="3"/>
        <v>895.4</v>
      </c>
      <c r="R26">
        <f t="shared" si="4"/>
        <v>0</v>
      </c>
      <c r="S26">
        <f t="shared" si="5"/>
        <v>265.05</v>
      </c>
      <c r="T26">
        <f t="shared" si="6"/>
        <v>0</v>
      </c>
      <c r="U26">
        <f t="shared" si="7"/>
        <v>1942.58</v>
      </c>
    </row>
    <row r="27" spans="1:21" x14ac:dyDescent="0.3">
      <c r="E27" s="14" t="s">
        <v>507</v>
      </c>
      <c r="F27" s="8">
        <v>132.52000000000001</v>
      </c>
      <c r="G27" s="8">
        <v>698.16000000000008</v>
      </c>
      <c r="H27" s="8">
        <v>419.74</v>
      </c>
      <c r="I27" s="8">
        <v>473.31</v>
      </c>
      <c r="J27" s="8"/>
      <c r="K27" s="8">
        <v>410.99</v>
      </c>
      <c r="L27" s="8">
        <v>2134.7200000000003</v>
      </c>
      <c r="N27" t="str">
        <f t="shared" si="0"/>
        <v>Success</v>
      </c>
      <c r="O27">
        <f t="shared" si="1"/>
        <v>132.52000000000001</v>
      </c>
      <c r="P27">
        <f t="shared" si="2"/>
        <v>698.16000000000008</v>
      </c>
      <c r="Q27">
        <f t="shared" si="3"/>
        <v>419.74</v>
      </c>
      <c r="R27">
        <f t="shared" si="4"/>
        <v>473.31</v>
      </c>
      <c r="S27">
        <f t="shared" si="5"/>
        <v>0</v>
      </c>
      <c r="T27">
        <f t="shared" si="6"/>
        <v>410.99</v>
      </c>
      <c r="U27">
        <f t="shared" si="7"/>
        <v>2134.7200000000003</v>
      </c>
    </row>
    <row r="28" spans="1:21" x14ac:dyDescent="0.3">
      <c r="E28" s="14" t="s">
        <v>223</v>
      </c>
      <c r="F28" s="8"/>
      <c r="G28" s="8">
        <v>901.06</v>
      </c>
      <c r="H28" s="8">
        <v>443.2</v>
      </c>
      <c r="I28" s="8"/>
      <c r="J28" s="8">
        <v>591.36</v>
      </c>
      <c r="K28" s="8"/>
      <c r="L28" s="8">
        <v>1935.62</v>
      </c>
      <c r="N28" t="str">
        <f t="shared" si="0"/>
        <v>Tree</v>
      </c>
      <c r="O28">
        <f t="shared" si="1"/>
        <v>0</v>
      </c>
      <c r="P28">
        <f t="shared" si="2"/>
        <v>901.06</v>
      </c>
      <c r="Q28">
        <f t="shared" si="3"/>
        <v>443.2</v>
      </c>
      <c r="R28">
        <f t="shared" si="4"/>
        <v>0</v>
      </c>
      <c r="S28">
        <f t="shared" si="5"/>
        <v>591.36</v>
      </c>
      <c r="T28">
        <f t="shared" si="6"/>
        <v>0</v>
      </c>
      <c r="U28">
        <f t="shared" si="7"/>
        <v>1935.62</v>
      </c>
    </row>
    <row r="29" spans="1:21" x14ac:dyDescent="0.3">
      <c r="E29" s="14" t="s">
        <v>632</v>
      </c>
      <c r="F29" s="8">
        <v>337.21</v>
      </c>
      <c r="G29" s="8"/>
      <c r="H29" s="8">
        <v>825.81999999999994</v>
      </c>
      <c r="I29" s="8">
        <v>633.48</v>
      </c>
      <c r="J29" s="8"/>
      <c r="K29" s="8"/>
      <c r="L29" s="8">
        <v>1796.51</v>
      </c>
      <c r="N29" t="str">
        <f t="shared" si="0"/>
        <v>Yourself</v>
      </c>
      <c r="O29">
        <f t="shared" si="1"/>
        <v>337.21</v>
      </c>
      <c r="P29">
        <f t="shared" si="2"/>
        <v>0</v>
      </c>
      <c r="Q29">
        <f t="shared" si="3"/>
        <v>825.81999999999994</v>
      </c>
      <c r="R29">
        <f t="shared" si="4"/>
        <v>633.48</v>
      </c>
      <c r="S29">
        <f t="shared" si="5"/>
        <v>0</v>
      </c>
      <c r="T29">
        <f t="shared" si="6"/>
        <v>0</v>
      </c>
      <c r="U29">
        <f t="shared" si="7"/>
        <v>1796.51</v>
      </c>
    </row>
    <row r="30" spans="1:21" x14ac:dyDescent="0.3">
      <c r="A30" s="13" t="s">
        <v>1500</v>
      </c>
      <c r="B30" t="s">
        <v>1501</v>
      </c>
      <c r="E30" s="14" t="s">
        <v>1499</v>
      </c>
      <c r="F30" s="8">
        <v>2461.4</v>
      </c>
      <c r="G30" s="8">
        <v>5306.92</v>
      </c>
      <c r="H30" s="8">
        <v>6285.5299999999988</v>
      </c>
      <c r="I30" s="8">
        <v>2164.84</v>
      </c>
      <c r="J30" s="8">
        <v>2227.6799999999998</v>
      </c>
      <c r="K30" s="8">
        <v>760.85</v>
      </c>
      <c r="L30" s="8">
        <v>19207.219999999998</v>
      </c>
    </row>
    <row r="31" spans="1:21" x14ac:dyDescent="0.3">
      <c r="A31" s="14" t="s">
        <v>19</v>
      </c>
      <c r="B31" s="8">
        <v>132088.90000000008</v>
      </c>
    </row>
    <row r="32" spans="1:21" x14ac:dyDescent="0.3">
      <c r="A32" s="14" t="s">
        <v>63</v>
      </c>
      <c r="B32" s="8">
        <v>123796.81000000003</v>
      </c>
    </row>
    <row r="33" spans="1:17" x14ac:dyDescent="0.3">
      <c r="A33" s="14" t="s">
        <v>12</v>
      </c>
      <c r="B33" s="8">
        <v>131865.98000000004</v>
      </c>
    </row>
    <row r="34" spans="1:17" x14ac:dyDescent="0.3">
      <c r="A34" s="14" t="s">
        <v>32</v>
      </c>
      <c r="B34" s="8">
        <v>135668.32</v>
      </c>
    </row>
    <row r="35" spans="1:17" x14ac:dyDescent="0.3">
      <c r="A35" s="14" t="s">
        <v>1499</v>
      </c>
      <c r="B35" s="8">
        <v>523420.01000000018</v>
      </c>
    </row>
    <row r="41" spans="1:17" x14ac:dyDescent="0.3">
      <c r="B41" s="13" t="s">
        <v>1498</v>
      </c>
    </row>
    <row r="42" spans="1:17" x14ac:dyDescent="0.3">
      <c r="B42" t="s">
        <v>1502</v>
      </c>
      <c r="I42" t="s">
        <v>1501</v>
      </c>
      <c r="P42" t="s">
        <v>1508</v>
      </c>
      <c r="Q42" t="s">
        <v>1509</v>
      </c>
    </row>
    <row r="43" spans="1:17" x14ac:dyDescent="0.3">
      <c r="A43" s="13" t="s">
        <v>1500</v>
      </c>
      <c r="B43">
        <v>1</v>
      </c>
      <c r="C43">
        <v>2</v>
      </c>
      <c r="D43">
        <v>3</v>
      </c>
      <c r="E43">
        <v>4</v>
      </c>
      <c r="F43">
        <v>10</v>
      </c>
      <c r="G43">
        <v>11</v>
      </c>
      <c r="H43">
        <v>12</v>
      </c>
      <c r="I43">
        <v>1</v>
      </c>
      <c r="J43">
        <v>2</v>
      </c>
      <c r="K43">
        <v>3</v>
      </c>
      <c r="L43">
        <v>4</v>
      </c>
      <c r="M43">
        <v>10</v>
      </c>
      <c r="N43">
        <v>11</v>
      </c>
      <c r="O43">
        <v>12</v>
      </c>
    </row>
    <row r="44" spans="1:17" x14ac:dyDescent="0.3">
      <c r="A44" s="14" t="s">
        <v>16</v>
      </c>
      <c r="B44" s="8">
        <v>3020.940000000001</v>
      </c>
      <c r="C44" s="8">
        <v>2496.9999999999995</v>
      </c>
      <c r="D44" s="8">
        <v>2353.5499999999993</v>
      </c>
      <c r="E44" s="8">
        <v>2558.3399999999992</v>
      </c>
      <c r="F44" s="8">
        <v>156.82999999999998</v>
      </c>
      <c r="G44" s="8">
        <v>3545.07</v>
      </c>
      <c r="H44" s="8">
        <v>1850.76</v>
      </c>
      <c r="I44" s="8">
        <v>10509.8</v>
      </c>
      <c r="J44" s="8">
        <v>8512.23</v>
      </c>
      <c r="K44" s="8">
        <v>9520.1999999999989</v>
      </c>
      <c r="L44" s="8">
        <v>11926.400000000001</v>
      </c>
      <c r="M44" s="8">
        <v>408.56</v>
      </c>
      <c r="N44" s="8">
        <v>13471.750000000002</v>
      </c>
      <c r="O44" s="8">
        <v>7074.7299999999987</v>
      </c>
      <c r="P44" s="8">
        <v>15982.489999999998</v>
      </c>
      <c r="Q44" s="8">
        <v>61423.669999999991</v>
      </c>
    </row>
    <row r="45" spans="1:17" x14ac:dyDescent="0.3">
      <c r="A45" s="14" t="s">
        <v>25</v>
      </c>
      <c r="B45" s="8">
        <v>5850.6800000000039</v>
      </c>
      <c r="C45" s="8">
        <v>5625.5200000000013</v>
      </c>
      <c r="D45" s="8">
        <v>6569.4300000000021</v>
      </c>
      <c r="E45" s="8">
        <v>5780.5199999999986</v>
      </c>
      <c r="F45" s="8">
        <v>642.09</v>
      </c>
      <c r="G45" s="8">
        <v>7638.0100000000011</v>
      </c>
      <c r="H45" s="8">
        <v>6516.8699999999981</v>
      </c>
      <c r="I45" s="8">
        <v>22426.880000000001</v>
      </c>
      <c r="J45" s="8">
        <v>21857.639999999996</v>
      </c>
      <c r="K45" s="8">
        <v>21373.889999999996</v>
      </c>
      <c r="L45" s="8">
        <v>17708.46</v>
      </c>
      <c r="M45" s="8">
        <v>2254.02</v>
      </c>
      <c r="N45" s="8">
        <v>25312.760000000002</v>
      </c>
      <c r="O45" s="8">
        <v>18376.259999999995</v>
      </c>
      <c r="P45" s="8">
        <v>38623.120000000003</v>
      </c>
      <c r="Q45" s="8">
        <v>129309.90999999999</v>
      </c>
    </row>
    <row r="46" spans="1:17" x14ac:dyDescent="0.3">
      <c r="A46" s="14" t="s">
        <v>30</v>
      </c>
      <c r="B46" s="8">
        <v>7666.62</v>
      </c>
      <c r="C46" s="8">
        <v>7583.6799999999985</v>
      </c>
      <c r="D46" s="8">
        <v>7491.3199999999979</v>
      </c>
      <c r="E46" s="8">
        <v>8143.3600000000024</v>
      </c>
      <c r="F46" s="8">
        <v>550.77</v>
      </c>
      <c r="G46" s="8">
        <v>8418.3200000000015</v>
      </c>
      <c r="H46" s="8">
        <v>8201.7199999999993</v>
      </c>
      <c r="I46" s="8">
        <v>22784.889999999996</v>
      </c>
      <c r="J46" s="8">
        <v>23535.12000000001</v>
      </c>
      <c r="K46" s="8">
        <v>23280.799999999992</v>
      </c>
      <c r="L46" s="8">
        <v>24752.580000000005</v>
      </c>
      <c r="M46" s="8">
        <v>2049.52</v>
      </c>
      <c r="N46" s="8">
        <v>27097.630000000016</v>
      </c>
      <c r="O46" s="8">
        <v>29357.550000000021</v>
      </c>
      <c r="P46" s="8">
        <v>48055.79</v>
      </c>
      <c r="Q46" s="8">
        <v>152858.09000000005</v>
      </c>
    </row>
    <row r="47" spans="1:17" x14ac:dyDescent="0.3">
      <c r="A47" s="14" t="s">
        <v>87</v>
      </c>
      <c r="B47" s="8">
        <v>3802.48</v>
      </c>
      <c r="C47" s="8">
        <v>3406.2000000000003</v>
      </c>
      <c r="D47" s="8">
        <v>3570.5800000000008</v>
      </c>
      <c r="E47" s="8">
        <v>3136.36</v>
      </c>
      <c r="F47" s="8">
        <v>499.45</v>
      </c>
      <c r="G47" s="8">
        <v>4405.8700000000008</v>
      </c>
      <c r="H47" s="8">
        <v>3610.0899999999997</v>
      </c>
      <c r="I47" s="8">
        <v>11770.690000000002</v>
      </c>
      <c r="J47" s="8">
        <v>11177.960000000001</v>
      </c>
      <c r="K47" s="8">
        <v>10523.390000000001</v>
      </c>
      <c r="L47" s="8">
        <v>12844.099999999997</v>
      </c>
      <c r="M47" s="8">
        <v>1685.5700000000002</v>
      </c>
      <c r="N47" s="8">
        <v>16431.160000000003</v>
      </c>
      <c r="O47" s="8">
        <v>10547.09</v>
      </c>
      <c r="P47" s="8">
        <v>22431.030000000002</v>
      </c>
      <c r="Q47" s="8">
        <v>74979.960000000006</v>
      </c>
    </row>
    <row r="48" spans="1:17" x14ac:dyDescent="0.3">
      <c r="A48" s="14" t="s">
        <v>36</v>
      </c>
      <c r="B48" s="8">
        <v>2959.8700000000003</v>
      </c>
      <c r="C48" s="8">
        <v>2596.3599999999992</v>
      </c>
      <c r="D48" s="8">
        <v>2823.3199999999997</v>
      </c>
      <c r="E48" s="8">
        <v>2326.62</v>
      </c>
      <c r="F48" s="8">
        <v>186.47</v>
      </c>
      <c r="G48" s="8">
        <v>2350.7599999999993</v>
      </c>
      <c r="H48" s="8">
        <v>2440.09</v>
      </c>
      <c r="I48" s="8">
        <v>9031.4099999999962</v>
      </c>
      <c r="J48" s="8">
        <v>8957.2199999999993</v>
      </c>
      <c r="K48" s="8">
        <v>9723.5399999999991</v>
      </c>
      <c r="L48" s="8">
        <v>7945.42</v>
      </c>
      <c r="M48" s="8">
        <v>995.34</v>
      </c>
      <c r="N48" s="8">
        <v>8265.0300000000007</v>
      </c>
      <c r="O48" s="8">
        <v>7288.13</v>
      </c>
      <c r="P48" s="8">
        <v>15683.489999999998</v>
      </c>
      <c r="Q48" s="8">
        <v>52206.089999999989</v>
      </c>
    </row>
    <row r="49" spans="1:17" x14ac:dyDescent="0.3">
      <c r="A49" s="14" t="s">
        <v>53</v>
      </c>
      <c r="B49" s="8">
        <v>2604.2300000000009</v>
      </c>
      <c r="C49" s="8">
        <v>2805.86</v>
      </c>
      <c r="D49" s="8">
        <v>2434.2400000000002</v>
      </c>
      <c r="E49" s="8">
        <v>2708.9399999999996</v>
      </c>
      <c r="F49" s="8">
        <v>183.37</v>
      </c>
      <c r="G49" s="8">
        <v>2493.4699999999989</v>
      </c>
      <c r="H49" s="8">
        <v>3311.1099999999992</v>
      </c>
      <c r="I49" s="8">
        <v>7444.3399999999983</v>
      </c>
      <c r="J49" s="8">
        <v>8684.2700000000023</v>
      </c>
      <c r="K49" s="8">
        <v>8353.1100000000024</v>
      </c>
      <c r="L49" s="8">
        <v>8983.9</v>
      </c>
      <c r="M49" s="8">
        <v>501.46000000000004</v>
      </c>
      <c r="N49" s="8">
        <v>9944.66</v>
      </c>
      <c r="O49" s="8">
        <v>8730.5499999999993</v>
      </c>
      <c r="P49" s="8">
        <v>16541.22</v>
      </c>
      <c r="Q49" s="8">
        <v>52642.290000000008</v>
      </c>
    </row>
    <row r="50" spans="1:17" x14ac:dyDescent="0.3">
      <c r="A50" s="14" t="s">
        <v>1499</v>
      </c>
      <c r="B50" s="8">
        <v>25904.820000000003</v>
      </c>
      <c r="C50" s="8">
        <v>24514.62</v>
      </c>
      <c r="D50" s="8">
        <v>25242.440000000002</v>
      </c>
      <c r="E50" s="8">
        <v>24654.14</v>
      </c>
      <c r="F50" s="8">
        <v>2218.98</v>
      </c>
      <c r="G50" s="8">
        <v>28851.5</v>
      </c>
      <c r="H50" s="8">
        <v>25930.639999999999</v>
      </c>
      <c r="I50" s="8">
        <v>83968.00999999998</v>
      </c>
      <c r="J50" s="8">
        <v>82724.44</v>
      </c>
      <c r="K50" s="8">
        <v>82774.929999999978</v>
      </c>
      <c r="L50" s="8">
        <v>84160.859999999986</v>
      </c>
      <c r="M50" s="8">
        <v>7894.47</v>
      </c>
      <c r="N50" s="8">
        <v>100522.99000000002</v>
      </c>
      <c r="O50" s="8">
        <v>81374.310000000027</v>
      </c>
      <c r="P50" s="8">
        <v>157317.13999999998</v>
      </c>
      <c r="Q50" s="8">
        <v>523420.01</v>
      </c>
    </row>
    <row r="70" spans="1:7" x14ac:dyDescent="0.3">
      <c r="A70" t="s">
        <v>1501</v>
      </c>
      <c r="B70" t="s">
        <v>1507</v>
      </c>
      <c r="C70" t="s">
        <v>1510</v>
      </c>
      <c r="D70" s="9">
        <f>A71</f>
        <v>523420.01000000042</v>
      </c>
      <c r="E70" s="9">
        <f>B71</f>
        <v>261.71000500000019</v>
      </c>
      <c r="F70">
        <f>$C$71</f>
        <v>2000</v>
      </c>
      <c r="G70" t="str">
        <f>$L$3</f>
        <v>Clearly</v>
      </c>
    </row>
    <row r="71" spans="1:7" x14ac:dyDescent="0.3">
      <c r="A71" s="8">
        <v>523420.01000000042</v>
      </c>
      <c r="B71" s="8">
        <v>261.71000500000019</v>
      </c>
      <c r="C71">
        <v>2000</v>
      </c>
    </row>
    <row r="79" spans="1:7" x14ac:dyDescent="0.3">
      <c r="A79" s="13" t="s">
        <v>1500</v>
      </c>
      <c r="B79" t="s">
        <v>1510</v>
      </c>
    </row>
    <row r="80" spans="1:7" x14ac:dyDescent="0.3">
      <c r="A80" s="14" t="s">
        <v>46</v>
      </c>
      <c r="B80">
        <v>187</v>
      </c>
    </row>
    <row r="81" spans="1:2" x14ac:dyDescent="0.3">
      <c r="A81" s="14" t="s">
        <v>17</v>
      </c>
      <c r="B81">
        <v>1813</v>
      </c>
    </row>
    <row r="82" spans="1:2" x14ac:dyDescent="0.3">
      <c r="A82" s="14" t="s">
        <v>1499</v>
      </c>
      <c r="B82">
        <v>2000</v>
      </c>
    </row>
  </sheetData>
  <sortState xmlns:xlrd2="http://schemas.microsoft.com/office/spreadsheetml/2017/richdata2" ref="Q4:R10">
    <sortCondition ref="R4:R1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F038F-3FF4-491C-97DB-4166FBFB2A12}">
  <dimension ref="A1"/>
  <sheetViews>
    <sheetView tabSelected="1" topLeftCell="A12" zoomScale="55" workbookViewId="0">
      <selection sqref="A1:XFD1048576"/>
    </sheetView>
  </sheetViews>
  <sheetFormatPr defaultRowHeight="14.4" x14ac:dyDescent="0.3"/>
  <cols>
    <col min="1" max="16384" width="8.88671875" style="20"/>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Marwa Selim</cp:lastModifiedBy>
  <dcterms:created xsi:type="dcterms:W3CDTF">2025-11-24T16:25:48Z</dcterms:created>
  <dcterms:modified xsi:type="dcterms:W3CDTF">2026-06-20T13:08:29Z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afd09b-3574-40d5-9c83-b1d2e99f54ef_Enabled">
    <vt:lpwstr>true</vt:lpwstr>
  </property>
  <property fmtid="{D5CDD505-2E9C-101B-9397-08002B2CF9AE}" pid="3" name="MSIP_Label_53afd09b-3574-40d5-9c83-b1d2e99f54ef_SetDate">
    <vt:lpwstr>2025-11-24T16:12:22Z</vt:lpwstr>
  </property>
  <property fmtid="{D5CDD505-2E9C-101B-9397-08002B2CF9AE}" pid="4" name="MSIP_Label_53afd09b-3574-40d5-9c83-b1d2e99f54ef_Method">
    <vt:lpwstr>Privileged</vt:lpwstr>
  </property>
  <property fmtid="{D5CDD505-2E9C-101B-9397-08002B2CF9AE}" pid="5" name="MSIP_Label_53afd09b-3574-40d5-9c83-b1d2e99f54ef_Name">
    <vt:lpwstr>defa4170-0d19-0005-0000-bc88714345d2</vt:lpwstr>
  </property>
  <property fmtid="{D5CDD505-2E9C-101B-9397-08002B2CF9AE}" pid="6" name="MSIP_Label_53afd09b-3574-40d5-9c83-b1d2e99f54ef_SiteId">
    <vt:lpwstr>1aa2e328-7d0f-4fd1-9216-c479a1c14f9d</vt:lpwstr>
  </property>
  <property fmtid="{D5CDD505-2E9C-101B-9397-08002B2CF9AE}" pid="7" name="MSIP_Label_53afd09b-3574-40d5-9c83-b1d2e99f54ef_ActionId">
    <vt:lpwstr>56a0bfdb-8f6a-4cbb-9838-1fa2fb448545</vt:lpwstr>
  </property>
  <property fmtid="{D5CDD505-2E9C-101B-9397-08002B2CF9AE}" pid="8" name="MSIP_Label_53afd09b-3574-40d5-9c83-b1d2e99f54ef_ContentBits">
    <vt:lpwstr>0</vt:lpwstr>
  </property>
  <property fmtid="{D5CDD505-2E9C-101B-9397-08002B2CF9AE}" pid="9" name="MSIP_Label_53afd09b-3574-40d5-9c83-b1d2e99f54ef_Tag">
    <vt:lpwstr>10, 0, 1, 1</vt:lpwstr>
  </property>
</Properties>
</file>